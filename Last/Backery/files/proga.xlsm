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worksheets/sheet13.xml" ContentType="application/vnd.openxmlformats-officedocument.spreadsheetml.worksheet+xml"/>
  <Override PartName="/xl/worksheets/sheet42.xml" ContentType="application/vnd.openxmlformats-officedocument.spreadsheetml.worksheet+xml"/>
  <Override PartName="/xl/worksheets/sheet60.xml" ContentType="application/vnd.openxmlformats-officedocument.spreadsheetml.worksheet+xml"/>
  <Override PartName="/xl/worksheets/sheet179.xml" ContentType="application/vnd.openxmlformats-officedocument.spreadsheetml.worksheet+xml"/>
  <Override PartName="/xl/styles.xml" ContentType="application/vnd.openxmlformats-officedocument.spreadsheetml.styles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68.xml" ContentType="application/vnd.openxmlformats-officedocument.spreadsheetml.worksheet+xml"/>
  <Default Extension="xml" ContentType="application/xml"/>
  <Override PartName="/xl/worksheets/sheet128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75.xml" ContentType="application/vnd.openxmlformats-officedocument.spreadsheetml.worksheet+xml"/>
  <Override PartName="/xl/worksheets/sheet3.xml" ContentType="application/vnd.openxmlformats-officedocument.spreadsheetml.worksheet+xml"/>
  <Override PartName="/xl/worksheets/sheet98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82.xml" ContentType="application/vnd.openxmlformats-officedocument.spreadsheetml.worksheet+xml"/>
  <Override PartName="/xl/worksheets/sheet69.xml" ContentType="application/vnd.openxmlformats-officedocument.spreadsheetml.worksheet+xml"/>
  <Override PartName="/xl/worksheets/sheet87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71.xml" ContentType="application/vnd.openxmlformats-officedocument.spreadsheetml.worksheet+xml"/>
  <Override PartName="/xl/externalLinks/externalLink1.xml" ContentType="application/vnd.openxmlformats-officedocument.spreadsheetml.externalLink+xml"/>
  <Override PartName="/xl/worksheets/sheet29.xml" ContentType="application/vnd.openxmlformats-officedocument.spreadsheetml.worksheet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76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60.xml" ContentType="application/vnd.openxmlformats-officedocument.spreadsheetml.worksheet+xml"/>
  <Override PartName="/xl/sharedStrings.xml" ContentType="application/vnd.openxmlformats-officedocument.spreadsheetml.sharedStrings+xml"/>
  <Override PartName="/xl/worksheets/sheet18.xml" ContentType="application/vnd.openxmlformats-officedocument.spreadsheetml.worksheet+xml"/>
  <Override PartName="/xl/worksheets/sheet36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20.xml" ContentType="application/vnd.openxmlformats-officedocument.spreadsheetml.worksheet+xml"/>
  <Override PartName="/xl/worksheets/sheet25.xml" ContentType="application/vnd.openxmlformats-officedocument.spreadsheetml.worksheet+xml"/>
  <Override PartName="/xl/worksheets/sheet43.xml" ContentType="application/vnd.openxmlformats-officedocument.spreadsheetml.worksheet+xml"/>
  <Override PartName="/xl/worksheets/sheet72.xml" ContentType="application/vnd.openxmlformats-officedocument.spreadsheetml.worksheet+xml"/>
  <Override PartName="/xl/worksheets/sheet90.xml" ContentType="application/vnd.openxmlformats-officedocument.spreadsheetml.worksheet+xml"/>
  <Default Extension="bin" ContentType="application/vnd.openxmlformats-officedocument.spreadsheetml.printerSettings"/>
  <Override PartName="/xl/worksheets/sheet14.xml" ContentType="application/vnd.openxmlformats-officedocument.spreadsheetml.worksheet+xml"/>
  <Override PartName="/xl/worksheets/sheet32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69.xml" ContentType="application/vnd.openxmlformats-officedocument.spreadsheetml.worksheet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76.xml" ContentType="application/vnd.openxmlformats-officedocument.spreadsheetml.worksheet+xml"/>
  <Override PartName="/docProps/app.xml" ContentType="application/vnd.openxmlformats-officedocument.extended-properties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83.xml" ContentType="application/vnd.openxmlformats-officedocument.spreadsheetml.worksheet+xml"/>
  <Override PartName="/xl/worksheets/sheet59.xml" ContentType="application/vnd.openxmlformats-officedocument.spreadsheetml.worksheet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72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48.xml" ContentType="application/vnd.openxmlformats-officedocument.spreadsheetml.worksheet+xml"/>
  <Override PartName="/xl/worksheets/sheet66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50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55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worksheets/sheet44.xml" ContentType="application/vnd.openxmlformats-officedocument.spreadsheetml.worksheet+xml"/>
  <Override PartName="/xl/worksheets/sheet62.xml" ContentType="application/vnd.openxmlformats-officedocument.spreadsheetml.worksheet+xml"/>
  <Override PartName="/xl/worksheets/sheet91.xml" ContentType="application/vnd.openxmlformats-officedocument.spreadsheetml.workshee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51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worksheets/sheet11.xml" ContentType="application/vnd.openxmlformats-officedocument.spreadsheetml.worksheet+xml"/>
  <Override PartName="/xl/worksheets/sheet40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77.xml" ContentType="application/vnd.openxmlformats-officedocument.spreadsheetml.worksheet+xml"/>
  <Default Extension="rels" ContentType="application/vnd.openxmlformats-package.relationships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66.xml" ContentType="application/vnd.openxmlformats-officedocument.spreadsheetml.worksheet+xml"/>
  <Override PartName="/xl/worksheets/sheet89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78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80.xml" ContentType="application/vnd.openxmlformats-officedocument.spreadsheetml.worksheet+xml"/>
  <Override PartName="/xl/worksheets/sheet38.xml" ContentType="application/vnd.openxmlformats-officedocument.spreadsheetml.worksheet+xml"/>
  <Override PartName="/xl/worksheets/sheet67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51.xml" ContentType="application/vnd.openxmlformats-officedocument.spreadsheetml.worksheet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  <Override PartName="/xl/worksheets/sheet74.xml" ContentType="application/vnd.openxmlformats-officedocument.spreadsheetml.worksheet+xml"/>
  <Override PartName="/xl/worksheets/sheet92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81.xml" ContentType="application/vnd.openxmlformats-officedocument.spreadsheetml.worksheet+xml"/>
  <Override PartName="/xl/worksheets/sheet100.xml" ContentType="application/vnd.openxmlformats-officedocument.spreadsheetml.worksheet+xml"/>
  <Override PartName="/xl/worksheets/sheet23.xml" ContentType="application/vnd.openxmlformats-officedocument.spreadsheetml.worksheet+xml"/>
  <Override PartName="/xl/worksheets/sheet41.xml" ContentType="application/vnd.openxmlformats-officedocument.spreadsheetml.worksheet+xml"/>
  <Override PartName="/xl/worksheets/sheet70.xml" ContentType="application/vnd.openxmlformats-officedocument.spreadsheetml.worksheet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74.xml" ContentType="application/vnd.openxmlformats-officedocument.spreadsheetml.worksheet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81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57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.xml" ContentType="application/vnd.openxmlformats-officedocument.spreadsheetml.worksheet+xml"/>
  <Override PartName="/xl/worksheets/sheet46.xml" ContentType="application/vnd.openxmlformats-officedocument.spreadsheetml.worksheet+xml"/>
  <Override PartName="/xl/worksheets/sheet64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30.xml" ContentType="application/vnd.openxmlformats-officedocument.spreadsheetml.worksheet+xml"/>
  <Override PartName="/xl/worksheets/sheet5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 codeName="ЭтаКнига" defaultThemeVersion="124226"/>
  <bookViews>
    <workbookView xWindow="120" yWindow="105" windowWidth="15120" windowHeight="8010" tabRatio="843" firstSheet="133" activeTab="159"/>
  </bookViews>
  <sheets>
    <sheet name="1" sheetId="11" r:id="rId1"/>
    <sheet name="2" sheetId="12" r:id="rId2"/>
    <sheet name="3" sheetId="13" r:id="rId3"/>
    <sheet name="4" sheetId="14" r:id="rId4"/>
    <sheet name="5" sheetId="15" r:id="rId5"/>
    <sheet name="6" sheetId="16" r:id="rId6"/>
    <sheet name="7" sheetId="17" r:id="rId7"/>
    <sheet name="8" sheetId="18" r:id="rId8"/>
    <sheet name="9" sheetId="2" r:id="rId9"/>
    <sheet name="10" sheetId="19" r:id="rId10"/>
    <sheet name="Доставка ЦЕНТР РОКИТ з хліб БЦ" sheetId="1" r:id="rId11"/>
    <sheet name="1.1" sheetId="21" r:id="rId12"/>
    <sheet name="1.2" sheetId="20" r:id="rId13"/>
    <sheet name="1.3" sheetId="22" r:id="rId14"/>
    <sheet name="1.4" sheetId="23" r:id="rId15"/>
    <sheet name="1.5" sheetId="24" r:id="rId16"/>
    <sheet name="1.6" sheetId="26" r:id="rId17"/>
    <sheet name="1.7" sheetId="25" r:id="rId18"/>
    <sheet name="1.8" sheetId="27" r:id="rId19"/>
    <sheet name="1.9" sheetId="28" r:id="rId20"/>
    <sheet name="1.10" sheetId="29" r:id="rId21"/>
    <sheet name="1.11" sheetId="30" r:id="rId22"/>
    <sheet name="1.12" sheetId="31" r:id="rId23"/>
    <sheet name="1.13" sheetId="32" r:id="rId24"/>
    <sheet name="1.14" sheetId="33" r:id="rId25"/>
    <sheet name="1.15" sheetId="34" r:id="rId26"/>
    <sheet name="ДОСТАВКА СЕЛО З ХЛІБОМ Б.Ц" sheetId="3" r:id="rId27"/>
    <sheet name="bcd1" sheetId="4" r:id="rId28"/>
    <sheet name="bcd2" sheetId="35" r:id="rId29"/>
    <sheet name="bcd3" sheetId="36" r:id="rId30"/>
    <sheet name="bcd4" sheetId="37" r:id="rId31"/>
    <sheet name="bcd5" sheetId="38" r:id="rId32"/>
    <sheet name="bcd6" sheetId="39" r:id="rId33"/>
    <sheet name="bcd7" sheetId="40" r:id="rId34"/>
    <sheet name="bcd8" sheetId="41" r:id="rId35"/>
    <sheet name="bcd9" sheetId="42" r:id="rId36"/>
    <sheet name="bcd10" sheetId="43" r:id="rId37"/>
    <sheet name="bcd11" sheetId="44" r:id="rId38"/>
    <sheet name="bcd12" sheetId="45" r:id="rId39"/>
    <sheet name="bcd13" sheetId="46" r:id="rId40"/>
    <sheet name="bcd14" sheetId="47" r:id="rId41"/>
    <sheet name="bcd15" sheetId="48" r:id="rId42"/>
    <sheet name="bcd16" sheetId="49" r:id="rId43"/>
    <sheet name="bcd17" sheetId="50" r:id="rId44"/>
    <sheet name="bcd18" sheetId="51" r:id="rId45"/>
    <sheet name="bcd19" sheetId="52" r:id="rId46"/>
    <sheet name="bcd20" sheetId="53" r:id="rId47"/>
    <sheet name="bcd21" sheetId="54" r:id="rId48"/>
    <sheet name="bcd22" sheetId="55" r:id="rId49"/>
    <sheet name="bcd23" sheetId="56" r:id="rId50"/>
    <sheet name="bcd24" sheetId="57" r:id="rId51"/>
    <sheet name="Б.Ц. ДОСТАВКА" sheetId="58" r:id="rId52"/>
    <sheet name="d1" sheetId="61" r:id="rId53"/>
    <sheet name="d2" sheetId="62" r:id="rId54"/>
    <sheet name="d3" sheetId="63" r:id="rId55"/>
    <sheet name="d4" sheetId="64" r:id="rId56"/>
    <sheet name="d5" sheetId="65" r:id="rId57"/>
    <sheet name="d6" sheetId="66" r:id="rId58"/>
    <sheet name="d7" sheetId="67" r:id="rId59"/>
    <sheet name="d8" sheetId="68" r:id="rId60"/>
    <sheet name="d9" sheetId="69" r:id="rId61"/>
    <sheet name="d10" sheetId="70" r:id="rId62"/>
    <sheet name="d11" sheetId="71" r:id="rId63"/>
    <sheet name="d12" sheetId="72" r:id="rId64"/>
    <sheet name="d13" sheetId="73" r:id="rId65"/>
    <sheet name="d14" sheetId="74" r:id="rId66"/>
    <sheet name="d15" sheetId="75" r:id="rId67"/>
    <sheet name="ДОСТАВКА" sheetId="76" r:id="rId68"/>
    <sheet name="КАГАРЛИК РИНОК" sheetId="77" r:id="rId69"/>
    <sheet name="k1" sheetId="79" r:id="rId70"/>
    <sheet name="k2" sheetId="81" r:id="rId71"/>
    <sheet name="k3" sheetId="82" r:id="rId72"/>
    <sheet name="k4" sheetId="83" r:id="rId73"/>
    <sheet name="k5" sheetId="84" r:id="rId74"/>
    <sheet name="k6" sheetId="85" r:id="rId75"/>
    <sheet name="k7" sheetId="86" r:id="rId76"/>
    <sheet name="k8" sheetId="87" r:id="rId77"/>
    <sheet name="k9" sheetId="88" r:id="rId78"/>
    <sheet name="k10" sheetId="89" r:id="rId79"/>
    <sheet name="k11" sheetId="90" r:id="rId80"/>
    <sheet name="k12" sheetId="91" r:id="rId81"/>
    <sheet name="k13" sheetId="92" r:id="rId82"/>
    <sheet name="k14" sheetId="93" r:id="rId83"/>
    <sheet name="k15" sheetId="94" r:id="rId84"/>
    <sheet name="k16" sheetId="95" r:id="rId85"/>
    <sheet name="k17" sheetId="96" r:id="rId86"/>
    <sheet name="k18" sheetId="97" r:id="rId87"/>
    <sheet name="k19" sheetId="98" r:id="rId88"/>
    <sheet name="k20" sheetId="99" r:id="rId89"/>
    <sheet name="k21" sheetId="100" r:id="rId90"/>
    <sheet name="k22" sheetId="101" r:id="rId91"/>
    <sheet name="k23" sheetId="102" r:id="rId92"/>
    <sheet name="k24" sheetId="103" r:id="rId93"/>
    <sheet name="k25" sheetId="104" r:id="rId94"/>
    <sheet name="КИЇВ" sheetId="78" r:id="rId95"/>
    <sheet name="маг.Пекарня" sheetId="105" r:id="rId96"/>
    <sheet name="маг. Центр" sheetId="80" r:id="rId97"/>
    <sheet name="МАГАЗИНИ" sheetId="106" r:id="rId98"/>
    <sheet name="ptu1" sheetId="108" r:id="rId99"/>
    <sheet name="ptu2" sheetId="109" r:id="rId100"/>
    <sheet name="ptu3" sheetId="107" r:id="rId101"/>
    <sheet name="Проф. Ліцей" sheetId="110" r:id="rId102"/>
    <sheet name="f1" sheetId="111" r:id="rId103"/>
    <sheet name="f2" sheetId="112" r:id="rId104"/>
    <sheet name="f3" sheetId="113" r:id="rId105"/>
    <sheet name="f4" sheetId="114" r:id="rId106"/>
    <sheet name="f5" sheetId="115" r:id="rId107"/>
    <sheet name="f6" sheetId="116" r:id="rId108"/>
    <sheet name="f7" sheetId="117" r:id="rId109"/>
    <sheet name="f8" sheetId="118" r:id="rId110"/>
    <sheet name="f9" sheetId="119" r:id="rId111"/>
    <sheet name="f10" sheetId="120" r:id="rId112"/>
    <sheet name="f11" sheetId="121" r:id="rId113"/>
    <sheet name="f12" sheetId="129" r:id="rId114"/>
    <sheet name="f13" sheetId="122" r:id="rId115"/>
    <sheet name="f14" sheetId="123" r:id="rId116"/>
    <sheet name="f15" sheetId="124" r:id="rId117"/>
    <sheet name="f16" sheetId="125" r:id="rId118"/>
    <sheet name="f17" sheetId="126" r:id="rId119"/>
    <sheet name="f18" sheetId="127" r:id="rId120"/>
    <sheet name="Фастов Кагарлик Б.Ц. Ніч" sheetId="128" r:id="rId121"/>
    <sheet name="s1" sheetId="130" r:id="rId122"/>
    <sheet name="s2" sheetId="131" r:id="rId123"/>
    <sheet name="s3" sheetId="132" r:id="rId124"/>
    <sheet name="s4" sheetId="133" r:id="rId125"/>
    <sheet name="s5" sheetId="134" r:id="rId126"/>
    <sheet name="s6" sheetId="135" r:id="rId127"/>
    <sheet name="s7" sheetId="136" r:id="rId128"/>
    <sheet name="s8" sheetId="137" r:id="rId129"/>
    <sheet name="ШКОЛА" sheetId="138" r:id="rId130"/>
    <sheet name="q1" sheetId="140" r:id="rId131"/>
    <sheet name="q2" sheetId="141" r:id="rId132"/>
    <sheet name="q3" sheetId="142" r:id="rId133"/>
    <sheet name="q4" sheetId="144" r:id="rId134"/>
    <sheet name="q5" sheetId="143" r:id="rId135"/>
    <sheet name="q6" sheetId="145" r:id="rId136"/>
    <sheet name="q7" sheetId="146" r:id="rId137"/>
    <sheet name="q8" sheetId="147" r:id="rId138"/>
    <sheet name="q9" sheetId="148" r:id="rId139"/>
    <sheet name="q10" sheetId="149" r:id="rId140"/>
    <sheet name="q11" sheetId="150" r:id="rId141"/>
    <sheet name="q12" sheetId="151" r:id="rId142"/>
    <sheet name="q13" sheetId="152" r:id="rId143"/>
    <sheet name="q14" sheetId="153" r:id="rId144"/>
    <sheet name="q15" sheetId="157" r:id="rId145"/>
    <sheet name="КОЛГОСПИ" sheetId="156" r:id="rId146"/>
    <sheet name="p1" sheetId="158" r:id="rId147"/>
    <sheet name="p2" sheetId="159" r:id="rId148"/>
    <sheet name="p3" sheetId="160" r:id="rId149"/>
    <sheet name="p4" sheetId="161" r:id="rId150"/>
    <sheet name="p5" sheetId="162" r:id="rId151"/>
    <sheet name="p6" sheetId="163" r:id="rId152"/>
    <sheet name="p7" sheetId="165" r:id="rId153"/>
    <sheet name="p8" sheetId="164" r:id="rId154"/>
    <sheet name="p9" sheetId="166" r:id="rId155"/>
    <sheet name="p10" sheetId="167" r:id="rId156"/>
    <sheet name="p11" sheetId="168" r:id="rId157"/>
    <sheet name="p12" sheetId="169" r:id="rId158"/>
    <sheet name="p13" sheetId="170" r:id="rId159"/>
    <sheet name="p16" sheetId="173" r:id="rId160"/>
    <sheet name="p14" sheetId="171" r:id="rId161"/>
    <sheet name="p15" sheetId="172" r:id="rId162"/>
    <sheet name="p17" sheetId="174" r:id="rId163"/>
    <sheet name="p18" sheetId="175" r:id="rId164"/>
    <sheet name="p19" sheetId="176" r:id="rId165"/>
    <sheet name="p20" sheetId="177" r:id="rId166"/>
    <sheet name="p21" sheetId="178" r:id="rId167"/>
    <sheet name="p22" sheetId="179" r:id="rId168"/>
    <sheet name="p23" sheetId="180" r:id="rId169"/>
    <sheet name="p24" sheetId="181" r:id="rId170"/>
    <sheet name="p25" sheetId="182" r:id="rId171"/>
    <sheet name="p26" sheetId="183" r:id="rId172"/>
    <sheet name="p27" sheetId="184" r:id="rId173"/>
    <sheet name="p28" sheetId="185" r:id="rId174"/>
    <sheet name="p29" sheetId="186" r:id="rId175"/>
    <sheet name="p30" sheetId="187" r:id="rId176"/>
    <sheet name="З ПЕКАРНІ " sheetId="189" r:id="rId177"/>
    <sheet name="sp1" sheetId="190" r:id="rId178"/>
    <sheet name="sp2" sheetId="191" r:id="rId179"/>
    <sheet name="sp3" sheetId="192" r:id="rId180"/>
    <sheet name="sp4" sheetId="193" r:id="rId181"/>
    <sheet name="sp5" sheetId="194" r:id="rId182"/>
    <sheet name="СПИСАНО НА ЗП" sheetId="195" r:id="rId183"/>
  </sheets>
  <externalReferences>
    <externalReference r:id="rId184"/>
  </externalReferences>
  <calcPr calcId="124519"/>
</workbook>
</file>

<file path=xl/calcChain.xml><?xml version="1.0" encoding="utf-8"?>
<calcChain xmlns="http://schemas.openxmlformats.org/spreadsheetml/2006/main">
  <c r="J39" i="195"/>
  <c r="L39" s="1"/>
  <c r="J38"/>
  <c r="L38" s="1"/>
  <c r="J37"/>
  <c r="J36"/>
  <c r="J35"/>
  <c r="J34"/>
  <c r="L34" s="1"/>
  <c r="J33"/>
  <c r="J32"/>
  <c r="J31"/>
  <c r="L31" s="1"/>
  <c r="J30"/>
  <c r="L30" s="1"/>
  <c r="J29"/>
  <c r="J28"/>
  <c r="J27"/>
  <c r="J26"/>
  <c r="L26" s="1"/>
  <c r="J25"/>
  <c r="J24"/>
  <c r="J23"/>
  <c r="L23" s="1"/>
  <c r="J22"/>
  <c r="L22" s="1"/>
  <c r="J21"/>
  <c r="J20"/>
  <c r="J19"/>
  <c r="J18"/>
  <c r="L18" s="1"/>
  <c r="J17"/>
  <c r="J16"/>
  <c r="J15"/>
  <c r="L15" s="1"/>
  <c r="J14"/>
  <c r="L14" s="1"/>
  <c r="J13"/>
  <c r="J12"/>
  <c r="J11"/>
  <c r="J10"/>
  <c r="L10" s="1"/>
  <c r="J9"/>
  <c r="J8"/>
  <c r="J7"/>
  <c r="L7" s="1"/>
  <c r="J6"/>
  <c r="L6" s="1"/>
  <c r="J5"/>
  <c r="J4"/>
  <c r="J3"/>
  <c r="J2"/>
  <c r="D39"/>
  <c r="D38"/>
  <c r="D37"/>
  <c r="F37" s="1"/>
  <c r="D36"/>
  <c r="F36" s="1"/>
  <c r="D35"/>
  <c r="D34"/>
  <c r="F34" s="1"/>
  <c r="D33"/>
  <c r="D32"/>
  <c r="F32" s="1"/>
  <c r="D31"/>
  <c r="D30"/>
  <c r="D29"/>
  <c r="F29" s="1"/>
  <c r="D28"/>
  <c r="F28" s="1"/>
  <c r="D27"/>
  <c r="D26"/>
  <c r="F26" s="1"/>
  <c r="D25"/>
  <c r="F25" s="1"/>
  <c r="D24"/>
  <c r="D23"/>
  <c r="D22"/>
  <c r="D21"/>
  <c r="F21" s="1"/>
  <c r="D20"/>
  <c r="F20" s="1"/>
  <c r="D19"/>
  <c r="D18"/>
  <c r="D17"/>
  <c r="D16"/>
  <c r="F16" s="1"/>
  <c r="D15"/>
  <c r="D14"/>
  <c r="D13"/>
  <c r="F13" s="1"/>
  <c r="D12"/>
  <c r="F12" s="1"/>
  <c r="D11"/>
  <c r="D10"/>
  <c r="D9"/>
  <c r="F9" s="1"/>
  <c r="D8"/>
  <c r="F8" s="1"/>
  <c r="D7"/>
  <c r="D6"/>
  <c r="D5"/>
  <c r="F5" s="1"/>
  <c r="D5" i="189"/>
  <c r="F5" s="1"/>
  <c r="F39" i="195"/>
  <c r="F38"/>
  <c r="L37"/>
  <c r="L36"/>
  <c r="L35"/>
  <c r="F35"/>
  <c r="L33"/>
  <c r="F33"/>
  <c r="L32"/>
  <c r="F31"/>
  <c r="F30"/>
  <c r="L29"/>
  <c r="L28"/>
  <c r="L27"/>
  <c r="F27"/>
  <c r="L25"/>
  <c r="L24"/>
  <c r="F24"/>
  <c r="F23"/>
  <c r="F22"/>
  <c r="L21"/>
  <c r="L20"/>
  <c r="L19"/>
  <c r="F19"/>
  <c r="F18"/>
  <c r="L17"/>
  <c r="F17"/>
  <c r="L16"/>
  <c r="F15"/>
  <c r="F14"/>
  <c r="L13"/>
  <c r="L12"/>
  <c r="L11"/>
  <c r="F11"/>
  <c r="F10"/>
  <c r="L9"/>
  <c r="L8"/>
  <c r="F7"/>
  <c r="F6"/>
  <c r="L5"/>
  <c r="L4"/>
  <c r="L3"/>
  <c r="L2"/>
  <c r="L39" i="194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93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92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91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90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5"/>
  <c r="L4"/>
  <c r="L3"/>
  <c r="L2"/>
  <c r="J39" i="189"/>
  <c r="J38"/>
  <c r="J37"/>
  <c r="J36"/>
  <c r="J35"/>
  <c r="J34"/>
  <c r="J33"/>
  <c r="J32"/>
  <c r="L32" s="1"/>
  <c r="J31"/>
  <c r="J30"/>
  <c r="J29"/>
  <c r="J28"/>
  <c r="L28" s="1"/>
  <c r="J27"/>
  <c r="J26"/>
  <c r="J25"/>
  <c r="L25" s="1"/>
  <c r="J24"/>
  <c r="J23"/>
  <c r="J22"/>
  <c r="J21"/>
  <c r="J20"/>
  <c r="L20" s="1"/>
  <c r="J19"/>
  <c r="J18"/>
  <c r="J17"/>
  <c r="J16"/>
  <c r="L16" s="1"/>
  <c r="J15"/>
  <c r="J14"/>
  <c r="J13"/>
  <c r="L13" s="1"/>
  <c r="J12"/>
  <c r="J11"/>
  <c r="J10"/>
  <c r="J9"/>
  <c r="J8"/>
  <c r="L8" s="1"/>
  <c r="J7"/>
  <c r="J6"/>
  <c r="J5"/>
  <c r="L5" s="1"/>
  <c r="J4"/>
  <c r="J3"/>
  <c r="J2"/>
  <c r="D39"/>
  <c r="D38"/>
  <c r="F38" s="1"/>
  <c r="D37"/>
  <c r="D36"/>
  <c r="D35"/>
  <c r="F35" s="1"/>
  <c r="D34"/>
  <c r="F34" s="1"/>
  <c r="D33"/>
  <c r="D32"/>
  <c r="D31"/>
  <c r="F31" s="1"/>
  <c r="D30"/>
  <c r="F30" s="1"/>
  <c r="D29"/>
  <c r="D28"/>
  <c r="F28" s="1"/>
  <c r="D27"/>
  <c r="D26"/>
  <c r="F26" s="1"/>
  <c r="D25"/>
  <c r="D24"/>
  <c r="D23"/>
  <c r="F23" s="1"/>
  <c r="D22"/>
  <c r="F22" s="1"/>
  <c r="D21"/>
  <c r="D20"/>
  <c r="D19"/>
  <c r="F19" s="1"/>
  <c r="D18"/>
  <c r="F18" s="1"/>
  <c r="D17"/>
  <c r="D16"/>
  <c r="D15"/>
  <c r="F15" s="1"/>
  <c r="D14"/>
  <c r="F14" s="1"/>
  <c r="D13"/>
  <c r="F13" s="1"/>
  <c r="D12"/>
  <c r="D11"/>
  <c r="F11" s="1"/>
  <c r="D10"/>
  <c r="F10" s="1"/>
  <c r="D9"/>
  <c r="F9" s="1"/>
  <c r="D8"/>
  <c r="D7"/>
  <c r="F7" s="1"/>
  <c r="D6"/>
  <c r="F6" s="1"/>
  <c r="D5" i="78"/>
  <c r="L39" i="189"/>
  <c r="F39"/>
  <c r="L38"/>
  <c r="L37"/>
  <c r="F37"/>
  <c r="L36"/>
  <c r="F36"/>
  <c r="L35"/>
  <c r="L34"/>
  <c r="L33"/>
  <c r="F33"/>
  <c r="F32"/>
  <c r="L31"/>
  <c r="L30"/>
  <c r="L29"/>
  <c r="F29"/>
  <c r="L27"/>
  <c r="F27"/>
  <c r="L26"/>
  <c r="F25"/>
  <c r="L24"/>
  <c r="F24"/>
  <c r="L23"/>
  <c r="L22"/>
  <c r="L21"/>
  <c r="F21"/>
  <c r="F20"/>
  <c r="L19"/>
  <c r="L18"/>
  <c r="L17"/>
  <c r="F17"/>
  <c r="F16"/>
  <c r="L15"/>
  <c r="L14"/>
  <c r="L12"/>
  <c r="F12"/>
  <c r="L11"/>
  <c r="L10"/>
  <c r="L9"/>
  <c r="F8"/>
  <c r="L7"/>
  <c r="L6"/>
  <c r="L4"/>
  <c r="L3"/>
  <c r="L2"/>
  <c r="L39" i="187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40" i="186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85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84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83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82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81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80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7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78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77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76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75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74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40" s="1"/>
  <c r="L13"/>
  <c r="F13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73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72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71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70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40" s="1"/>
  <c r="L13"/>
  <c r="F13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6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68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67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66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65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64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63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62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61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60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5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58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40" i="160" l="1"/>
  <c r="L40" i="195"/>
  <c r="L40" i="194"/>
  <c r="L40" i="193"/>
  <c r="L40" i="192"/>
  <c r="L40" i="191"/>
  <c r="L40" i="179"/>
  <c r="L40" i="189"/>
  <c r="J39" i="156"/>
  <c r="L39" s="1"/>
  <c r="J38"/>
  <c r="J37"/>
  <c r="J36"/>
  <c r="J35"/>
  <c r="L35" s="1"/>
  <c r="J34"/>
  <c r="L34" s="1"/>
  <c r="J33"/>
  <c r="J32"/>
  <c r="J31"/>
  <c r="L31" s="1"/>
  <c r="J30"/>
  <c r="L30" s="1"/>
  <c r="J29"/>
  <c r="J28"/>
  <c r="J27"/>
  <c r="J26"/>
  <c r="L26" s="1"/>
  <c r="J25"/>
  <c r="L25" s="1"/>
  <c r="J24"/>
  <c r="J23"/>
  <c r="L23" s="1"/>
  <c r="J22"/>
  <c r="L22" s="1"/>
  <c r="J21"/>
  <c r="J20"/>
  <c r="J19"/>
  <c r="L19" s="1"/>
  <c r="J18"/>
  <c r="L18" s="1"/>
  <c r="J17"/>
  <c r="J16"/>
  <c r="J15"/>
  <c r="L15" s="1"/>
  <c r="J14"/>
  <c r="L14" s="1"/>
  <c r="J13"/>
  <c r="L13" s="1"/>
  <c r="J12"/>
  <c r="J11"/>
  <c r="J10"/>
  <c r="L10" s="1"/>
  <c r="J9"/>
  <c r="L9" s="1"/>
  <c r="J8"/>
  <c r="J7"/>
  <c r="J6"/>
  <c r="L6" s="1"/>
  <c r="J5"/>
  <c r="J4"/>
  <c r="J3"/>
  <c r="L3" s="1"/>
  <c r="J2"/>
  <c r="L2" s="1"/>
  <c r="D39"/>
  <c r="D38"/>
  <c r="F38" s="1"/>
  <c r="D37"/>
  <c r="F37" s="1"/>
  <c r="D36"/>
  <c r="D35"/>
  <c r="D34"/>
  <c r="F34" s="1"/>
  <c r="D33"/>
  <c r="F33" s="1"/>
  <c r="D32"/>
  <c r="F32" s="1"/>
  <c r="D31"/>
  <c r="D30"/>
  <c r="F30" s="1"/>
  <c r="D29"/>
  <c r="F29" s="1"/>
  <c r="D28"/>
  <c r="F28" s="1"/>
  <c r="D27"/>
  <c r="D26"/>
  <c r="F26" s="1"/>
  <c r="D25"/>
  <c r="F25" s="1"/>
  <c r="D24"/>
  <c r="D23"/>
  <c r="D22"/>
  <c r="F22" s="1"/>
  <c r="D21"/>
  <c r="D20"/>
  <c r="F20" s="1"/>
  <c r="D19"/>
  <c r="D18"/>
  <c r="F18" s="1"/>
  <c r="D17"/>
  <c r="F17" s="1"/>
  <c r="D16"/>
  <c r="F16" s="1"/>
  <c r="D15"/>
  <c r="D14"/>
  <c r="F14" s="1"/>
  <c r="D13"/>
  <c r="F13" s="1"/>
  <c r="D12"/>
  <c r="D11"/>
  <c r="D10"/>
  <c r="F10" s="1"/>
  <c r="D9"/>
  <c r="F9" s="1"/>
  <c r="D8"/>
  <c r="F8" s="1"/>
  <c r="D7"/>
  <c r="D6"/>
  <c r="F6" s="1"/>
  <c r="D5"/>
  <c r="F5" s="1"/>
  <c r="D5" i="128"/>
  <c r="L39" i="157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F39" i="156"/>
  <c r="L38"/>
  <c r="L37"/>
  <c r="L36"/>
  <c r="F36"/>
  <c r="F35"/>
  <c r="L33"/>
  <c r="L32"/>
  <c r="F31"/>
  <c r="L29"/>
  <c r="L28"/>
  <c r="L27"/>
  <c r="F27"/>
  <c r="L24"/>
  <c r="F24"/>
  <c r="F23"/>
  <c r="L21"/>
  <c r="F21"/>
  <c r="L20"/>
  <c r="F19"/>
  <c r="L17"/>
  <c r="L16"/>
  <c r="F15"/>
  <c r="L12"/>
  <c r="F12"/>
  <c r="L11"/>
  <c r="F11"/>
  <c r="L8"/>
  <c r="L7"/>
  <c r="F7"/>
  <c r="L5"/>
  <c r="L4"/>
  <c r="L39" i="153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52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40" s="1"/>
  <c r="L13"/>
  <c r="F13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51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50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4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48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47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46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45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44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43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42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41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40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J39" i="138"/>
  <c r="L39" s="1"/>
  <c r="J38"/>
  <c r="J37"/>
  <c r="J36"/>
  <c r="L36" s="1"/>
  <c r="J35"/>
  <c r="J34"/>
  <c r="J33"/>
  <c r="J32"/>
  <c r="L32" s="1"/>
  <c r="J31"/>
  <c r="L31" s="1"/>
  <c r="J30"/>
  <c r="J29"/>
  <c r="J28"/>
  <c r="L28" s="1"/>
  <c r="J27"/>
  <c r="J26"/>
  <c r="J25"/>
  <c r="J24"/>
  <c r="L24" s="1"/>
  <c r="J23"/>
  <c r="L23" s="1"/>
  <c r="J22"/>
  <c r="J21"/>
  <c r="J20"/>
  <c r="L20" s="1"/>
  <c r="J19"/>
  <c r="J18"/>
  <c r="L18" s="1"/>
  <c r="J17"/>
  <c r="J16"/>
  <c r="L16" s="1"/>
  <c r="J15"/>
  <c r="L15" s="1"/>
  <c r="J14"/>
  <c r="L14" s="1"/>
  <c r="J13"/>
  <c r="J12"/>
  <c r="L12" s="1"/>
  <c r="J11"/>
  <c r="L11" s="1"/>
  <c r="J10"/>
  <c r="J9"/>
  <c r="J8"/>
  <c r="L8" s="1"/>
  <c r="J7"/>
  <c r="J6"/>
  <c r="J5"/>
  <c r="J4"/>
  <c r="J3"/>
  <c r="L3" s="1"/>
  <c r="J2"/>
  <c r="L2" s="1"/>
  <c r="D39"/>
  <c r="D38"/>
  <c r="F38" s="1"/>
  <c r="D37"/>
  <c r="F37" s="1"/>
  <c r="D36"/>
  <c r="F36" s="1"/>
  <c r="D35"/>
  <c r="D34"/>
  <c r="F34" s="1"/>
  <c r="D33"/>
  <c r="D32"/>
  <c r="D31"/>
  <c r="D30"/>
  <c r="F30" s="1"/>
  <c r="D29"/>
  <c r="F29" s="1"/>
  <c r="D28"/>
  <c r="F28" s="1"/>
  <c r="D27"/>
  <c r="D26"/>
  <c r="F26" s="1"/>
  <c r="D25"/>
  <c r="D24"/>
  <c r="D23"/>
  <c r="D22"/>
  <c r="F22" s="1"/>
  <c r="D21"/>
  <c r="F21" s="1"/>
  <c r="D20"/>
  <c r="F20" s="1"/>
  <c r="D19"/>
  <c r="D18"/>
  <c r="F18" s="1"/>
  <c r="D17"/>
  <c r="D16"/>
  <c r="D15"/>
  <c r="F15" s="1"/>
  <c r="D14"/>
  <c r="F14" s="1"/>
  <c r="D13"/>
  <c r="F13" s="1"/>
  <c r="D12"/>
  <c r="F12" s="1"/>
  <c r="D10"/>
  <c r="F10" s="1"/>
  <c r="D9"/>
  <c r="F9" s="1"/>
  <c r="D8"/>
  <c r="F8" s="1"/>
  <c r="D7"/>
  <c r="F7" s="1"/>
  <c r="D6"/>
  <c r="D5"/>
  <c r="F5" s="1"/>
  <c r="D11"/>
  <c r="D11" i="128"/>
  <c r="F39" i="138"/>
  <c r="L38"/>
  <c r="L37"/>
  <c r="L35"/>
  <c r="F35"/>
  <c r="L34"/>
  <c r="L33"/>
  <c r="F33"/>
  <c r="F32"/>
  <c r="F31"/>
  <c r="L30"/>
  <c r="L29"/>
  <c r="L27"/>
  <c r="F27"/>
  <c r="L26"/>
  <c r="L25"/>
  <c r="F25"/>
  <c r="F24"/>
  <c r="F23"/>
  <c r="L22"/>
  <c r="L21"/>
  <c r="L19"/>
  <c r="F19"/>
  <c r="L17"/>
  <c r="F17"/>
  <c r="F16"/>
  <c r="L13"/>
  <c r="F11"/>
  <c r="L10"/>
  <c r="L9"/>
  <c r="L7"/>
  <c r="L6"/>
  <c r="F6"/>
  <c r="L5"/>
  <c r="L4"/>
  <c r="L39" i="137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36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35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34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33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32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31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30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40" i="156" l="1"/>
  <c r="L40" i="130"/>
  <c r="L40" i="138"/>
  <c r="J39" i="128"/>
  <c r="J38"/>
  <c r="L38" s="1"/>
  <c r="J37"/>
  <c r="J36"/>
  <c r="J35"/>
  <c r="J34"/>
  <c r="L34" s="1"/>
  <c r="J33"/>
  <c r="L33" s="1"/>
  <c r="J32"/>
  <c r="J31"/>
  <c r="J30"/>
  <c r="L30" s="1"/>
  <c r="J29"/>
  <c r="L29" s="1"/>
  <c r="J28"/>
  <c r="J27"/>
  <c r="J26"/>
  <c r="L26" s="1"/>
  <c r="J25"/>
  <c r="J24"/>
  <c r="J23"/>
  <c r="J22"/>
  <c r="L22" s="1"/>
  <c r="J21"/>
  <c r="J20"/>
  <c r="J19"/>
  <c r="J18"/>
  <c r="L18" s="1"/>
  <c r="J17"/>
  <c r="L17" s="1"/>
  <c r="J16"/>
  <c r="J15"/>
  <c r="J14"/>
  <c r="L14" s="1"/>
  <c r="J13"/>
  <c r="L13" s="1"/>
  <c r="J12"/>
  <c r="J11"/>
  <c r="J10"/>
  <c r="L10" s="1"/>
  <c r="J9"/>
  <c r="L9" s="1"/>
  <c r="J8"/>
  <c r="J7"/>
  <c r="J6"/>
  <c r="L6" s="1"/>
  <c r="J5"/>
  <c r="L5" s="1"/>
  <c r="J4"/>
  <c r="J3"/>
  <c r="J2"/>
  <c r="L2" s="1"/>
  <c r="D39"/>
  <c r="F39" s="1"/>
  <c r="D38"/>
  <c r="D37"/>
  <c r="D36"/>
  <c r="F36" s="1"/>
  <c r="D35"/>
  <c r="D34"/>
  <c r="D33"/>
  <c r="D32"/>
  <c r="F32" s="1"/>
  <c r="D31"/>
  <c r="D30"/>
  <c r="D29"/>
  <c r="D28"/>
  <c r="F28" s="1"/>
  <c r="D27"/>
  <c r="F27" s="1"/>
  <c r="D26"/>
  <c r="D25"/>
  <c r="D24"/>
  <c r="D23"/>
  <c r="F23" s="1"/>
  <c r="D22"/>
  <c r="D21"/>
  <c r="D20"/>
  <c r="F20" s="1"/>
  <c r="D19"/>
  <c r="D18"/>
  <c r="D17"/>
  <c r="D16"/>
  <c r="F16" s="1"/>
  <c r="D15"/>
  <c r="F15" s="1"/>
  <c r="D14"/>
  <c r="D13"/>
  <c r="D12"/>
  <c r="F12" s="1"/>
  <c r="D10"/>
  <c r="F10" s="1"/>
  <c r="D9"/>
  <c r="F9" s="1"/>
  <c r="D8"/>
  <c r="D7"/>
  <c r="F7" s="1"/>
  <c r="D6"/>
  <c r="F6" s="1"/>
  <c r="F5"/>
  <c r="L39" i="12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D1"/>
  <c r="L39" i="128"/>
  <c r="F38"/>
  <c r="L37"/>
  <c r="F37"/>
  <c r="L36"/>
  <c r="L35"/>
  <c r="F35"/>
  <c r="F34"/>
  <c r="F33"/>
  <c r="L32"/>
  <c r="L31"/>
  <c r="F31"/>
  <c r="F30"/>
  <c r="F29"/>
  <c r="L28"/>
  <c r="L27"/>
  <c r="F26"/>
  <c r="L25"/>
  <c r="F25"/>
  <c r="L24"/>
  <c r="F24"/>
  <c r="L23"/>
  <c r="F22"/>
  <c r="L21"/>
  <c r="F21"/>
  <c r="L20"/>
  <c r="L19"/>
  <c r="F19"/>
  <c r="F18"/>
  <c r="F17"/>
  <c r="L16"/>
  <c r="L15"/>
  <c r="F14"/>
  <c r="F13"/>
  <c r="L12"/>
  <c r="L11"/>
  <c r="F11"/>
  <c r="L8"/>
  <c r="F8"/>
  <c r="L7"/>
  <c r="L4"/>
  <c r="L3"/>
  <c r="D1"/>
  <c r="L39" i="127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D1"/>
  <c r="L39" i="126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D1"/>
  <c r="L39" i="125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D1"/>
  <c r="L39" i="124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D1"/>
  <c r="L39" i="123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D1"/>
  <c r="L39" i="122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D1"/>
  <c r="L39" i="121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D1"/>
  <c r="L39" i="120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D1"/>
  <c r="L39" i="11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D1"/>
  <c r="L39" i="118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D1"/>
  <c r="L39" i="117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D1"/>
  <c r="L39" i="116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D1"/>
  <c r="L39" i="115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40" s="1"/>
  <c r="L13"/>
  <c r="F13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D1"/>
  <c r="L39" i="114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D1"/>
  <c r="L39" i="113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D1"/>
  <c r="L40" i="112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D1"/>
  <c r="L39" i="111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D1"/>
  <c r="L40" i="128" l="1"/>
  <c r="J39" i="110"/>
  <c r="L39" s="1"/>
  <c r="J38"/>
  <c r="J37"/>
  <c r="J36"/>
  <c r="L36" s="1"/>
  <c r="J35"/>
  <c r="J34"/>
  <c r="J33"/>
  <c r="J32"/>
  <c r="L32" s="1"/>
  <c r="J31"/>
  <c r="J30"/>
  <c r="J29"/>
  <c r="J28"/>
  <c r="L28" s="1"/>
  <c r="J27"/>
  <c r="J26"/>
  <c r="J25"/>
  <c r="J24"/>
  <c r="J23"/>
  <c r="L23" s="1"/>
  <c r="J22"/>
  <c r="J21"/>
  <c r="J20"/>
  <c r="L20" s="1"/>
  <c r="J19"/>
  <c r="J18"/>
  <c r="J17"/>
  <c r="J16"/>
  <c r="L16" s="1"/>
  <c r="J15"/>
  <c r="J14"/>
  <c r="J13"/>
  <c r="J12"/>
  <c r="L12" s="1"/>
  <c r="J11"/>
  <c r="J10"/>
  <c r="J9"/>
  <c r="J8"/>
  <c r="L8" s="1"/>
  <c r="J7"/>
  <c r="J6"/>
  <c r="J5"/>
  <c r="J4"/>
  <c r="L4" s="1"/>
  <c r="J3"/>
  <c r="J2"/>
  <c r="D39"/>
  <c r="D38"/>
  <c r="F38" s="1"/>
  <c r="D37"/>
  <c r="F37" s="1"/>
  <c r="D36"/>
  <c r="D35"/>
  <c r="D34"/>
  <c r="F34" s="1"/>
  <c r="D33"/>
  <c r="D32"/>
  <c r="D31"/>
  <c r="D30"/>
  <c r="F30" s="1"/>
  <c r="D29"/>
  <c r="D28"/>
  <c r="D27"/>
  <c r="D26"/>
  <c r="F26" s="1"/>
  <c r="D25"/>
  <c r="D24"/>
  <c r="D23"/>
  <c r="D22"/>
  <c r="F22" s="1"/>
  <c r="D21"/>
  <c r="F21" s="1"/>
  <c r="D20"/>
  <c r="D19"/>
  <c r="F19" s="1"/>
  <c r="D18"/>
  <c r="F18" s="1"/>
  <c r="D17"/>
  <c r="D16"/>
  <c r="D15"/>
  <c r="D14"/>
  <c r="F14" s="1"/>
  <c r="D13"/>
  <c r="D12"/>
  <c r="D11"/>
  <c r="D10"/>
  <c r="F10" s="1"/>
  <c r="D9"/>
  <c r="F9" s="1"/>
  <c r="D8"/>
  <c r="D7"/>
  <c r="D6"/>
  <c r="F6" s="1"/>
  <c r="D5"/>
  <c r="F5" s="1"/>
  <c r="F39"/>
  <c r="L38"/>
  <c r="L37"/>
  <c r="F36"/>
  <c r="L35"/>
  <c r="F35"/>
  <c r="L34"/>
  <c r="L33"/>
  <c r="F33"/>
  <c r="F32"/>
  <c r="L31"/>
  <c r="F31"/>
  <c r="L30"/>
  <c r="L29"/>
  <c r="F29"/>
  <c r="F28"/>
  <c r="L27"/>
  <c r="F27"/>
  <c r="L26"/>
  <c r="L25"/>
  <c r="F25"/>
  <c r="L24"/>
  <c r="F24"/>
  <c r="F23"/>
  <c r="L22"/>
  <c r="L21"/>
  <c r="F20"/>
  <c r="L19"/>
  <c r="L18"/>
  <c r="L17"/>
  <c r="F17"/>
  <c r="F16"/>
  <c r="L15"/>
  <c r="F15"/>
  <c r="L14"/>
  <c r="L13"/>
  <c r="F13"/>
  <c r="F12"/>
  <c r="L11"/>
  <c r="F11"/>
  <c r="L10"/>
  <c r="L9"/>
  <c r="F8"/>
  <c r="L7"/>
  <c r="F7"/>
  <c r="L6"/>
  <c r="L5"/>
  <c r="L3"/>
  <c r="L2"/>
  <c r="L39" i="10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08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40" s="1"/>
  <c r="L13"/>
  <c r="F13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107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40" i="110" l="1"/>
  <c r="J39" i="106"/>
  <c r="L39" s="1"/>
  <c r="J38"/>
  <c r="L38" s="1"/>
  <c r="J37"/>
  <c r="J36"/>
  <c r="L36" s="1"/>
  <c r="J35"/>
  <c r="J34"/>
  <c r="L34" s="1"/>
  <c r="J33"/>
  <c r="J32"/>
  <c r="J31"/>
  <c r="L31" s="1"/>
  <c r="J30"/>
  <c r="L30" s="1"/>
  <c r="J29"/>
  <c r="J28"/>
  <c r="L28" s="1"/>
  <c r="J27"/>
  <c r="J26"/>
  <c r="L26" s="1"/>
  <c r="J25"/>
  <c r="J24"/>
  <c r="L24" s="1"/>
  <c r="J23"/>
  <c r="L23" s="1"/>
  <c r="J22"/>
  <c r="L22" s="1"/>
  <c r="J21"/>
  <c r="J20"/>
  <c r="L20" s="1"/>
  <c r="J19"/>
  <c r="J18"/>
  <c r="L18" s="1"/>
  <c r="J17"/>
  <c r="J16"/>
  <c r="J15"/>
  <c r="J14"/>
  <c r="L14" s="1"/>
  <c r="J13"/>
  <c r="J12"/>
  <c r="J11"/>
  <c r="L11" s="1"/>
  <c r="J10"/>
  <c r="J9"/>
  <c r="J8"/>
  <c r="J7"/>
  <c r="L7" s="1"/>
  <c r="J6"/>
  <c r="J5"/>
  <c r="J4"/>
  <c r="L4" s="1"/>
  <c r="J3"/>
  <c r="L3" s="1"/>
  <c r="J2"/>
  <c r="L2" s="1"/>
  <c r="D39"/>
  <c r="D38"/>
  <c r="F38" s="1"/>
  <c r="D37"/>
  <c r="F37" s="1"/>
  <c r="D36"/>
  <c r="F36" s="1"/>
  <c r="D35"/>
  <c r="D34"/>
  <c r="F34" s="1"/>
  <c r="D33"/>
  <c r="F33" s="1"/>
  <c r="D32"/>
  <c r="D31"/>
  <c r="D30"/>
  <c r="D29"/>
  <c r="F29" s="1"/>
  <c r="D28"/>
  <c r="F28" s="1"/>
  <c r="D27"/>
  <c r="D26"/>
  <c r="F26" s="1"/>
  <c r="D25"/>
  <c r="F25" s="1"/>
  <c r="D24"/>
  <c r="D23"/>
  <c r="D22"/>
  <c r="F22" s="1"/>
  <c r="D21"/>
  <c r="D20"/>
  <c r="D19"/>
  <c r="D18"/>
  <c r="F18" s="1"/>
  <c r="D17"/>
  <c r="F17" s="1"/>
  <c r="D16"/>
  <c r="F16" s="1"/>
  <c r="D15"/>
  <c r="D14"/>
  <c r="F14" s="1"/>
  <c r="D13"/>
  <c r="D12"/>
  <c r="F12" s="1"/>
  <c r="D11"/>
  <c r="D10"/>
  <c r="F10" s="1"/>
  <c r="D9"/>
  <c r="F9" s="1"/>
  <c r="D8"/>
  <c r="D7"/>
  <c r="D6"/>
  <c r="F6" s="1"/>
  <c r="D5"/>
  <c r="F5" s="1"/>
  <c r="D6" i="78"/>
  <c r="D7" i="76"/>
  <c r="F39" i="106"/>
  <c r="L37"/>
  <c r="L35"/>
  <c r="F35"/>
  <c r="L33"/>
  <c r="L32"/>
  <c r="F32"/>
  <c r="F31"/>
  <c r="F30"/>
  <c r="L29"/>
  <c r="L27"/>
  <c r="F27"/>
  <c r="L25"/>
  <c r="F24"/>
  <c r="F23"/>
  <c r="L21"/>
  <c r="F21"/>
  <c r="F20"/>
  <c r="F19"/>
  <c r="L17"/>
  <c r="L16"/>
  <c r="L15"/>
  <c r="F15"/>
  <c r="L13"/>
  <c r="F13"/>
  <c r="L12"/>
  <c r="F11"/>
  <c r="L10"/>
  <c r="L9"/>
  <c r="L8"/>
  <c r="F8"/>
  <c r="F7"/>
  <c r="L6"/>
  <c r="L5"/>
  <c r="L39" i="105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40" s="1"/>
  <c r="L39" i="80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40" s="1"/>
  <c r="L40" i="106" l="1"/>
  <c r="J39" i="78"/>
  <c r="L39" s="1"/>
  <c r="J38"/>
  <c r="J37"/>
  <c r="J36"/>
  <c r="L36" s="1"/>
  <c r="J35"/>
  <c r="L35" s="1"/>
  <c r="J34"/>
  <c r="J33"/>
  <c r="J32"/>
  <c r="J31"/>
  <c r="L31" s="1"/>
  <c r="J30"/>
  <c r="J29"/>
  <c r="J28"/>
  <c r="L28" s="1"/>
  <c r="J27"/>
  <c r="L27" s="1"/>
  <c r="J26"/>
  <c r="J25"/>
  <c r="J24"/>
  <c r="J23"/>
  <c r="L23" s="1"/>
  <c r="J22"/>
  <c r="J21"/>
  <c r="J20"/>
  <c r="L20" s="1"/>
  <c r="J19"/>
  <c r="L19" s="1"/>
  <c r="J18"/>
  <c r="J17"/>
  <c r="J16"/>
  <c r="J15"/>
  <c r="L15" s="1"/>
  <c r="J14"/>
  <c r="J13"/>
  <c r="J12"/>
  <c r="L12" s="1"/>
  <c r="J11"/>
  <c r="L11" s="1"/>
  <c r="J10"/>
  <c r="J9"/>
  <c r="J8"/>
  <c r="J7"/>
  <c r="L7" s="1"/>
  <c r="J6"/>
  <c r="J5"/>
  <c r="J4"/>
  <c r="L4" s="1"/>
  <c r="J3"/>
  <c r="J2"/>
  <c r="L2" s="1"/>
  <c r="D39"/>
  <c r="D38"/>
  <c r="D37"/>
  <c r="F37" s="1"/>
  <c r="D36"/>
  <c r="D35"/>
  <c r="D34"/>
  <c r="F34" s="1"/>
  <c r="D33"/>
  <c r="F33" s="1"/>
  <c r="D32"/>
  <c r="D31"/>
  <c r="D30"/>
  <c r="D29"/>
  <c r="F29" s="1"/>
  <c r="D28"/>
  <c r="D27"/>
  <c r="D26"/>
  <c r="F26" s="1"/>
  <c r="D25"/>
  <c r="F25" s="1"/>
  <c r="D24"/>
  <c r="D23"/>
  <c r="D22"/>
  <c r="D21"/>
  <c r="F21" s="1"/>
  <c r="D20"/>
  <c r="D19"/>
  <c r="D18"/>
  <c r="F18" s="1"/>
  <c r="D17"/>
  <c r="F17" s="1"/>
  <c r="D16"/>
  <c r="D15"/>
  <c r="D14"/>
  <c r="D13"/>
  <c r="F13" s="1"/>
  <c r="D12"/>
  <c r="D11"/>
  <c r="D10"/>
  <c r="F10" s="1"/>
  <c r="D9"/>
  <c r="F9" s="1"/>
  <c r="D8"/>
  <c r="D7"/>
  <c r="L39" i="104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40" s="1"/>
  <c r="L5"/>
  <c r="F5"/>
  <c r="L4"/>
  <c r="L3"/>
  <c r="L2"/>
  <c r="L39" i="103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5"/>
  <c r="F5"/>
  <c r="L40" s="1"/>
  <c r="L4"/>
  <c r="L3"/>
  <c r="L2"/>
  <c r="L39" i="102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40" s="1"/>
  <c r="L5"/>
  <c r="F5"/>
  <c r="L4"/>
  <c r="L3"/>
  <c r="L2"/>
  <c r="L39" i="101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5"/>
  <c r="F5"/>
  <c r="L40" s="1"/>
  <c r="L4"/>
  <c r="L3"/>
  <c r="L2"/>
  <c r="L39" i="100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5"/>
  <c r="F5"/>
  <c r="L40" s="1"/>
  <c r="L4"/>
  <c r="L3"/>
  <c r="L2"/>
  <c r="L39" i="9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5"/>
  <c r="F5"/>
  <c r="L40" s="1"/>
  <c r="L4"/>
  <c r="L3"/>
  <c r="L2"/>
  <c r="L39" i="98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5"/>
  <c r="F5"/>
  <c r="L40" s="1"/>
  <c r="L4"/>
  <c r="L3"/>
  <c r="L2"/>
  <c r="L39" i="97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5"/>
  <c r="F5"/>
  <c r="L40" s="1"/>
  <c r="L4"/>
  <c r="L3"/>
  <c r="L2"/>
  <c r="L40" i="96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L39" i="95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5"/>
  <c r="F5"/>
  <c r="L40" s="1"/>
  <c r="L4"/>
  <c r="L3"/>
  <c r="L2"/>
  <c r="L39" i="94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5"/>
  <c r="F5"/>
  <c r="L40" s="1"/>
  <c r="L4"/>
  <c r="L3"/>
  <c r="L2"/>
  <c r="L39" i="93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5"/>
  <c r="F5"/>
  <c r="L40" s="1"/>
  <c r="L4"/>
  <c r="L3"/>
  <c r="L2"/>
  <c r="L39" i="92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5"/>
  <c r="F5"/>
  <c r="L40" s="1"/>
  <c r="L4"/>
  <c r="L3"/>
  <c r="L2"/>
  <c r="L39" i="91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5"/>
  <c r="F5"/>
  <c r="L40" s="1"/>
  <c r="L4"/>
  <c r="L3"/>
  <c r="L2"/>
  <c r="L39" i="90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5"/>
  <c r="F5"/>
  <c r="L40" s="1"/>
  <c r="L4"/>
  <c r="L3"/>
  <c r="L2"/>
  <c r="L39" i="8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5"/>
  <c r="F5"/>
  <c r="L40" s="1"/>
  <c r="L4"/>
  <c r="L3"/>
  <c r="L2"/>
  <c r="L39" i="88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5"/>
  <c r="F5"/>
  <c r="L40" s="1"/>
  <c r="L4"/>
  <c r="L3"/>
  <c r="L2"/>
  <c r="L39" i="87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5"/>
  <c r="F5"/>
  <c r="L40" s="1"/>
  <c r="L4"/>
  <c r="L3"/>
  <c r="L2"/>
  <c r="L39" i="86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5"/>
  <c r="F5"/>
  <c r="L40" s="1"/>
  <c r="L4"/>
  <c r="L3"/>
  <c r="L2"/>
  <c r="L39" i="85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5"/>
  <c r="F5"/>
  <c r="L40" s="1"/>
  <c r="L4"/>
  <c r="L3"/>
  <c r="L2"/>
  <c r="L39" i="84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5"/>
  <c r="F5"/>
  <c r="L40" s="1"/>
  <c r="L4"/>
  <c r="L3"/>
  <c r="L2"/>
  <c r="L39" i="83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5"/>
  <c r="F5"/>
  <c r="L40" s="1"/>
  <c r="L4"/>
  <c r="L3"/>
  <c r="L2"/>
  <c r="L39" i="82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5"/>
  <c r="F5"/>
  <c r="L40" s="1"/>
  <c r="L4"/>
  <c r="L3"/>
  <c r="L2"/>
  <c r="L39" i="81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5"/>
  <c r="F5"/>
  <c r="L40" s="1"/>
  <c r="L4"/>
  <c r="L3"/>
  <c r="L2"/>
  <c r="L39" i="7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5"/>
  <c r="F5"/>
  <c r="L40" s="1"/>
  <c r="L4"/>
  <c r="L3"/>
  <c r="L2"/>
  <c r="F39" i="78"/>
  <c r="L38"/>
  <c r="F38"/>
  <c r="L37"/>
  <c r="F36"/>
  <c r="F35"/>
  <c r="L34"/>
  <c r="L33"/>
  <c r="L32"/>
  <c r="F32"/>
  <c r="F31"/>
  <c r="L30"/>
  <c r="F30"/>
  <c r="L29"/>
  <c r="F28"/>
  <c r="F27"/>
  <c r="L26"/>
  <c r="L25"/>
  <c r="L24"/>
  <c r="F24"/>
  <c r="F23"/>
  <c r="L22"/>
  <c r="F22"/>
  <c r="L21"/>
  <c r="F20"/>
  <c r="F19"/>
  <c r="L18"/>
  <c r="L17"/>
  <c r="L16"/>
  <c r="F16"/>
  <c r="F15"/>
  <c r="L14"/>
  <c r="F14"/>
  <c r="L13"/>
  <c r="F12"/>
  <c r="F11"/>
  <c r="L10"/>
  <c r="L9"/>
  <c r="L8"/>
  <c r="F8"/>
  <c r="F7"/>
  <c r="L6"/>
  <c r="F6"/>
  <c r="L5"/>
  <c r="F5"/>
  <c r="L3"/>
  <c r="L40" l="1"/>
  <c r="L39" i="77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40" s="1"/>
  <c r="L12"/>
  <c r="F12"/>
  <c r="L11"/>
  <c r="F11"/>
  <c r="L10"/>
  <c r="F10"/>
  <c r="L9"/>
  <c r="F9"/>
  <c r="L8"/>
  <c r="F8"/>
  <c r="L7"/>
  <c r="F7"/>
  <c r="L6"/>
  <c r="F6"/>
  <c r="L5"/>
  <c r="F5"/>
  <c r="L4"/>
  <c r="L3"/>
  <c r="L2"/>
  <c r="J41" i="76" l="1"/>
  <c r="L41" s="1"/>
  <c r="J40"/>
  <c r="L40" s="1"/>
  <c r="J39"/>
  <c r="J38"/>
  <c r="J37"/>
  <c r="L37" s="1"/>
  <c r="J36"/>
  <c r="J35"/>
  <c r="J34"/>
  <c r="J33"/>
  <c r="L33" s="1"/>
  <c r="J32"/>
  <c r="L32" s="1"/>
  <c r="J31"/>
  <c r="J30"/>
  <c r="J29"/>
  <c r="L29" s="1"/>
  <c r="J28"/>
  <c r="J27"/>
  <c r="J26"/>
  <c r="J25"/>
  <c r="L25" s="1"/>
  <c r="J24"/>
  <c r="L24" s="1"/>
  <c r="J23"/>
  <c r="J22"/>
  <c r="J21"/>
  <c r="L21" s="1"/>
  <c r="J20"/>
  <c r="J19"/>
  <c r="J18"/>
  <c r="J17"/>
  <c r="L17" s="1"/>
  <c r="J16"/>
  <c r="J15"/>
  <c r="J14"/>
  <c r="J13"/>
  <c r="L13" s="1"/>
  <c r="J12"/>
  <c r="L12" s="1"/>
  <c r="J11"/>
  <c r="J10"/>
  <c r="J9"/>
  <c r="L9" s="1"/>
  <c r="J8"/>
  <c r="J7"/>
  <c r="J6"/>
  <c r="J5"/>
  <c r="L5" s="1"/>
  <c r="J4"/>
  <c r="D41"/>
  <c r="D40"/>
  <c r="D39"/>
  <c r="F39" s="1"/>
  <c r="D38"/>
  <c r="F38" s="1"/>
  <c r="D37"/>
  <c r="D36"/>
  <c r="D35"/>
  <c r="F35" s="1"/>
  <c r="D34"/>
  <c r="D33"/>
  <c r="D32"/>
  <c r="D31"/>
  <c r="F31" s="1"/>
  <c r="D30"/>
  <c r="F30" s="1"/>
  <c r="D29"/>
  <c r="D28"/>
  <c r="D27"/>
  <c r="F27" s="1"/>
  <c r="D26"/>
  <c r="D25"/>
  <c r="D24"/>
  <c r="D23"/>
  <c r="F23" s="1"/>
  <c r="D22"/>
  <c r="F22" s="1"/>
  <c r="D21"/>
  <c r="D20"/>
  <c r="F20" s="1"/>
  <c r="D19"/>
  <c r="D18"/>
  <c r="F18" s="1"/>
  <c r="D17"/>
  <c r="D16"/>
  <c r="D15"/>
  <c r="F15" s="1"/>
  <c r="D14"/>
  <c r="D13"/>
  <c r="D12"/>
  <c r="D11"/>
  <c r="F11" s="1"/>
  <c r="D10"/>
  <c r="F10" s="1"/>
  <c r="D9"/>
  <c r="D8"/>
  <c r="F7"/>
  <c r="F41"/>
  <c r="F40"/>
  <c r="L39"/>
  <c r="L38"/>
  <c r="F37"/>
  <c r="L36"/>
  <c r="F36"/>
  <c r="L35"/>
  <c r="L34"/>
  <c r="F34"/>
  <c r="F33"/>
  <c r="F32"/>
  <c r="L31"/>
  <c r="L30"/>
  <c r="F29"/>
  <c r="L28"/>
  <c r="F28"/>
  <c r="L27"/>
  <c r="L26"/>
  <c r="F26"/>
  <c r="F25"/>
  <c r="F24"/>
  <c r="L23"/>
  <c r="L22"/>
  <c r="F21"/>
  <c r="L20"/>
  <c r="L19"/>
  <c r="F19"/>
  <c r="L18"/>
  <c r="F17"/>
  <c r="L16"/>
  <c r="F16"/>
  <c r="L15"/>
  <c r="L14"/>
  <c r="F14"/>
  <c r="F13"/>
  <c r="F12"/>
  <c r="L11"/>
  <c r="L10"/>
  <c r="F9"/>
  <c r="L8"/>
  <c r="F8"/>
  <c r="L7"/>
  <c r="L6"/>
  <c r="L4"/>
  <c r="L41" i="75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1" i="74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1" i="73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1" i="72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1" i="71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1" i="70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1" i="69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1" i="68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L5"/>
  <c r="L4"/>
  <c r="L41" i="67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1" i="66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1" i="65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L5"/>
  <c r="L4"/>
  <c r="L41" i="64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1" i="63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1" i="62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1" i="61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L5"/>
  <c r="L4"/>
  <c r="J41" i="58"/>
  <c r="L41" s="1"/>
  <c r="J40"/>
  <c r="L40" s="1"/>
  <c r="J39"/>
  <c r="J38"/>
  <c r="J37"/>
  <c r="L37" s="1"/>
  <c r="J36"/>
  <c r="L36" s="1"/>
  <c r="J35"/>
  <c r="J34"/>
  <c r="J33"/>
  <c r="L33" s="1"/>
  <c r="J32"/>
  <c r="L32" s="1"/>
  <c r="J31"/>
  <c r="J30"/>
  <c r="J29"/>
  <c r="L29" s="1"/>
  <c r="J28"/>
  <c r="L28" s="1"/>
  <c r="J27"/>
  <c r="J26"/>
  <c r="J25"/>
  <c r="L25" s="1"/>
  <c r="J24"/>
  <c r="L24" s="1"/>
  <c r="J23"/>
  <c r="J22"/>
  <c r="J21"/>
  <c r="L21" s="1"/>
  <c r="J20"/>
  <c r="L20" s="1"/>
  <c r="J19"/>
  <c r="J18"/>
  <c r="J17"/>
  <c r="L17" s="1"/>
  <c r="J16"/>
  <c r="J15"/>
  <c r="J14"/>
  <c r="J13"/>
  <c r="J12"/>
  <c r="J11"/>
  <c r="L11" s="1"/>
  <c r="J10"/>
  <c r="J9"/>
  <c r="L9" s="1"/>
  <c r="J8"/>
  <c r="L8" s="1"/>
  <c r="J7"/>
  <c r="J6"/>
  <c r="J5"/>
  <c r="L5" s="1"/>
  <c r="J4"/>
  <c r="L4" s="1"/>
  <c r="D41"/>
  <c r="D40"/>
  <c r="D39"/>
  <c r="F39" s="1"/>
  <c r="D38"/>
  <c r="D37"/>
  <c r="D36"/>
  <c r="D35"/>
  <c r="F35" s="1"/>
  <c r="D34"/>
  <c r="D33"/>
  <c r="D32"/>
  <c r="D31"/>
  <c r="F31" s="1"/>
  <c r="D30"/>
  <c r="D29"/>
  <c r="D28"/>
  <c r="D27"/>
  <c r="F27" s="1"/>
  <c r="D26"/>
  <c r="D25"/>
  <c r="D24"/>
  <c r="D23"/>
  <c r="F23" s="1"/>
  <c r="D22"/>
  <c r="D21"/>
  <c r="D20"/>
  <c r="F20" s="1"/>
  <c r="D19"/>
  <c r="F19" s="1"/>
  <c r="D18"/>
  <c r="F18" s="1"/>
  <c r="D17"/>
  <c r="F17" s="1"/>
  <c r="D16"/>
  <c r="F16" s="1"/>
  <c r="D15"/>
  <c r="F15" s="1"/>
  <c r="D14"/>
  <c r="F14" s="1"/>
  <c r="D13"/>
  <c r="F13" s="1"/>
  <c r="D12"/>
  <c r="F12" s="1"/>
  <c r="D11"/>
  <c r="F11" s="1"/>
  <c r="D10"/>
  <c r="D9"/>
  <c r="D8"/>
  <c r="F8" s="1"/>
  <c r="D7"/>
  <c r="F7" s="1"/>
  <c r="F41"/>
  <c r="F40"/>
  <c r="L39"/>
  <c r="L38"/>
  <c r="F38"/>
  <c r="F37"/>
  <c r="F36"/>
  <c r="L35"/>
  <c r="L34"/>
  <c r="F34"/>
  <c r="F33"/>
  <c r="F32"/>
  <c r="L31"/>
  <c r="L30"/>
  <c r="F30"/>
  <c r="F29"/>
  <c r="F28"/>
  <c r="L27"/>
  <c r="L26"/>
  <c r="F26"/>
  <c r="F25"/>
  <c r="F24"/>
  <c r="L23"/>
  <c r="L22"/>
  <c r="F22"/>
  <c r="F21"/>
  <c r="L19"/>
  <c r="L18"/>
  <c r="L16"/>
  <c r="L15"/>
  <c r="L14"/>
  <c r="L13"/>
  <c r="L12"/>
  <c r="L10"/>
  <c r="F10"/>
  <c r="F9"/>
  <c r="L7"/>
  <c r="L6"/>
  <c r="L41" i="57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1" i="56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42" s="1"/>
  <c r="L7"/>
  <c r="F7"/>
  <c r="L6"/>
  <c r="L5"/>
  <c r="L4"/>
  <c r="L41" i="55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1" i="54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1" i="53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1" i="52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1" i="51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1" i="50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1" i="49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1" i="48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1" i="47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1" i="46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1" i="45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1" i="44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1" i="43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L5"/>
  <c r="L4"/>
  <c r="L41" i="42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1" i="41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1" i="40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1" i="39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1" i="38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1" i="37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1" i="36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1" i="35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1" i="4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2" i="68" l="1"/>
  <c r="L42" i="65"/>
  <c r="L42" i="61"/>
  <c r="L42" i="76"/>
  <c r="L42" i="58"/>
  <c r="L42" i="43"/>
  <c r="J41" i="3"/>
  <c r="J40"/>
  <c r="J39"/>
  <c r="L39" s="1"/>
  <c r="J38"/>
  <c r="J37"/>
  <c r="J36"/>
  <c r="J35"/>
  <c r="L35" s="1"/>
  <c r="J34"/>
  <c r="J33"/>
  <c r="J32"/>
  <c r="J31"/>
  <c r="L31" s="1"/>
  <c r="J30"/>
  <c r="J29"/>
  <c r="J28"/>
  <c r="J27"/>
  <c r="L27" s="1"/>
  <c r="J26"/>
  <c r="J25"/>
  <c r="J24"/>
  <c r="J23"/>
  <c r="L23" s="1"/>
  <c r="J22"/>
  <c r="J21"/>
  <c r="J20"/>
  <c r="J19"/>
  <c r="L19" s="1"/>
  <c r="J18"/>
  <c r="J17"/>
  <c r="J16"/>
  <c r="J15"/>
  <c r="L15" s="1"/>
  <c r="J14"/>
  <c r="J13"/>
  <c r="J12"/>
  <c r="J11"/>
  <c r="L11" s="1"/>
  <c r="J10"/>
  <c r="J9"/>
  <c r="J8"/>
  <c r="J7"/>
  <c r="L7" s="1"/>
  <c r="J6"/>
  <c r="J5"/>
  <c r="L5" s="1"/>
  <c r="J4"/>
  <c r="D41"/>
  <c r="F41" s="1"/>
  <c r="D40"/>
  <c r="D39"/>
  <c r="F39" s="1"/>
  <c r="D38"/>
  <c r="D37"/>
  <c r="F37" s="1"/>
  <c r="D36"/>
  <c r="D35"/>
  <c r="F35" s="1"/>
  <c r="D34"/>
  <c r="D33"/>
  <c r="F33" s="1"/>
  <c r="D32"/>
  <c r="D31"/>
  <c r="F31" s="1"/>
  <c r="D30"/>
  <c r="D29"/>
  <c r="F29" s="1"/>
  <c r="D28"/>
  <c r="D27"/>
  <c r="F27" s="1"/>
  <c r="D26"/>
  <c r="D25"/>
  <c r="F25" s="1"/>
  <c r="D24"/>
  <c r="D23"/>
  <c r="F23" s="1"/>
  <c r="D22"/>
  <c r="D21"/>
  <c r="F21" s="1"/>
  <c r="D20"/>
  <c r="D19"/>
  <c r="F19" s="1"/>
  <c r="D18"/>
  <c r="D17"/>
  <c r="F17" s="1"/>
  <c r="D16"/>
  <c r="D15"/>
  <c r="F15" s="1"/>
  <c r="D14"/>
  <c r="D13"/>
  <c r="F13" s="1"/>
  <c r="D12"/>
  <c r="D11"/>
  <c r="F11" s="1"/>
  <c r="D10"/>
  <c r="D9"/>
  <c r="F9" s="1"/>
  <c r="D8"/>
  <c r="D7"/>
  <c r="F7" s="1"/>
  <c r="L41" i="34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1" i="33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1" i="32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1" i="31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42" s="1"/>
  <c r="L7"/>
  <c r="F7"/>
  <c r="L6"/>
  <c r="L5"/>
  <c r="L4"/>
  <c r="L41" i="30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1" i="29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1" i="28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1" i="27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L5"/>
  <c r="L4"/>
  <c r="L41" i="26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42" s="1"/>
  <c r="L7"/>
  <c r="F7"/>
  <c r="L6"/>
  <c r="L5"/>
  <c r="L4"/>
  <c r="L41" i="25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42" s="1"/>
  <c r="L7"/>
  <c r="F7"/>
  <c r="L6"/>
  <c r="L5"/>
  <c r="L4"/>
  <c r="L41" i="24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1" i="23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1" i="22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1" i="21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42" s="1"/>
  <c r="L6"/>
  <c r="L5"/>
  <c r="L4"/>
  <c r="L41" i="20"/>
  <c r="F41"/>
  <c r="L40"/>
  <c r="F40"/>
  <c r="L3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L5"/>
  <c r="L4"/>
  <c r="L41" i="3"/>
  <c r="L40"/>
  <c r="F40"/>
  <c r="L38"/>
  <c r="F38"/>
  <c r="L37"/>
  <c r="L36"/>
  <c r="F36"/>
  <c r="L34"/>
  <c r="F34"/>
  <c r="L33"/>
  <c r="L32"/>
  <c r="F32"/>
  <c r="L30"/>
  <c r="F30"/>
  <c r="L29"/>
  <c r="L28"/>
  <c r="F28"/>
  <c r="L26"/>
  <c r="F26"/>
  <c r="L25"/>
  <c r="L24"/>
  <c r="F24"/>
  <c r="L22"/>
  <c r="F22"/>
  <c r="L21"/>
  <c r="L20"/>
  <c r="F20"/>
  <c r="L18"/>
  <c r="F18"/>
  <c r="L17"/>
  <c r="L16"/>
  <c r="F16"/>
  <c r="L14"/>
  <c r="F14"/>
  <c r="L13"/>
  <c r="L12"/>
  <c r="F12"/>
  <c r="L10"/>
  <c r="F10"/>
  <c r="L9"/>
  <c r="L8"/>
  <c r="F8"/>
  <c r="L6"/>
  <c r="L4"/>
  <c r="J39" i="1"/>
  <c r="L39" s="1"/>
  <c r="J38"/>
  <c r="J37"/>
  <c r="J36"/>
  <c r="L36" s="1"/>
  <c r="J35"/>
  <c r="L35" s="1"/>
  <c r="J34"/>
  <c r="J33"/>
  <c r="J32"/>
  <c r="L32" s="1"/>
  <c r="J31"/>
  <c r="L31" s="1"/>
  <c r="J30"/>
  <c r="J29"/>
  <c r="J28"/>
  <c r="J27"/>
  <c r="J26"/>
  <c r="L26" s="1"/>
  <c r="J25"/>
  <c r="J24"/>
  <c r="L24" s="1"/>
  <c r="J23"/>
  <c r="J22"/>
  <c r="J21"/>
  <c r="J20"/>
  <c r="L20" s="1"/>
  <c r="J19"/>
  <c r="L19" s="1"/>
  <c r="J18"/>
  <c r="J17"/>
  <c r="J16"/>
  <c r="L16" s="1"/>
  <c r="J15"/>
  <c r="L15" s="1"/>
  <c r="J14"/>
  <c r="J13"/>
  <c r="J12"/>
  <c r="J11"/>
  <c r="J10"/>
  <c r="L10" s="1"/>
  <c r="J9"/>
  <c r="J8"/>
  <c r="L8" s="1"/>
  <c r="J7"/>
  <c r="J6"/>
  <c r="J5"/>
  <c r="J4"/>
  <c r="L4" s="1"/>
  <c r="J3"/>
  <c r="L3" s="1"/>
  <c r="J2"/>
  <c r="L2" s="1"/>
  <c r="D39"/>
  <c r="D38"/>
  <c r="F38" s="1"/>
  <c r="D37"/>
  <c r="D36"/>
  <c r="F36" s="1"/>
  <c r="D35"/>
  <c r="D34"/>
  <c r="F34" s="1"/>
  <c r="D33"/>
  <c r="D32"/>
  <c r="F32" s="1"/>
  <c r="D31"/>
  <c r="D30"/>
  <c r="F30" s="1"/>
  <c r="D29"/>
  <c r="F29" s="1"/>
  <c r="D28"/>
  <c r="F28" s="1"/>
  <c r="D27"/>
  <c r="D26"/>
  <c r="D25"/>
  <c r="F25" s="1"/>
  <c r="D24"/>
  <c r="F24" s="1"/>
  <c r="D23"/>
  <c r="D22"/>
  <c r="F22" s="1"/>
  <c r="D21"/>
  <c r="D20"/>
  <c r="F20" s="1"/>
  <c r="D19"/>
  <c r="D18"/>
  <c r="F18" s="1"/>
  <c r="D17"/>
  <c r="D16"/>
  <c r="F16" s="1"/>
  <c r="D15"/>
  <c r="D14"/>
  <c r="F14" s="1"/>
  <c r="D13"/>
  <c r="F13" s="1"/>
  <c r="D12"/>
  <c r="F12" s="1"/>
  <c r="D11"/>
  <c r="D10"/>
  <c r="D9"/>
  <c r="F9" s="1"/>
  <c r="D8"/>
  <c r="F8" s="1"/>
  <c r="D7"/>
  <c r="D6"/>
  <c r="F6" s="1"/>
  <c r="D5"/>
  <c r="L39" i="19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40" s="1"/>
  <c r="L5"/>
  <c r="F5"/>
  <c r="L4"/>
  <c r="L3"/>
  <c r="L2"/>
  <c r="L39" i="18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5"/>
  <c r="F5"/>
  <c r="L40" s="1"/>
  <c r="L4"/>
  <c r="L3"/>
  <c r="L2"/>
  <c r="L39" i="17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40" s="1"/>
  <c r="L5"/>
  <c r="F5"/>
  <c r="L4"/>
  <c r="L3"/>
  <c r="L2"/>
  <c r="L39" i="16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5"/>
  <c r="F5"/>
  <c r="L40" s="1"/>
  <c r="L4"/>
  <c r="L3"/>
  <c r="L2"/>
  <c r="L39" i="15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5"/>
  <c r="F5"/>
  <c r="L40" s="1"/>
  <c r="L4"/>
  <c r="L3"/>
  <c r="L2"/>
  <c r="L39" i="14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5"/>
  <c r="F5"/>
  <c r="L40" s="1"/>
  <c r="L4"/>
  <c r="L3"/>
  <c r="L2"/>
  <c r="L39" i="13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5"/>
  <c r="F5"/>
  <c r="L40" s="1"/>
  <c r="L4"/>
  <c r="L3"/>
  <c r="L2"/>
  <c r="L39" i="12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5"/>
  <c r="F5"/>
  <c r="L40" s="1"/>
  <c r="L4"/>
  <c r="L3"/>
  <c r="L2"/>
  <c r="L39" i="11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5"/>
  <c r="F5"/>
  <c r="L40" s="1"/>
  <c r="L4"/>
  <c r="L3"/>
  <c r="L2"/>
  <c r="L39" i="2"/>
  <c r="F39"/>
  <c r="L38"/>
  <c r="F38"/>
  <c r="L37"/>
  <c r="F37"/>
  <c r="L36"/>
  <c r="F36"/>
  <c r="L35"/>
  <c r="F35"/>
  <c r="L34"/>
  <c r="F34"/>
  <c r="L33"/>
  <c r="F33"/>
  <c r="L32"/>
  <c r="F32"/>
  <c r="L31"/>
  <c r="F31"/>
  <c r="L30"/>
  <c r="F30"/>
  <c r="L29"/>
  <c r="F29"/>
  <c r="L28"/>
  <c r="F28"/>
  <c r="L27"/>
  <c r="F27"/>
  <c r="L26"/>
  <c r="F26"/>
  <c r="L25"/>
  <c r="F25"/>
  <c r="L24"/>
  <c r="F24"/>
  <c r="L23"/>
  <c r="F23"/>
  <c r="L22"/>
  <c r="F22"/>
  <c r="L21"/>
  <c r="F21"/>
  <c r="L20"/>
  <c r="F20"/>
  <c r="L19"/>
  <c r="F19"/>
  <c r="L18"/>
  <c r="F18"/>
  <c r="L17"/>
  <c r="F17"/>
  <c r="L16"/>
  <c r="F16"/>
  <c r="L15"/>
  <c r="F15"/>
  <c r="L14"/>
  <c r="F14"/>
  <c r="L13"/>
  <c r="F13"/>
  <c r="L12"/>
  <c r="F12"/>
  <c r="L11"/>
  <c r="F11"/>
  <c r="L10"/>
  <c r="F10"/>
  <c r="L9"/>
  <c r="F9"/>
  <c r="L8"/>
  <c r="F8"/>
  <c r="L7"/>
  <c r="F7"/>
  <c r="L6"/>
  <c r="F6"/>
  <c r="L5"/>
  <c r="F5"/>
  <c r="L40" s="1"/>
  <c r="L4"/>
  <c r="L3"/>
  <c r="L2"/>
  <c r="F39" i="1"/>
  <c r="L38"/>
  <c r="L37"/>
  <c r="F37"/>
  <c r="F35"/>
  <c r="L34"/>
  <c r="L33"/>
  <c r="F33"/>
  <c r="F31"/>
  <c r="L30"/>
  <c r="L29"/>
  <c r="L28"/>
  <c r="L27"/>
  <c r="F27"/>
  <c r="F26"/>
  <c r="L25"/>
  <c r="L23"/>
  <c r="F23"/>
  <c r="L22"/>
  <c r="L21"/>
  <c r="F21"/>
  <c r="F19"/>
  <c r="L18"/>
  <c r="L17"/>
  <c r="F17"/>
  <c r="F15"/>
  <c r="L14"/>
  <c r="L13"/>
  <c r="L12"/>
  <c r="L11"/>
  <c r="F11"/>
  <c r="F10"/>
  <c r="L9"/>
  <c r="L7"/>
  <c r="F7"/>
  <c r="L6"/>
  <c r="L5"/>
  <c r="F5"/>
  <c r="L42" i="27" l="1"/>
  <c r="L42" i="20"/>
  <c r="L42" i="3"/>
  <c r="L40" i="1"/>
  <c r="L40" i="190"/>
  <c r="F5"/>
</calcChain>
</file>

<file path=xl/sharedStrings.xml><?xml version="1.0" encoding="utf-8"?>
<sst xmlns="http://schemas.openxmlformats.org/spreadsheetml/2006/main" count="29580" uniqueCount="292">
  <si>
    <t>19  12   2015</t>
  </si>
  <si>
    <t>№п/п</t>
  </si>
  <si>
    <t>Назва виробів</t>
  </si>
  <si>
    <t>Од.вим</t>
  </si>
  <si>
    <t>Кіл-ть</t>
  </si>
  <si>
    <t>Ціна, грн</t>
  </si>
  <si>
    <t>Сума, грн</t>
  </si>
  <si>
    <r>
      <t xml:space="preserve">НАКЛАДНА№        </t>
    </r>
    <r>
      <rPr>
        <b/>
        <sz val="11"/>
        <color theme="1"/>
        <rFont val="Calibri"/>
        <family val="2"/>
        <charset val="204"/>
        <scheme val="minor"/>
      </rPr>
      <t>УВАГА   З 01.12.2015 Р НОВІ ЦІНИ НА БЦ ХЛІБ</t>
    </r>
  </si>
  <si>
    <t>Булочка звичайна 0,1</t>
  </si>
  <si>
    <t>шт.</t>
  </si>
  <si>
    <t>Булочка з повидлом ,0,1</t>
  </si>
  <si>
    <t>Булочка з маком 0,1</t>
  </si>
  <si>
    <t>ХЛІБ 0,8</t>
  </si>
  <si>
    <t>Плюшка 0,1</t>
  </si>
  <si>
    <t>Хліб пшеничний формовий 0,5</t>
  </si>
  <si>
    <t>Плюшка формова 0,4</t>
  </si>
  <si>
    <t>ХЛІБ 0,7  1 ГАТ</t>
  </si>
  <si>
    <t>Бублик з маком 0,1</t>
  </si>
  <si>
    <t>Хліб домашній 0,9</t>
  </si>
  <si>
    <t>Ватрушки 0,075</t>
  </si>
  <si>
    <t>Хліб арнаут Київський 0,6</t>
  </si>
  <si>
    <t>Сирна палочка 0,1</t>
  </si>
  <si>
    <t>хліб арнаут різаний 0,6</t>
  </si>
  <si>
    <t xml:space="preserve">Лапки </t>
  </si>
  <si>
    <t>Хліб арнаут 0,6</t>
  </si>
  <si>
    <t>КОКОС</t>
  </si>
  <si>
    <t xml:space="preserve">ХЛІБ КУКУРУДЗЯНИЙ </t>
  </si>
  <si>
    <t>Пиріжки  0,1</t>
  </si>
  <si>
    <t>ЗДОРОВЯ</t>
  </si>
  <si>
    <t>Пиріжки з маком 0,075</t>
  </si>
  <si>
    <t>Хліб білоруський 0,5 різан</t>
  </si>
  <si>
    <t>Пиріжки з яблуком 0,075</t>
  </si>
  <si>
    <t xml:space="preserve">хліб рівенський круглий </t>
  </si>
  <si>
    <t>ПИРІЖКИ З КАПУСТ 0,075</t>
  </si>
  <si>
    <t>Хліб Рівенський  з кмином 0,7</t>
  </si>
  <si>
    <t>Пироги з повидлом 0,45</t>
  </si>
  <si>
    <t>Хліб Рівенський з кмином 0,7 різан</t>
  </si>
  <si>
    <t>ПИРОГИ З МАКОМ  0,45</t>
  </si>
  <si>
    <t>Хліб Висівковий 0,4</t>
  </si>
  <si>
    <t xml:space="preserve">КРЕНДЕЛЬ З МАК </t>
  </si>
  <si>
    <t>Хліб висівковий 0,4 різан</t>
  </si>
  <si>
    <t>КРЕНДЕЛЬ  ВИШНЯ</t>
  </si>
  <si>
    <t>Багет висівковий 0,2</t>
  </si>
  <si>
    <t>МАЛЯТКО</t>
  </si>
  <si>
    <t>Ріжок висівковий 0,1</t>
  </si>
  <si>
    <t>Кекс 1,00</t>
  </si>
  <si>
    <t>Хліб український 0,9</t>
  </si>
  <si>
    <t>Кекс  ваговий 0,5</t>
  </si>
  <si>
    <t>Хліб український 1,0(форм)</t>
  </si>
  <si>
    <t>КЕКС 0,075</t>
  </si>
  <si>
    <t>Хліб Діамант-шампань 0,4різ</t>
  </si>
  <si>
    <t>КЕКС ЛІТО</t>
  </si>
  <si>
    <t>Хліб Колосок 0,85</t>
  </si>
  <si>
    <t xml:space="preserve">БУЛКА ВАГ </t>
  </si>
  <si>
    <t>Хліб Мозаїка 0,4різ</t>
  </si>
  <si>
    <t>Піца з ковбасою 0,120</t>
  </si>
  <si>
    <t>Батон Дорожній 0,45</t>
  </si>
  <si>
    <t>БАГЕТ 0,3</t>
  </si>
  <si>
    <t>Батон Дорожній 0,45 різ</t>
  </si>
  <si>
    <t xml:space="preserve">ЗАВИТОК </t>
  </si>
  <si>
    <t>Пампушка  0,550</t>
  </si>
  <si>
    <t>СУХАРІ З ІЗ 0,5</t>
  </si>
  <si>
    <t>Пампушка з часником 0,3</t>
  </si>
  <si>
    <t>МАЛЯТКО ПО 9 ШТ</t>
  </si>
  <si>
    <t>Плетінка здобна 0,5</t>
  </si>
  <si>
    <t>ПИРІГ ТВОРОГ ,АБРИКОС</t>
  </si>
  <si>
    <t>Плетінка здобна 0,7</t>
  </si>
  <si>
    <t xml:space="preserve">УКРАЇНСЬК </t>
  </si>
  <si>
    <t>Калач 0,4</t>
  </si>
  <si>
    <t xml:space="preserve">БАТОН  </t>
  </si>
  <si>
    <t>Ріжок з повидлом 0,4</t>
  </si>
  <si>
    <t>БІЛОРУСЬК  БЦ</t>
  </si>
  <si>
    <t>Булка Сімейка 0,4</t>
  </si>
  <si>
    <t>СТУДЕНТСЬК</t>
  </si>
  <si>
    <t>Заготовка для піци 0,150</t>
  </si>
  <si>
    <t xml:space="preserve">ГІРЧИЧНИЙ </t>
  </si>
  <si>
    <t>Хліб житн пшеничний 0,45</t>
  </si>
  <si>
    <t xml:space="preserve">АРНАУТ ДОВГ </t>
  </si>
  <si>
    <t>Хліб заварний 0,7</t>
  </si>
  <si>
    <t>ЛАВАШ</t>
  </si>
  <si>
    <t>Хліб заварний 0,45</t>
  </si>
  <si>
    <t>МАЛЬВА   0,400</t>
  </si>
  <si>
    <t xml:space="preserve">   СУМА ДО СПЛАТИ </t>
  </si>
  <si>
    <t>Відпустив_____________________</t>
  </si>
  <si>
    <t xml:space="preserve">      </t>
  </si>
  <si>
    <t>Отримав_____________________</t>
  </si>
  <si>
    <t>НАКЛАДНА  №</t>
  </si>
  <si>
    <t xml:space="preserve">  17      12     15</t>
  </si>
  <si>
    <t>БУЛ   ЗВИЧАЙНА</t>
  </si>
  <si>
    <t>Хліб СЕЛЯНСЬКИЙ 0,600</t>
  </si>
  <si>
    <t>Пиріжки  0,1ЯБЛ,КАП,МАК</t>
  </si>
  <si>
    <t>ХЛІБ 0,600 ЖИТНІЙ НОВИЙ  БЕЗДР</t>
  </si>
  <si>
    <t>Пироги з повидлом 0,5</t>
  </si>
  <si>
    <t>ПИРОГИ З МАКОМ  0,5</t>
  </si>
  <si>
    <t>Кекс 0,3</t>
  </si>
  <si>
    <t>Кекс 0,6</t>
  </si>
  <si>
    <t>Хліб Колосок 0,8</t>
  </si>
  <si>
    <t>БАГЕТ   0,3</t>
  </si>
  <si>
    <t>Сухарі з ізюмом</t>
  </si>
  <si>
    <t>ЗАВИТОК   МАК</t>
  </si>
  <si>
    <t>МЯСО</t>
  </si>
  <si>
    <t xml:space="preserve">КОТЛЕТА </t>
  </si>
  <si>
    <t>Плетінка здобна 0,45</t>
  </si>
  <si>
    <t>СМОРОДИНА</t>
  </si>
  <si>
    <t>Плетінка здобна 0,65</t>
  </si>
  <si>
    <t>БУЛ  ВАГОВА</t>
  </si>
  <si>
    <t>МАЛЬВА 0,400</t>
  </si>
  <si>
    <t>МАЛЯТКО  ПО  9  ШТ</t>
  </si>
  <si>
    <t>КЕКС 1,0</t>
  </si>
  <si>
    <t>УКР   БЦ</t>
  </si>
  <si>
    <t>БАТОН  Б,Ц,</t>
  </si>
  <si>
    <t>КОТЛЕТА   МАЛЕНЬКА</t>
  </si>
  <si>
    <t>19   12   2015</t>
  </si>
  <si>
    <t xml:space="preserve"> </t>
  </si>
  <si>
    <t xml:space="preserve">ЗАВИТОК  </t>
  </si>
  <si>
    <t>Накладна №_______</t>
  </si>
  <si>
    <t>19    12    2015</t>
  </si>
  <si>
    <r>
      <t xml:space="preserve">                    </t>
    </r>
    <r>
      <rPr>
        <b/>
        <sz val="11"/>
        <color theme="1"/>
        <rFont val="Calibri"/>
        <family val="2"/>
        <charset val="204"/>
        <scheme val="minor"/>
      </rPr>
      <t>УВАГА  З 01.12.2015 Р НОВІ ЦІНИ НА Б.Ц ХЛІБ</t>
    </r>
    <r>
      <rPr>
        <sz val="11"/>
        <color theme="1"/>
        <rFont val="Calibri"/>
        <family val="2"/>
        <charset val="204"/>
        <scheme val="minor"/>
      </rPr>
      <t xml:space="preserve">                                     </t>
    </r>
  </si>
  <si>
    <t>гамбургер</t>
  </si>
  <si>
    <t xml:space="preserve">КАГАРЛИК  РИНОК  </t>
  </si>
  <si>
    <t>Хліб пшеничний білий 0,8кг.</t>
  </si>
  <si>
    <t xml:space="preserve">ХЛІБ 0,6  житній новий </t>
  </si>
  <si>
    <t>хліб 0,6 селянський</t>
  </si>
  <si>
    <t>Хліб бездріжджовий 0,6</t>
  </si>
  <si>
    <t>ПИРІЖКИ 0,1 КАП,ЯБЛ МАК</t>
  </si>
  <si>
    <t>КУКУРУДЗЯНИЙ</t>
  </si>
  <si>
    <t>Пиріжки з капустою 0,075</t>
  </si>
  <si>
    <t xml:space="preserve">ЗДОРОВЯ </t>
  </si>
  <si>
    <t>хліб рівенський круглий різаний</t>
  </si>
  <si>
    <t>Пироги з маком 0,45</t>
  </si>
  <si>
    <t>Крендель з маком 0,3</t>
  </si>
  <si>
    <t>Кекс 0,075</t>
  </si>
  <si>
    <t>Сухарі з ізюмом 0,5</t>
  </si>
  <si>
    <t>МАЛЯТКО   УП 9ШТ</t>
  </si>
  <si>
    <t>ВАГОВА</t>
  </si>
  <si>
    <t>МАЛЬВА</t>
  </si>
  <si>
    <t xml:space="preserve">КОКОС </t>
  </si>
  <si>
    <t>літо</t>
  </si>
  <si>
    <t>СОЛОНІ ПАЛОЧКА  УП</t>
  </si>
  <si>
    <t>МАЛЯТКО   УП 5 ШТ</t>
  </si>
  <si>
    <t>ЗАВИТОК</t>
  </si>
  <si>
    <t>Україна КИЇВ</t>
  </si>
  <si>
    <t>батон КИЇВ</t>
  </si>
  <si>
    <t>білорус</t>
  </si>
  <si>
    <t>студентськ рог б.ц</t>
  </si>
  <si>
    <t>гірчичний</t>
  </si>
  <si>
    <t>арнаут</t>
  </si>
  <si>
    <t xml:space="preserve">НАКЛАДНА  №   </t>
  </si>
  <si>
    <t>19   12     15</t>
  </si>
  <si>
    <t xml:space="preserve">Ціна </t>
  </si>
  <si>
    <t xml:space="preserve">Завиток мак </t>
  </si>
  <si>
    <t xml:space="preserve">Завиток вишня </t>
  </si>
  <si>
    <t>Завиток згущонка</t>
  </si>
  <si>
    <t>Хліб пшеничний білий 0,85кг.</t>
  </si>
  <si>
    <t xml:space="preserve">Завиток крем </t>
  </si>
  <si>
    <t>Плюшка формова  мак</t>
  </si>
  <si>
    <t>Хліб пшеничний формовий 0,5 різ</t>
  </si>
  <si>
    <t>Плюшка формова крем</t>
  </si>
  <si>
    <t xml:space="preserve">Булочка з повідлом 0,1 </t>
  </si>
  <si>
    <t>Булочка  з маком 0,1</t>
  </si>
  <si>
    <t xml:space="preserve">Хліб  кукурудзяний </t>
  </si>
  <si>
    <t>Бублик з кунжутом 0,1</t>
  </si>
  <si>
    <t>Хліб білоруський 0,5</t>
  </si>
  <si>
    <t>Булочка  з  вишнею 0,1</t>
  </si>
  <si>
    <t>Булочка  з кокосом 0,1</t>
  </si>
  <si>
    <t>Багет 0,3</t>
  </si>
  <si>
    <t>Булочка з   смородиною 0,1</t>
  </si>
  <si>
    <t>хліб  Бабусин</t>
  </si>
  <si>
    <t>Булочка листова 0,1</t>
  </si>
  <si>
    <t>Ватрушка 0,1</t>
  </si>
  <si>
    <t xml:space="preserve"> Пиріжки з картоплею 0,1</t>
  </si>
  <si>
    <t>Пиріжки з капустою0,1</t>
  </si>
  <si>
    <t>Пиріжки з повидлом 0,1</t>
  </si>
  <si>
    <t>Пиріжки з яблуками 0,1</t>
  </si>
  <si>
    <t xml:space="preserve">Пироги з маком 0,5  </t>
  </si>
  <si>
    <t>Хліб український 1,0</t>
  </si>
  <si>
    <t>Пироги  з  повідлом 0,5</t>
  </si>
  <si>
    <t>Хліб Діамант-шампань 0,4</t>
  </si>
  <si>
    <t>Крендель  з маком 0,3</t>
  </si>
  <si>
    <t>Крендель з вишнями 0,3</t>
  </si>
  <si>
    <t xml:space="preserve">БУЛОЧКА      КЛЮКВА   </t>
  </si>
  <si>
    <t>БУЛОЧКА    ЯБЛ     КОРИЦЯ</t>
  </si>
  <si>
    <t>Кекс 0,300</t>
  </si>
  <si>
    <t xml:space="preserve">Сухарі з ізюмом </t>
  </si>
  <si>
    <t xml:space="preserve">Пампушка </t>
  </si>
  <si>
    <t xml:space="preserve">Сухарі паніровочні </t>
  </si>
  <si>
    <t>Пироги  0,3  ябл  кориця</t>
  </si>
  <si>
    <t>сухарі  ванільні</t>
  </si>
  <si>
    <t>Заготовка для піци</t>
  </si>
  <si>
    <t>ГАМБУРГЕР</t>
  </si>
  <si>
    <t>Піца з ковбасою 0,12</t>
  </si>
  <si>
    <t xml:space="preserve">Сосіска в тісті </t>
  </si>
  <si>
    <t>жит  пшеничн</t>
  </si>
  <si>
    <t>ПИРІГ  творог   абрикос</t>
  </si>
  <si>
    <t>ПИРОГИ  0,3  ТВОРОГ</t>
  </si>
  <si>
    <t>БУЛОЧКА    ЧЕРНІКА</t>
  </si>
  <si>
    <t>ЖИТНІЙ БЕЗДРІЖДЬОВИЙ</t>
  </si>
  <si>
    <t>Завиток творог</t>
  </si>
  <si>
    <t>МАЛЬВА  В  АСОРТИМЕНТІ</t>
  </si>
  <si>
    <t xml:space="preserve">Котлета в тісті </t>
  </si>
  <si>
    <t xml:space="preserve">       Сума</t>
  </si>
  <si>
    <t>Відпустив_____________</t>
  </si>
  <si>
    <t>Отримав_________________</t>
  </si>
  <si>
    <t xml:space="preserve">Накладна №_ </t>
  </si>
  <si>
    <t>18  12  15</t>
  </si>
  <si>
    <t>УВАГА З 01.12.2015 НОВІ ЦІНИ НА Б.Ц ХЛІБ</t>
  </si>
  <si>
    <t xml:space="preserve">           МАГАЗИН     ЦЕНТР</t>
  </si>
  <si>
    <t>ПШЕНИЧНИЙ  БІЛИЙ  0,5</t>
  </si>
  <si>
    <t>ЖИТНЬО-ПШЕНИЧНИЙ</t>
  </si>
  <si>
    <t xml:space="preserve"> МАЛЯТКО,УП</t>
  </si>
  <si>
    <t>хлібПОДОВИЙ  0,6</t>
  </si>
  <si>
    <t xml:space="preserve">СИРНА ПАЛОЧК </t>
  </si>
  <si>
    <t>КУКУРУДЗА</t>
  </si>
  <si>
    <t>Пиріжки 0,1кап,яб,мак,пов</t>
  </si>
  <si>
    <t>ХЛІБ ЗАВАРНИЙ 0,45</t>
  </si>
  <si>
    <t>МОЗАЇКА</t>
  </si>
  <si>
    <t>ЖИТ   НОВ</t>
  </si>
  <si>
    <t>Хліб Рівенський   0,7</t>
  </si>
  <si>
    <t>СУХ  З  ІЗЮМОМ</t>
  </si>
  <si>
    <t>КЕКС  1.0</t>
  </si>
  <si>
    <t>КЕКС  0,600</t>
  </si>
  <si>
    <t>КЕКС 0,3</t>
  </si>
  <si>
    <t>КРЕНДЕЛЬ ВИШНЯ</t>
  </si>
  <si>
    <t>КЕКС   0,075</t>
  </si>
  <si>
    <t>БАТОН</t>
  </si>
  <si>
    <t>ВАТРУШКА 0,1</t>
  </si>
  <si>
    <t>М'ЯСО ПЕЧІНКА</t>
  </si>
  <si>
    <t xml:space="preserve">СОСИСКА </t>
  </si>
  <si>
    <t>КОТЛЕТА   МАЛ</t>
  </si>
  <si>
    <t>БАГЕТ  0,3</t>
  </si>
  <si>
    <t xml:space="preserve">БАТОН </t>
  </si>
  <si>
    <t>ПОДОЛЬСЬКА</t>
  </si>
  <si>
    <t>Завиток</t>
  </si>
  <si>
    <t>СТУДЕНТ</t>
  </si>
  <si>
    <t>ЛІТО</t>
  </si>
  <si>
    <t>18  12      2015</t>
  </si>
  <si>
    <t xml:space="preserve">НАКЛАДНА   № </t>
  </si>
  <si>
    <t>ШКОЛА</t>
  </si>
  <si>
    <t>Пиріжки з картоплею0,075</t>
  </si>
  <si>
    <t>Хліб подовий круглий 0,6</t>
  </si>
  <si>
    <t>Пироги з маком 0,5</t>
  </si>
  <si>
    <t>Хліб Рівенський  з кмином 0,65</t>
  </si>
  <si>
    <t>Сухі палички 0,5</t>
  </si>
  <si>
    <t>Кереченська пісня 0,5</t>
  </si>
  <si>
    <t>багет  0,300</t>
  </si>
  <si>
    <t xml:space="preserve">УКР  Б Ц </t>
  </si>
  <si>
    <t>НАКЛАДНА№ 5</t>
  </si>
  <si>
    <t>КАМЕНОТРУС</t>
  </si>
  <si>
    <t>Хліб пшеничний білий 0,8</t>
  </si>
  <si>
    <t>Пиріжки 0,100</t>
  </si>
  <si>
    <t>Хліб подовий круглий 0,7</t>
  </si>
  <si>
    <t>ПИРІЖКИ  З  МАКОМ 0,075</t>
  </si>
  <si>
    <t>БУЛ ВАГ 0,5</t>
  </si>
  <si>
    <t>багет  0,3</t>
  </si>
  <si>
    <t>завиток</t>
  </si>
  <si>
    <t>КУКУРУЗА</t>
  </si>
  <si>
    <t>РІЖОК З АБР. ВИШ,СЛИВ</t>
  </si>
  <si>
    <t>МАЛЯТКО 9 ШТ</t>
  </si>
  <si>
    <t>МАЛЬВА 0,4</t>
  </si>
  <si>
    <t>МАЛЯТКО ПО 5 ШТ</t>
  </si>
  <si>
    <t>18   12    2015</t>
  </si>
  <si>
    <t>КЕКС  ЛІТО</t>
  </si>
  <si>
    <t>Накладна №_</t>
  </si>
  <si>
    <t>19  12 2015</t>
  </si>
  <si>
    <t>ХЛІБ 0,7</t>
  </si>
  <si>
    <t>ВАТРУШКА 0,100</t>
  </si>
  <si>
    <t>Хліб арнаут 0,6   БАБ</t>
  </si>
  <si>
    <t>КОКОС,</t>
  </si>
  <si>
    <t>Пиріжки 0,1 кап,яб,мак.карт</t>
  </si>
  <si>
    <t>Пиріжки з  капустою 0,075</t>
  </si>
  <si>
    <t>ПИРІЖКИ З  яблуками                                                            0,075</t>
  </si>
  <si>
    <t xml:space="preserve">Хліб Рівенський  КРУГ </t>
  </si>
  <si>
    <t>Пироги з маком   0,45</t>
  </si>
  <si>
    <t>Хліб Рівенський з кмином 0,65 р</t>
  </si>
  <si>
    <t>ПИРОГИ З повидлом    0,45</t>
  </si>
  <si>
    <t xml:space="preserve">КРЕНДЕЛЬ МАК </t>
  </si>
  <si>
    <t>крендель  вишня</t>
  </si>
  <si>
    <t>ПИРІГ  ТВОРОГ+АБРИКОС</t>
  </si>
  <si>
    <t>ПИРІЖКИ У ФОРМІ</t>
  </si>
  <si>
    <t xml:space="preserve">КЕКС ЛІТО </t>
  </si>
  <si>
    <t xml:space="preserve">ВАГОВА </t>
  </si>
  <si>
    <t>ШИШКИ</t>
  </si>
  <si>
    <t xml:space="preserve">СОЛОНІ ПАЛ </t>
  </si>
  <si>
    <t>М'ЯСО</t>
  </si>
  <si>
    <t>КОТЛЕТА</t>
  </si>
  <si>
    <t>Калач 0,4  МИК</t>
  </si>
  <si>
    <t>Булочка з яблуком ікорицею</t>
  </si>
  <si>
    <t>СЛИВА</t>
  </si>
  <si>
    <t>ВИШНЯ</t>
  </si>
  <si>
    <t>КЕКС  1,0</t>
  </si>
  <si>
    <t>ПОДІЛЬСЬКА</t>
  </si>
  <si>
    <t>МАЛЯТКО  ПО  9 ШТ</t>
  </si>
</sst>
</file>

<file path=xl/styles.xml><?xml version="1.0" encoding="utf-8"?>
<styleSheet xmlns="http://schemas.openxmlformats.org/spreadsheetml/2006/main">
  <numFmts count="3">
    <numFmt numFmtId="164" formatCode="_-* #,##0.00&quot;р.&quot;_-;\-* #,##0.00&quot;р.&quot;_-;_-* &quot;-&quot;??&quot;р.&quot;_-;_-@_-"/>
    <numFmt numFmtId="165" formatCode="#,##0.00&quot;₴&quot;"/>
    <numFmt numFmtId="166" formatCode="_-* #,##0.00&quot;₴&quot;_-;\-* #,##0.00&quot;₴&quot;_-;_-* &quot;-&quot;??&quot;₴&quot;_-;_-@_-"/>
  </numFmts>
  <fonts count="8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2"/>
      <color indexed="8"/>
      <name val="Calibri"/>
      <family val="2"/>
      <charset val="204"/>
    </font>
    <font>
      <sz val="9"/>
      <color indexed="8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8"/>
      <name val="Plantagenet Cherokee"/>
      <family val="1"/>
    </font>
    <font>
      <sz val="11"/>
      <color indexed="8"/>
      <name val="Impact"/>
      <family val="2"/>
      <charset val="204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37">
    <xf numFmtId="0" fontId="0" fillId="0" borderId="0" xfId="0"/>
    <xf numFmtId="0" fontId="4" fillId="0" borderId="1" xfId="0" applyFont="1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/>
    <xf numFmtId="2" fontId="0" fillId="0" borderId="1" xfId="0" applyNumberFormat="1" applyBorder="1" applyAlignment="1">
      <alignment horizontal="center"/>
    </xf>
    <xf numFmtId="2" fontId="0" fillId="0" borderId="1" xfId="0" applyNumberFormat="1" applyBorder="1"/>
    <xf numFmtId="2" fontId="0" fillId="0" borderId="2" xfId="0" applyNumberFormat="1" applyBorder="1"/>
    <xf numFmtId="0" fontId="5" fillId="0" borderId="1" xfId="0" applyFont="1" applyBorder="1" applyAlignment="1">
      <alignment horizontal="center"/>
    </xf>
    <xf numFmtId="0" fontId="5" fillId="0" borderId="1" xfId="0" applyFont="1" applyBorder="1"/>
    <xf numFmtId="0" fontId="0" fillId="0" borderId="0" xfId="0" applyAlignment="1"/>
    <xf numFmtId="0" fontId="0" fillId="0" borderId="0" xfId="0" quotePrefix="1"/>
    <xf numFmtId="2" fontId="6" fillId="0" borderId="0" xfId="1" applyNumberFormat="1" applyFont="1"/>
    <xf numFmtId="0" fontId="0" fillId="0" borderId="0" xfId="0" applyFill="1" applyBorder="1" applyAlignment="1">
      <alignment horizontal="center"/>
    </xf>
    <xf numFmtId="165" fontId="0" fillId="0" borderId="0" xfId="0" applyNumberFormat="1"/>
    <xf numFmtId="166" fontId="0" fillId="0" borderId="0" xfId="0" applyNumberFormat="1"/>
    <xf numFmtId="0" fontId="4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" fontId="6" fillId="0" borderId="0" xfId="1" applyNumberFormat="1" applyFont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1" xfId="0" applyBorder="1" applyAlignment="1">
      <alignment horizontal="left"/>
    </xf>
    <xf numFmtId="14" fontId="0" fillId="0" borderId="0" xfId="0" applyNumberFormat="1"/>
    <xf numFmtId="2" fontId="6" fillId="0" borderId="0" xfId="0" applyNumberFormat="1" applyFont="1"/>
    <xf numFmtId="2" fontId="6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2" fontId="5" fillId="0" borderId="1" xfId="0" applyNumberFormat="1" applyFont="1" applyBorder="1" applyAlignment="1">
      <alignment horizontal="center"/>
    </xf>
    <xf numFmtId="2" fontId="5" fillId="0" borderId="2" xfId="0" applyNumberFormat="1" applyFont="1" applyBorder="1"/>
    <xf numFmtId="2" fontId="5" fillId="0" borderId="1" xfId="0" applyNumberFormat="1" applyFont="1" applyBorder="1"/>
    <xf numFmtId="2" fontId="5" fillId="0" borderId="2" xfId="0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3" fontId="3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0" xfId="0" applyFont="1" applyAlignment="1">
      <alignment horizontal="left"/>
    </xf>
    <xf numFmtId="14" fontId="3" fillId="0" borderId="0" xfId="0" applyNumberFormat="1" applyFont="1" applyAlignment="1">
      <alignment horizontal="center"/>
    </xf>
  </cellXfs>
  <cellStyles count="2">
    <cellStyle name="Денежный" xfId="1" builtinId="4"/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worksheet" Target="worksheets/sheet154.xml"/><Relationship Id="rId159" Type="http://schemas.openxmlformats.org/officeDocument/2006/relationships/worksheet" Target="worksheets/sheet159.xml"/><Relationship Id="rId175" Type="http://schemas.openxmlformats.org/officeDocument/2006/relationships/worksheet" Target="worksheets/sheet175.xml"/><Relationship Id="rId170" Type="http://schemas.openxmlformats.org/officeDocument/2006/relationships/worksheet" Target="worksheets/sheet170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65" Type="http://schemas.openxmlformats.org/officeDocument/2006/relationships/worksheet" Target="worksheets/sheet165.xml"/><Relationship Id="rId181" Type="http://schemas.openxmlformats.org/officeDocument/2006/relationships/worksheet" Target="worksheets/sheet181.xml"/><Relationship Id="rId186" Type="http://schemas.openxmlformats.org/officeDocument/2006/relationships/styles" Target="styles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71" Type="http://schemas.openxmlformats.org/officeDocument/2006/relationships/worksheet" Target="worksheets/sheet171.xml"/><Relationship Id="rId176" Type="http://schemas.openxmlformats.org/officeDocument/2006/relationships/worksheet" Target="worksheets/sheet176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82" Type="http://schemas.openxmlformats.org/officeDocument/2006/relationships/worksheet" Target="worksheets/sheet182.xml"/><Relationship Id="rId187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1\&#1092;&#1072;&#1089;&#1090;%20%20&#1082;&#1072;&#1075;&#1072;&#1088;%20%20&#1073;&#1094;%20&#1085;&#1110;&#1095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Лист1"/>
      <sheetName val="Сводная"/>
      <sheetName val="Синявський"/>
      <sheetName val="Фастов"/>
      <sheetName val="Валя"/>
      <sheetName val="Каменотрус"/>
      <sheetName val="Гусакивська"/>
    </sheetNames>
    <sheetDataSet>
      <sheetData sheetId="0" refreshError="1"/>
      <sheetData sheetId="1">
        <row r="1">
          <cell r="D1" t="str">
            <v>19    12    2015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M42"/>
  <sheetViews>
    <sheetView workbookViewId="0">
      <selection activeCell="N7" sqref="N7"/>
    </sheetView>
  </sheetViews>
  <sheetFormatPr defaultRowHeight="13.15" customHeight="1"/>
  <cols>
    <col min="1" max="1" width="4.85546875" style="17" customWidth="1"/>
    <col min="2" max="2" width="30.85546875" customWidth="1"/>
    <col min="3" max="3" width="7.28515625" customWidth="1"/>
    <col min="4" max="4" width="7.42578125" customWidth="1"/>
    <col min="6" max="6" width="8.85546875" style="17"/>
    <col min="7" max="7" width="4.85546875" style="17" customWidth="1"/>
    <col min="8" max="8" width="23.5703125" customWidth="1"/>
    <col min="9" max="9" width="6.5703125" customWidth="1"/>
    <col min="10" max="10" width="6.7109375" customWidth="1"/>
    <col min="11" max="11" width="8.28515625" customWidth="1"/>
    <col min="12" max="12" width="8.28515625" style="17" customWidth="1"/>
  </cols>
  <sheetData>
    <row r="1" spans="1:12" ht="13.15" customHeight="1">
      <c r="A1" s="30"/>
      <c r="B1" s="30"/>
      <c r="C1" s="30"/>
      <c r="D1" s="31" t="s">
        <v>0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 t="s">
        <v>7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</v>
      </c>
      <c r="C5" s="2" t="s">
        <v>9</v>
      </c>
      <c r="D5" s="2">
        <v>1</v>
      </c>
      <c r="E5" s="5">
        <v>6.65</v>
      </c>
      <c r="F5" s="20">
        <f>D5*E5</f>
        <v>6.65</v>
      </c>
      <c r="G5" s="2">
        <v>39</v>
      </c>
      <c r="H5" s="4" t="s">
        <v>13</v>
      </c>
      <c r="I5" s="2" t="s">
        <v>9</v>
      </c>
      <c r="J5" s="2"/>
      <c r="K5" s="5">
        <v>1.95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4.8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7.8</v>
      </c>
      <c r="L6" s="5">
        <f t="shared" si="0"/>
        <v>0</v>
      </c>
    </row>
    <row r="7" spans="1:12" ht="13.15" customHeight="1">
      <c r="A7" s="2">
        <v>3</v>
      </c>
      <c r="B7" s="4" t="s">
        <v>16</v>
      </c>
      <c r="C7" s="2" t="s">
        <v>9</v>
      </c>
      <c r="D7" s="2"/>
      <c r="E7" s="5">
        <v>5.8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1.85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7.15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8"/>
      <c r="E9" s="5">
        <v>5</v>
      </c>
      <c r="F9" s="20">
        <f t="shared" si="1"/>
        <v>0</v>
      </c>
      <c r="G9" s="2">
        <v>43</v>
      </c>
      <c r="H9" s="4" t="s">
        <v>21</v>
      </c>
      <c r="I9" s="2" t="s">
        <v>9</v>
      </c>
      <c r="J9" s="2"/>
      <c r="K9" s="5">
        <v>2.35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5.8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24</v>
      </c>
      <c r="C11" s="2" t="s">
        <v>9</v>
      </c>
      <c r="D11" s="2"/>
      <c r="E11" s="5">
        <v>5.3</v>
      </c>
      <c r="F11" s="20">
        <f t="shared" si="1"/>
        <v>0</v>
      </c>
      <c r="G11" s="2">
        <v>45</v>
      </c>
      <c r="H11" s="4" t="s">
        <v>25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6</v>
      </c>
      <c r="F12" s="20">
        <f t="shared" si="1"/>
        <v>0</v>
      </c>
      <c r="G12" s="2">
        <v>46</v>
      </c>
      <c r="H12" s="4" t="s">
        <v>27</v>
      </c>
      <c r="I12" s="2" t="s">
        <v>9</v>
      </c>
      <c r="J12" s="2"/>
      <c r="K12" s="5">
        <v>2.4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6.1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5.95</v>
      </c>
      <c r="F14" s="20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32</v>
      </c>
      <c r="C15" s="2" t="s">
        <v>9</v>
      </c>
      <c r="D15" s="2"/>
      <c r="E15" s="5">
        <v>6.1</v>
      </c>
      <c r="F15" s="20">
        <f t="shared" si="1"/>
        <v>0</v>
      </c>
      <c r="G15" s="2">
        <v>49</v>
      </c>
      <c r="H15" s="4" t="s">
        <v>33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34</v>
      </c>
      <c r="C16" s="2" t="s">
        <v>9</v>
      </c>
      <c r="D16" s="2"/>
      <c r="E16" s="5">
        <v>6.1</v>
      </c>
      <c r="F16" s="20">
        <f t="shared" si="1"/>
        <v>0</v>
      </c>
      <c r="G16" s="2">
        <v>50</v>
      </c>
      <c r="H16" s="4" t="s">
        <v>35</v>
      </c>
      <c r="I16" s="2" t="s">
        <v>9</v>
      </c>
      <c r="J16" s="2"/>
      <c r="K16" s="5">
        <v>6.55</v>
      </c>
      <c r="L16" s="5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6.6</v>
      </c>
      <c r="F17" s="20">
        <f t="shared" si="1"/>
        <v>0</v>
      </c>
      <c r="G17" s="2">
        <v>51</v>
      </c>
      <c r="H17" s="4" t="s">
        <v>37</v>
      </c>
      <c r="I17" s="2" t="s">
        <v>9</v>
      </c>
      <c r="J17" s="2"/>
      <c r="K17" s="5">
        <v>8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4.9000000000000004</v>
      </c>
      <c r="F18" s="20">
        <f t="shared" si="1"/>
        <v>0</v>
      </c>
      <c r="G18" s="2">
        <v>52</v>
      </c>
      <c r="H18" s="4" t="s">
        <v>39</v>
      </c>
      <c r="I18" s="2" t="s">
        <v>9</v>
      </c>
      <c r="J18" s="2"/>
      <c r="K18" s="5">
        <v>6.4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5.4</v>
      </c>
      <c r="F19" s="20">
        <f t="shared" si="1"/>
        <v>0</v>
      </c>
      <c r="G19" s="2">
        <v>53</v>
      </c>
      <c r="H19" s="4" t="s">
        <v>41</v>
      </c>
      <c r="I19" s="2" t="s">
        <v>9</v>
      </c>
      <c r="J19" s="2"/>
      <c r="K19" s="5">
        <v>8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2.2000000000000002</v>
      </c>
      <c r="F20" s="20">
        <f t="shared" si="1"/>
        <v>0</v>
      </c>
      <c r="G20" s="2">
        <v>54</v>
      </c>
      <c r="H20" s="4" t="s">
        <v>43</v>
      </c>
      <c r="I20" s="2" t="s">
        <v>9</v>
      </c>
      <c r="J20" s="2"/>
      <c r="K20" s="5">
        <v>6.75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</v>
      </c>
      <c r="F21" s="20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34.75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5.8</v>
      </c>
      <c r="F22" s="20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18.649999999999999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6.55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4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6.2</v>
      </c>
      <c r="F24" s="20">
        <f t="shared" si="1"/>
        <v>0</v>
      </c>
      <c r="G24" s="2">
        <v>58</v>
      </c>
      <c r="H24" s="4" t="s">
        <v>51</v>
      </c>
      <c r="I24" s="2" t="s">
        <v>9</v>
      </c>
      <c r="J24" s="4"/>
      <c r="K24" s="2">
        <v>2.0499999999999998</v>
      </c>
      <c r="L24" s="5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6.9</v>
      </c>
      <c r="F25" s="20">
        <f t="shared" si="1"/>
        <v>0</v>
      </c>
      <c r="G25" s="2">
        <v>59</v>
      </c>
      <c r="H25" s="4" t="s">
        <v>53</v>
      </c>
      <c r="I25" s="2" t="s">
        <v>9</v>
      </c>
      <c r="J25" s="4"/>
      <c r="K25" s="2">
        <v>8.85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5.5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5.9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4"/>
      <c r="K27" s="2">
        <v>3.65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5.05</v>
      </c>
      <c r="F28" s="20">
        <f t="shared" si="1"/>
        <v>0</v>
      </c>
      <c r="G28" s="2">
        <v>62</v>
      </c>
      <c r="H28" s="4" t="s">
        <v>59</v>
      </c>
      <c r="I28" s="2" t="s">
        <v>9</v>
      </c>
      <c r="J28" s="4"/>
      <c r="K28" s="2">
        <v>7.8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5.8</v>
      </c>
      <c r="F29" s="20">
        <f t="shared" si="1"/>
        <v>0</v>
      </c>
      <c r="G29" s="2">
        <v>63</v>
      </c>
      <c r="H29" s="4" t="s">
        <v>61</v>
      </c>
      <c r="I29" s="2" t="s">
        <v>9</v>
      </c>
      <c r="J29" s="4"/>
      <c r="K29" s="2">
        <v>12.35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4.5999999999999996</v>
      </c>
      <c r="F30" s="5">
        <f t="shared" si="1"/>
        <v>0</v>
      </c>
      <c r="G30" s="2">
        <v>64</v>
      </c>
      <c r="H30" s="4" t="s">
        <v>63</v>
      </c>
      <c r="I30" s="2" t="s">
        <v>9</v>
      </c>
      <c r="J30" s="4"/>
      <c r="K30" s="2">
        <v>6.75</v>
      </c>
      <c r="L30" s="5">
        <f t="shared" si="0"/>
        <v>0</v>
      </c>
    </row>
    <row r="31" spans="1:12" ht="13.15" customHeight="1">
      <c r="A31" s="2">
        <v>27</v>
      </c>
      <c r="B31" s="4" t="s">
        <v>64</v>
      </c>
      <c r="C31" s="2" t="s">
        <v>9</v>
      </c>
      <c r="D31" s="2"/>
      <c r="E31" s="5">
        <v>6.05</v>
      </c>
      <c r="F31" s="5">
        <f t="shared" si="1"/>
        <v>0</v>
      </c>
      <c r="G31" s="2">
        <v>65</v>
      </c>
      <c r="H31" s="4" t="s">
        <v>65</v>
      </c>
      <c r="I31" s="2" t="s">
        <v>9</v>
      </c>
      <c r="J31" s="4"/>
      <c r="K31" s="2">
        <v>8.85</v>
      </c>
      <c r="L31" s="5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7.8</v>
      </c>
      <c r="F32" s="20">
        <f t="shared" si="1"/>
        <v>0</v>
      </c>
      <c r="G32" s="2">
        <v>66</v>
      </c>
      <c r="H32" s="9" t="s">
        <v>67</v>
      </c>
      <c r="I32" s="2" t="s">
        <v>9</v>
      </c>
      <c r="J32" s="9"/>
      <c r="K32" s="8">
        <v>8.35</v>
      </c>
      <c r="L32" s="5">
        <f t="shared" si="0"/>
        <v>0</v>
      </c>
    </row>
    <row r="33" spans="1:13" ht="13.15" customHeight="1">
      <c r="A33" s="2">
        <v>29</v>
      </c>
      <c r="B33" s="4" t="s">
        <v>68</v>
      </c>
      <c r="C33" s="2" t="s">
        <v>9</v>
      </c>
      <c r="D33" s="2"/>
      <c r="E33" s="5">
        <v>5.6</v>
      </c>
      <c r="F33" s="5">
        <f t="shared" si="1"/>
        <v>0</v>
      </c>
      <c r="G33" s="2">
        <v>67</v>
      </c>
      <c r="H33" s="9" t="s">
        <v>69</v>
      </c>
      <c r="I33" s="2" t="s">
        <v>9</v>
      </c>
      <c r="J33" s="9"/>
      <c r="K33" s="8">
        <v>5.5</v>
      </c>
      <c r="L33" s="5">
        <f t="shared" si="0"/>
        <v>0</v>
      </c>
    </row>
    <row r="34" spans="1:13" ht="13.15" customHeight="1">
      <c r="A34" s="2">
        <v>30</v>
      </c>
      <c r="B34" s="4" t="s">
        <v>70</v>
      </c>
      <c r="C34" s="2" t="s">
        <v>9</v>
      </c>
      <c r="D34" s="2"/>
      <c r="E34" s="5">
        <v>6.05</v>
      </c>
      <c r="F34" s="5">
        <f t="shared" si="1"/>
        <v>0</v>
      </c>
      <c r="G34" s="2">
        <v>68</v>
      </c>
      <c r="H34" s="9" t="s">
        <v>71</v>
      </c>
      <c r="I34" s="2" t="s">
        <v>9</v>
      </c>
      <c r="J34" s="9"/>
      <c r="K34" s="8">
        <v>9.1</v>
      </c>
      <c r="L34" s="5">
        <f t="shared" si="0"/>
        <v>0</v>
      </c>
      <c r="M34" s="10"/>
    </row>
    <row r="35" spans="1:13" ht="13.15" customHeight="1">
      <c r="A35" s="2">
        <v>31</v>
      </c>
      <c r="B35" s="4" t="s">
        <v>72</v>
      </c>
      <c r="C35" s="2" t="s">
        <v>9</v>
      </c>
      <c r="D35" s="8"/>
      <c r="E35" s="5">
        <v>5.6</v>
      </c>
      <c r="F35" s="20">
        <f t="shared" si="1"/>
        <v>0</v>
      </c>
      <c r="G35" s="2">
        <v>69</v>
      </c>
      <c r="H35" s="9" t="s">
        <v>73</v>
      </c>
      <c r="I35" s="2" t="s">
        <v>9</v>
      </c>
      <c r="J35" s="9"/>
      <c r="K35" s="8">
        <v>7.4</v>
      </c>
      <c r="L35" s="5">
        <f t="shared" si="0"/>
        <v>0</v>
      </c>
    </row>
    <row r="36" spans="1:13" ht="13.15" customHeight="1">
      <c r="A36" s="2">
        <v>32</v>
      </c>
      <c r="B36" s="4" t="s">
        <v>74</v>
      </c>
      <c r="C36" s="2" t="s">
        <v>9</v>
      </c>
      <c r="D36" s="2"/>
      <c r="E36" s="2">
        <v>2.25</v>
      </c>
      <c r="F36" s="20">
        <f t="shared" si="1"/>
        <v>0</v>
      </c>
      <c r="G36" s="2">
        <v>70</v>
      </c>
      <c r="H36" s="9" t="s">
        <v>75</v>
      </c>
      <c r="I36" s="2" t="s">
        <v>9</v>
      </c>
      <c r="J36" s="9"/>
      <c r="K36" s="8">
        <v>10.5</v>
      </c>
      <c r="L36" s="5">
        <f t="shared" si="0"/>
        <v>0</v>
      </c>
    </row>
    <row r="37" spans="1:13" ht="13.15" customHeight="1">
      <c r="A37" s="2">
        <v>33</v>
      </c>
      <c r="B37" s="4" t="s">
        <v>76</v>
      </c>
      <c r="C37" s="2" t="s">
        <v>9</v>
      </c>
      <c r="D37" s="2"/>
      <c r="E37" s="2">
        <v>3.5</v>
      </c>
      <c r="F37" s="20">
        <f t="shared" si="1"/>
        <v>0</v>
      </c>
      <c r="G37" s="2">
        <v>71</v>
      </c>
      <c r="H37" s="9" t="s">
        <v>77</v>
      </c>
      <c r="I37" s="2" t="s">
        <v>9</v>
      </c>
      <c r="J37" s="9"/>
      <c r="K37" s="8">
        <v>6.8</v>
      </c>
      <c r="L37" s="5">
        <f t="shared" si="0"/>
        <v>0</v>
      </c>
      <c r="M37" s="11"/>
    </row>
    <row r="38" spans="1:13" ht="13.15" customHeight="1">
      <c r="A38" s="2">
        <v>34</v>
      </c>
      <c r="B38" s="4" t="s">
        <v>78</v>
      </c>
      <c r="C38" s="2" t="s">
        <v>9</v>
      </c>
      <c r="D38" s="2"/>
      <c r="E38" s="2">
        <v>6.55</v>
      </c>
      <c r="F38" s="20">
        <f t="shared" si="1"/>
        <v>0</v>
      </c>
      <c r="G38" s="2">
        <v>72</v>
      </c>
      <c r="H38" s="9" t="s">
        <v>79</v>
      </c>
      <c r="I38" s="2" t="s">
        <v>9</v>
      </c>
      <c r="J38" s="9"/>
      <c r="K38" s="8">
        <v>7.5</v>
      </c>
      <c r="L38" s="5">
        <f t="shared" si="0"/>
        <v>0</v>
      </c>
    </row>
    <row r="39" spans="1:13" ht="13.15" customHeight="1">
      <c r="A39" s="2">
        <v>35</v>
      </c>
      <c r="B39" s="4" t="s">
        <v>80</v>
      </c>
      <c r="C39" s="2" t="s">
        <v>9</v>
      </c>
      <c r="D39" s="2"/>
      <c r="E39" s="2">
        <v>3.8</v>
      </c>
      <c r="F39" s="20">
        <f t="shared" si="1"/>
        <v>0</v>
      </c>
      <c r="G39" s="2">
        <v>73</v>
      </c>
      <c r="H39" s="4" t="s">
        <v>81</v>
      </c>
      <c r="I39" s="2" t="s">
        <v>9</v>
      </c>
      <c r="J39" s="4"/>
      <c r="K39" s="2">
        <v>8</v>
      </c>
      <c r="L39" s="5">
        <f t="shared" si="0"/>
        <v>0</v>
      </c>
    </row>
    <row r="40" spans="1:13" ht="13.15" customHeight="1">
      <c r="I40" s="33" t="s">
        <v>82</v>
      </c>
      <c r="J40" s="34"/>
      <c r="K40" s="34"/>
      <c r="L40" s="19">
        <f>F5+F6+F7+F9+F8+F10+F11+F12+F13+F14+F15+F16+F17+F18+F19+F20+F21+F22+F23+F24+F25+F27+F26+F28+F29+F30+F31+F32+F33+F34+F35+F36+F37+F38+F39+L2+L3+L4+L6+L5+L7+L8+L9+L10+L11+L12+L13+L14+L15+L16+L17+L18+L19+L20+L21+L22+L23+L24+L25+L26+L27+L28+L29+L30+L31+L32+L33+L34+L35+L36+L37+L38+L39</f>
        <v>6.65</v>
      </c>
    </row>
    <row r="42" spans="1:13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M42"/>
  <sheetViews>
    <sheetView workbookViewId="0">
      <selection activeCell="N7" sqref="N7"/>
    </sheetView>
  </sheetViews>
  <sheetFormatPr defaultRowHeight="13.15" customHeight="1"/>
  <cols>
    <col min="1" max="1" width="4.85546875" style="17" customWidth="1"/>
    <col min="2" max="2" width="30.85546875" customWidth="1"/>
    <col min="3" max="3" width="7.28515625" customWidth="1"/>
    <col min="4" max="4" width="7.42578125" customWidth="1"/>
    <col min="6" max="6" width="8.85546875" style="17"/>
    <col min="7" max="7" width="4.85546875" style="17" customWidth="1"/>
    <col min="8" max="8" width="23.5703125" customWidth="1"/>
    <col min="9" max="9" width="6.5703125" customWidth="1"/>
    <col min="10" max="10" width="6.7109375" customWidth="1"/>
    <col min="11" max="11" width="8.28515625" customWidth="1"/>
    <col min="12" max="12" width="8.28515625" style="17" customWidth="1"/>
  </cols>
  <sheetData>
    <row r="1" spans="1:12" ht="13.15" customHeight="1">
      <c r="A1" s="30"/>
      <c r="B1" s="30"/>
      <c r="C1" s="30"/>
      <c r="D1" s="31" t="s">
        <v>0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 t="s">
        <v>7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</v>
      </c>
      <c r="C5" s="2" t="s">
        <v>9</v>
      </c>
      <c r="D5" s="2"/>
      <c r="E5" s="5">
        <v>6.65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1.95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4.8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7.8</v>
      </c>
      <c r="L6" s="5">
        <f t="shared" si="0"/>
        <v>0</v>
      </c>
    </row>
    <row r="7" spans="1:12" ht="13.15" customHeight="1">
      <c r="A7" s="2">
        <v>3</v>
      </c>
      <c r="B7" s="4" t="s">
        <v>16</v>
      </c>
      <c r="C7" s="2" t="s">
        <v>9</v>
      </c>
      <c r="D7" s="2"/>
      <c r="E7" s="5">
        <v>5.8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1.85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7.15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8"/>
      <c r="E9" s="5">
        <v>5</v>
      </c>
      <c r="F9" s="20">
        <f t="shared" si="1"/>
        <v>0</v>
      </c>
      <c r="G9" s="2">
        <v>43</v>
      </c>
      <c r="H9" s="4" t="s">
        <v>21</v>
      </c>
      <c r="I9" s="2" t="s">
        <v>9</v>
      </c>
      <c r="J9" s="2"/>
      <c r="K9" s="5">
        <v>2.35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5.8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24</v>
      </c>
      <c r="C11" s="2" t="s">
        <v>9</v>
      </c>
      <c r="D11" s="2"/>
      <c r="E11" s="5">
        <v>5.3</v>
      </c>
      <c r="F11" s="20">
        <f t="shared" si="1"/>
        <v>0</v>
      </c>
      <c r="G11" s="2">
        <v>45</v>
      </c>
      <c r="H11" s="4" t="s">
        <v>25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6</v>
      </c>
      <c r="F12" s="20">
        <f t="shared" si="1"/>
        <v>0</v>
      </c>
      <c r="G12" s="2">
        <v>46</v>
      </c>
      <c r="H12" s="4" t="s">
        <v>27</v>
      </c>
      <c r="I12" s="2" t="s">
        <v>9</v>
      </c>
      <c r="J12" s="2"/>
      <c r="K12" s="5">
        <v>2.4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6.1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5.95</v>
      </c>
      <c r="F14" s="20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32</v>
      </c>
      <c r="C15" s="2" t="s">
        <v>9</v>
      </c>
      <c r="D15" s="2"/>
      <c r="E15" s="5">
        <v>6.1</v>
      </c>
      <c r="F15" s="20">
        <f t="shared" si="1"/>
        <v>0</v>
      </c>
      <c r="G15" s="2">
        <v>49</v>
      </c>
      <c r="H15" s="4" t="s">
        <v>33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34</v>
      </c>
      <c r="C16" s="2" t="s">
        <v>9</v>
      </c>
      <c r="D16" s="2"/>
      <c r="E16" s="5">
        <v>6.1</v>
      </c>
      <c r="F16" s="20">
        <f t="shared" si="1"/>
        <v>0</v>
      </c>
      <c r="G16" s="2">
        <v>50</v>
      </c>
      <c r="H16" s="4" t="s">
        <v>35</v>
      </c>
      <c r="I16" s="2" t="s">
        <v>9</v>
      </c>
      <c r="J16" s="2"/>
      <c r="K16" s="5">
        <v>6.55</v>
      </c>
      <c r="L16" s="5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6.6</v>
      </c>
      <c r="F17" s="20">
        <f t="shared" si="1"/>
        <v>0</v>
      </c>
      <c r="G17" s="2">
        <v>51</v>
      </c>
      <c r="H17" s="4" t="s">
        <v>37</v>
      </c>
      <c r="I17" s="2" t="s">
        <v>9</v>
      </c>
      <c r="J17" s="2"/>
      <c r="K17" s="5">
        <v>8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4.9000000000000004</v>
      </c>
      <c r="F18" s="20">
        <f t="shared" si="1"/>
        <v>0</v>
      </c>
      <c r="G18" s="2">
        <v>52</v>
      </c>
      <c r="H18" s="4" t="s">
        <v>39</v>
      </c>
      <c r="I18" s="2" t="s">
        <v>9</v>
      </c>
      <c r="J18" s="2"/>
      <c r="K18" s="5">
        <v>6.4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5.4</v>
      </c>
      <c r="F19" s="20">
        <f t="shared" si="1"/>
        <v>0</v>
      </c>
      <c r="G19" s="2">
        <v>53</v>
      </c>
      <c r="H19" s="4" t="s">
        <v>41</v>
      </c>
      <c r="I19" s="2" t="s">
        <v>9</v>
      </c>
      <c r="J19" s="2"/>
      <c r="K19" s="5">
        <v>8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2.2000000000000002</v>
      </c>
      <c r="F20" s="20">
        <f t="shared" si="1"/>
        <v>0</v>
      </c>
      <c r="G20" s="2">
        <v>54</v>
      </c>
      <c r="H20" s="4" t="s">
        <v>43</v>
      </c>
      <c r="I20" s="2" t="s">
        <v>9</v>
      </c>
      <c r="J20" s="2"/>
      <c r="K20" s="5">
        <v>6.75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</v>
      </c>
      <c r="F21" s="20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34.75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5.8</v>
      </c>
      <c r="F22" s="20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18.649999999999999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6.55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4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6.2</v>
      </c>
      <c r="F24" s="20">
        <f t="shared" si="1"/>
        <v>0</v>
      </c>
      <c r="G24" s="2">
        <v>58</v>
      </c>
      <c r="H24" s="4" t="s">
        <v>51</v>
      </c>
      <c r="I24" s="2" t="s">
        <v>9</v>
      </c>
      <c r="J24" s="4"/>
      <c r="K24" s="2">
        <v>2.0499999999999998</v>
      </c>
      <c r="L24" s="5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6.9</v>
      </c>
      <c r="F25" s="20">
        <f t="shared" si="1"/>
        <v>0</v>
      </c>
      <c r="G25" s="2">
        <v>59</v>
      </c>
      <c r="H25" s="4" t="s">
        <v>53</v>
      </c>
      <c r="I25" s="2" t="s">
        <v>9</v>
      </c>
      <c r="J25" s="4"/>
      <c r="K25" s="2">
        <v>8.85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5.5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5.9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4"/>
      <c r="K27" s="2">
        <v>3.65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5.05</v>
      </c>
      <c r="F28" s="20">
        <f t="shared" si="1"/>
        <v>0</v>
      </c>
      <c r="G28" s="2">
        <v>62</v>
      </c>
      <c r="H28" s="4" t="s">
        <v>59</v>
      </c>
      <c r="I28" s="2" t="s">
        <v>9</v>
      </c>
      <c r="J28" s="4"/>
      <c r="K28" s="2">
        <v>7.8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5.8</v>
      </c>
      <c r="F29" s="20">
        <f t="shared" si="1"/>
        <v>0</v>
      </c>
      <c r="G29" s="2">
        <v>63</v>
      </c>
      <c r="H29" s="4" t="s">
        <v>61</v>
      </c>
      <c r="I29" s="2" t="s">
        <v>9</v>
      </c>
      <c r="J29" s="4"/>
      <c r="K29" s="2">
        <v>12.35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4.5999999999999996</v>
      </c>
      <c r="F30" s="5">
        <f t="shared" si="1"/>
        <v>0</v>
      </c>
      <c r="G30" s="2">
        <v>64</v>
      </c>
      <c r="H30" s="4" t="s">
        <v>63</v>
      </c>
      <c r="I30" s="2" t="s">
        <v>9</v>
      </c>
      <c r="J30" s="4"/>
      <c r="K30" s="2">
        <v>6.75</v>
      </c>
      <c r="L30" s="5">
        <f t="shared" si="0"/>
        <v>0</v>
      </c>
    </row>
    <row r="31" spans="1:12" ht="13.15" customHeight="1">
      <c r="A31" s="2">
        <v>27</v>
      </c>
      <c r="B31" s="4" t="s">
        <v>64</v>
      </c>
      <c r="C31" s="2" t="s">
        <v>9</v>
      </c>
      <c r="D31" s="2"/>
      <c r="E31" s="5">
        <v>6.05</v>
      </c>
      <c r="F31" s="5">
        <f t="shared" si="1"/>
        <v>0</v>
      </c>
      <c r="G31" s="2">
        <v>65</v>
      </c>
      <c r="H31" s="4" t="s">
        <v>65</v>
      </c>
      <c r="I31" s="2" t="s">
        <v>9</v>
      </c>
      <c r="J31" s="4"/>
      <c r="K31" s="2">
        <v>8.85</v>
      </c>
      <c r="L31" s="5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7.8</v>
      </c>
      <c r="F32" s="20">
        <f t="shared" si="1"/>
        <v>0</v>
      </c>
      <c r="G32" s="2">
        <v>66</v>
      </c>
      <c r="H32" s="9" t="s">
        <v>67</v>
      </c>
      <c r="I32" s="2" t="s">
        <v>9</v>
      </c>
      <c r="J32" s="9"/>
      <c r="K32" s="8">
        <v>8.35</v>
      </c>
      <c r="L32" s="5">
        <f t="shared" si="0"/>
        <v>0</v>
      </c>
    </row>
    <row r="33" spans="1:13" ht="13.15" customHeight="1">
      <c r="A33" s="2">
        <v>29</v>
      </c>
      <c r="B33" s="4" t="s">
        <v>68</v>
      </c>
      <c r="C33" s="2" t="s">
        <v>9</v>
      </c>
      <c r="D33" s="2"/>
      <c r="E33" s="5">
        <v>5.6</v>
      </c>
      <c r="F33" s="5">
        <f t="shared" si="1"/>
        <v>0</v>
      </c>
      <c r="G33" s="2">
        <v>67</v>
      </c>
      <c r="H33" s="9" t="s">
        <v>69</v>
      </c>
      <c r="I33" s="2" t="s">
        <v>9</v>
      </c>
      <c r="J33" s="9"/>
      <c r="K33" s="8">
        <v>5.5</v>
      </c>
      <c r="L33" s="5">
        <f t="shared" si="0"/>
        <v>0</v>
      </c>
    </row>
    <row r="34" spans="1:13" ht="13.15" customHeight="1">
      <c r="A34" s="2">
        <v>30</v>
      </c>
      <c r="B34" s="4" t="s">
        <v>70</v>
      </c>
      <c r="C34" s="2" t="s">
        <v>9</v>
      </c>
      <c r="D34" s="2"/>
      <c r="E34" s="5">
        <v>6.05</v>
      </c>
      <c r="F34" s="5">
        <f t="shared" si="1"/>
        <v>0</v>
      </c>
      <c r="G34" s="2">
        <v>68</v>
      </c>
      <c r="H34" s="9" t="s">
        <v>71</v>
      </c>
      <c r="I34" s="2" t="s">
        <v>9</v>
      </c>
      <c r="J34" s="9"/>
      <c r="K34" s="8">
        <v>9.1</v>
      </c>
      <c r="L34" s="5">
        <f t="shared" si="0"/>
        <v>0</v>
      </c>
      <c r="M34" s="10"/>
    </row>
    <row r="35" spans="1:13" ht="13.15" customHeight="1">
      <c r="A35" s="2">
        <v>31</v>
      </c>
      <c r="B35" s="4" t="s">
        <v>72</v>
      </c>
      <c r="C35" s="2" t="s">
        <v>9</v>
      </c>
      <c r="D35" s="8"/>
      <c r="E35" s="5">
        <v>5.6</v>
      </c>
      <c r="F35" s="20">
        <f t="shared" si="1"/>
        <v>0</v>
      </c>
      <c r="G35" s="2">
        <v>69</v>
      </c>
      <c r="H35" s="9" t="s">
        <v>73</v>
      </c>
      <c r="I35" s="2" t="s">
        <v>9</v>
      </c>
      <c r="J35" s="9"/>
      <c r="K35" s="8">
        <v>7.4</v>
      </c>
      <c r="L35" s="5">
        <f t="shared" si="0"/>
        <v>0</v>
      </c>
    </row>
    <row r="36" spans="1:13" ht="13.15" customHeight="1">
      <c r="A36" s="2">
        <v>32</v>
      </c>
      <c r="B36" s="4" t="s">
        <v>74</v>
      </c>
      <c r="C36" s="2" t="s">
        <v>9</v>
      </c>
      <c r="D36" s="2"/>
      <c r="E36" s="2">
        <v>2.25</v>
      </c>
      <c r="F36" s="20">
        <f t="shared" si="1"/>
        <v>0</v>
      </c>
      <c r="G36" s="2">
        <v>70</v>
      </c>
      <c r="H36" s="9" t="s">
        <v>75</v>
      </c>
      <c r="I36" s="2" t="s">
        <v>9</v>
      </c>
      <c r="J36" s="9"/>
      <c r="K36" s="8">
        <v>10.5</v>
      </c>
      <c r="L36" s="5">
        <f t="shared" si="0"/>
        <v>0</v>
      </c>
    </row>
    <row r="37" spans="1:13" ht="13.15" customHeight="1">
      <c r="A37" s="2">
        <v>33</v>
      </c>
      <c r="B37" s="4" t="s">
        <v>76</v>
      </c>
      <c r="C37" s="2" t="s">
        <v>9</v>
      </c>
      <c r="D37" s="2"/>
      <c r="E37" s="2">
        <v>3.5</v>
      </c>
      <c r="F37" s="20">
        <f t="shared" si="1"/>
        <v>0</v>
      </c>
      <c r="G37" s="2">
        <v>71</v>
      </c>
      <c r="H37" s="9" t="s">
        <v>77</v>
      </c>
      <c r="I37" s="2" t="s">
        <v>9</v>
      </c>
      <c r="J37" s="9"/>
      <c r="K37" s="8">
        <v>6.8</v>
      </c>
      <c r="L37" s="5">
        <f t="shared" si="0"/>
        <v>0</v>
      </c>
      <c r="M37" s="11"/>
    </row>
    <row r="38" spans="1:13" ht="13.15" customHeight="1">
      <c r="A38" s="2">
        <v>34</v>
      </c>
      <c r="B38" s="4" t="s">
        <v>78</v>
      </c>
      <c r="C38" s="2" t="s">
        <v>9</v>
      </c>
      <c r="D38" s="2"/>
      <c r="E38" s="2">
        <v>6.55</v>
      </c>
      <c r="F38" s="20">
        <f t="shared" si="1"/>
        <v>0</v>
      </c>
      <c r="G38" s="2">
        <v>72</v>
      </c>
      <c r="H38" s="9" t="s">
        <v>79</v>
      </c>
      <c r="I38" s="2" t="s">
        <v>9</v>
      </c>
      <c r="J38" s="9"/>
      <c r="K38" s="8">
        <v>7.5</v>
      </c>
      <c r="L38" s="5">
        <f t="shared" si="0"/>
        <v>0</v>
      </c>
    </row>
    <row r="39" spans="1:13" ht="13.15" customHeight="1">
      <c r="A39" s="2">
        <v>35</v>
      </c>
      <c r="B39" s="4" t="s">
        <v>80</v>
      </c>
      <c r="C39" s="2" t="s">
        <v>9</v>
      </c>
      <c r="D39" s="2"/>
      <c r="E39" s="2">
        <v>3.8</v>
      </c>
      <c r="F39" s="20">
        <f t="shared" si="1"/>
        <v>0</v>
      </c>
      <c r="G39" s="2">
        <v>73</v>
      </c>
      <c r="H39" s="4" t="s">
        <v>81</v>
      </c>
      <c r="I39" s="2" t="s">
        <v>9</v>
      </c>
      <c r="J39" s="4"/>
      <c r="K39" s="2">
        <v>8</v>
      </c>
      <c r="L39" s="5">
        <f t="shared" si="0"/>
        <v>0</v>
      </c>
    </row>
    <row r="40" spans="1:13" ht="13.15" customHeight="1">
      <c r="I40" s="33" t="s">
        <v>82</v>
      </c>
      <c r="J40" s="34"/>
      <c r="K40" s="34"/>
      <c r="L40" s="19">
        <f>F5+F6+F7+F9+F8+F10+F11+F12+F13+F14+F15+F16+F17+F18+F19+F20+F21+F22+F23+F24+F25+F27+F26+F28+F29+F30+F31+F32+F33+F34+F35+F36+F37+F38+F39+L2+L3+L4+L6+L5+L7+L8+L9+L10+L11+L12+L13+L14+L15+L16+L17+L18+L19+L20+L21+L22+L23+L24+L25+L26+L27+L28+L29+L30+L31+L32+L33+L34+L35+L36+L37+L38+L39</f>
        <v>0</v>
      </c>
    </row>
    <row r="42" spans="1:13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  <pageSetup paperSize="9" orientation="portrait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M42"/>
  <sheetViews>
    <sheetView workbookViewId="0">
      <selection activeCell="N7" sqref="N7"/>
    </sheetView>
  </sheetViews>
  <sheetFormatPr defaultRowHeight="13.15" customHeight="1"/>
  <cols>
    <col min="1" max="1" width="4.85546875" style="17" customWidth="1"/>
    <col min="2" max="2" width="30.85546875" customWidth="1"/>
    <col min="3" max="3" width="7.28515625" customWidth="1"/>
    <col min="4" max="4" width="7.42578125" customWidth="1"/>
    <col min="6" max="6" width="8.85546875" style="17"/>
    <col min="7" max="7" width="4.85546875" style="17" customWidth="1"/>
    <col min="8" max="8" width="23.5703125" customWidth="1"/>
    <col min="9" max="9" width="6.5703125" customWidth="1"/>
    <col min="10" max="10" width="6.7109375" customWidth="1"/>
    <col min="11" max="11" width="8.28515625" customWidth="1"/>
    <col min="12" max="12" width="8.28515625" style="17" customWidth="1"/>
  </cols>
  <sheetData>
    <row r="1" spans="1:12" ht="13.15" customHeight="1">
      <c r="A1" s="30"/>
      <c r="B1" s="30"/>
      <c r="C1" s="30"/>
      <c r="D1" s="31" t="s">
        <v>0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 t="s">
        <v>7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</v>
      </c>
      <c r="C5" s="2" t="s">
        <v>9</v>
      </c>
      <c r="D5" s="2"/>
      <c r="E5" s="5">
        <v>6.65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1.95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4.8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7.8</v>
      </c>
      <c r="L6" s="5">
        <f t="shared" si="0"/>
        <v>0</v>
      </c>
    </row>
    <row r="7" spans="1:12" ht="13.15" customHeight="1">
      <c r="A7" s="2">
        <v>3</v>
      </c>
      <c r="B7" s="4" t="s">
        <v>16</v>
      </c>
      <c r="C7" s="2" t="s">
        <v>9</v>
      </c>
      <c r="D7" s="2"/>
      <c r="E7" s="5">
        <v>5.8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1.85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7.15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8"/>
      <c r="E9" s="5">
        <v>5</v>
      </c>
      <c r="F9" s="20">
        <f t="shared" si="1"/>
        <v>0</v>
      </c>
      <c r="G9" s="2">
        <v>43</v>
      </c>
      <c r="H9" s="4" t="s">
        <v>21</v>
      </c>
      <c r="I9" s="2" t="s">
        <v>9</v>
      </c>
      <c r="J9" s="2"/>
      <c r="K9" s="5">
        <v>2.35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5.8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24</v>
      </c>
      <c r="C11" s="2" t="s">
        <v>9</v>
      </c>
      <c r="D11" s="2"/>
      <c r="E11" s="5">
        <v>5.3</v>
      </c>
      <c r="F11" s="20">
        <f t="shared" si="1"/>
        <v>0</v>
      </c>
      <c r="G11" s="2">
        <v>45</v>
      </c>
      <c r="H11" s="4" t="s">
        <v>25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6</v>
      </c>
      <c r="F12" s="20">
        <f t="shared" si="1"/>
        <v>0</v>
      </c>
      <c r="G12" s="2">
        <v>46</v>
      </c>
      <c r="H12" s="4" t="s">
        <v>27</v>
      </c>
      <c r="I12" s="2" t="s">
        <v>9</v>
      </c>
      <c r="J12" s="2"/>
      <c r="K12" s="5">
        <v>2.4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6.1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5.95</v>
      </c>
      <c r="F14" s="20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32</v>
      </c>
      <c r="C15" s="2" t="s">
        <v>9</v>
      </c>
      <c r="D15" s="2"/>
      <c r="E15" s="5">
        <v>6.1</v>
      </c>
      <c r="F15" s="20">
        <f t="shared" si="1"/>
        <v>0</v>
      </c>
      <c r="G15" s="2">
        <v>49</v>
      </c>
      <c r="H15" s="4" t="s">
        <v>33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34</v>
      </c>
      <c r="C16" s="2" t="s">
        <v>9</v>
      </c>
      <c r="D16" s="2"/>
      <c r="E16" s="5">
        <v>6.1</v>
      </c>
      <c r="F16" s="20">
        <f t="shared" si="1"/>
        <v>0</v>
      </c>
      <c r="G16" s="2">
        <v>50</v>
      </c>
      <c r="H16" s="4" t="s">
        <v>35</v>
      </c>
      <c r="I16" s="2" t="s">
        <v>9</v>
      </c>
      <c r="J16" s="2"/>
      <c r="K16" s="5">
        <v>6.55</v>
      </c>
      <c r="L16" s="5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6.6</v>
      </c>
      <c r="F17" s="20">
        <f t="shared" si="1"/>
        <v>0</v>
      </c>
      <c r="G17" s="2">
        <v>51</v>
      </c>
      <c r="H17" s="4" t="s">
        <v>37</v>
      </c>
      <c r="I17" s="2" t="s">
        <v>9</v>
      </c>
      <c r="J17" s="2"/>
      <c r="K17" s="5">
        <v>8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4.9000000000000004</v>
      </c>
      <c r="F18" s="20">
        <f t="shared" si="1"/>
        <v>0</v>
      </c>
      <c r="G18" s="2">
        <v>52</v>
      </c>
      <c r="H18" s="4" t="s">
        <v>39</v>
      </c>
      <c r="I18" s="2" t="s">
        <v>9</v>
      </c>
      <c r="J18" s="2"/>
      <c r="K18" s="5">
        <v>6.4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5.4</v>
      </c>
      <c r="F19" s="20">
        <f t="shared" si="1"/>
        <v>0</v>
      </c>
      <c r="G19" s="2">
        <v>53</v>
      </c>
      <c r="H19" s="4" t="s">
        <v>41</v>
      </c>
      <c r="I19" s="2" t="s">
        <v>9</v>
      </c>
      <c r="J19" s="2"/>
      <c r="K19" s="5">
        <v>8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2.2000000000000002</v>
      </c>
      <c r="F20" s="20">
        <f t="shared" si="1"/>
        <v>0</v>
      </c>
      <c r="G20" s="2">
        <v>54</v>
      </c>
      <c r="H20" s="4" t="s">
        <v>43</v>
      </c>
      <c r="I20" s="2" t="s">
        <v>9</v>
      </c>
      <c r="J20" s="2"/>
      <c r="K20" s="5">
        <v>6.75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</v>
      </c>
      <c r="F21" s="20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34.75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5.8</v>
      </c>
      <c r="F22" s="20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18.649999999999999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6.55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4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6.2</v>
      </c>
      <c r="F24" s="20">
        <f t="shared" si="1"/>
        <v>0</v>
      </c>
      <c r="G24" s="2">
        <v>58</v>
      </c>
      <c r="H24" s="4" t="s">
        <v>51</v>
      </c>
      <c r="I24" s="2" t="s">
        <v>9</v>
      </c>
      <c r="J24" s="4"/>
      <c r="K24" s="2">
        <v>2.0499999999999998</v>
      </c>
      <c r="L24" s="5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6.9</v>
      </c>
      <c r="F25" s="20">
        <f t="shared" si="1"/>
        <v>0</v>
      </c>
      <c r="G25" s="2">
        <v>59</v>
      </c>
      <c r="H25" s="4" t="s">
        <v>53</v>
      </c>
      <c r="I25" s="2" t="s">
        <v>9</v>
      </c>
      <c r="J25" s="4"/>
      <c r="K25" s="2">
        <v>8.85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5.5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5.9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4"/>
      <c r="K27" s="2">
        <v>3.65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5.05</v>
      </c>
      <c r="F28" s="20">
        <f t="shared" si="1"/>
        <v>0</v>
      </c>
      <c r="G28" s="2">
        <v>62</v>
      </c>
      <c r="H28" s="4" t="s">
        <v>59</v>
      </c>
      <c r="I28" s="2" t="s">
        <v>9</v>
      </c>
      <c r="J28" s="4"/>
      <c r="K28" s="2">
        <v>7.8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5.8</v>
      </c>
      <c r="F29" s="20">
        <f t="shared" si="1"/>
        <v>0</v>
      </c>
      <c r="G29" s="2">
        <v>63</v>
      </c>
      <c r="H29" s="4" t="s">
        <v>61</v>
      </c>
      <c r="I29" s="2" t="s">
        <v>9</v>
      </c>
      <c r="J29" s="4"/>
      <c r="K29" s="2">
        <v>12.35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4.5999999999999996</v>
      </c>
      <c r="F30" s="5">
        <f t="shared" si="1"/>
        <v>0</v>
      </c>
      <c r="G30" s="2">
        <v>64</v>
      </c>
      <c r="H30" s="4" t="s">
        <v>63</v>
      </c>
      <c r="I30" s="2" t="s">
        <v>9</v>
      </c>
      <c r="J30" s="4"/>
      <c r="K30" s="2">
        <v>6.75</v>
      </c>
      <c r="L30" s="5">
        <f t="shared" si="0"/>
        <v>0</v>
      </c>
    </row>
    <row r="31" spans="1:12" ht="13.15" customHeight="1">
      <c r="A31" s="2">
        <v>27</v>
      </c>
      <c r="B31" s="4" t="s">
        <v>64</v>
      </c>
      <c r="C31" s="2" t="s">
        <v>9</v>
      </c>
      <c r="D31" s="2"/>
      <c r="E31" s="5">
        <v>6.05</v>
      </c>
      <c r="F31" s="5">
        <f t="shared" si="1"/>
        <v>0</v>
      </c>
      <c r="G31" s="2">
        <v>65</v>
      </c>
      <c r="H31" s="4" t="s">
        <v>65</v>
      </c>
      <c r="I31" s="2" t="s">
        <v>9</v>
      </c>
      <c r="J31" s="4"/>
      <c r="K31" s="2">
        <v>8.85</v>
      </c>
      <c r="L31" s="5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7.8</v>
      </c>
      <c r="F32" s="20">
        <f t="shared" si="1"/>
        <v>0</v>
      </c>
      <c r="G32" s="2">
        <v>66</v>
      </c>
      <c r="H32" s="9" t="s">
        <v>67</v>
      </c>
      <c r="I32" s="2" t="s">
        <v>9</v>
      </c>
      <c r="J32" s="9"/>
      <c r="K32" s="8">
        <v>8.35</v>
      </c>
      <c r="L32" s="5">
        <f t="shared" si="0"/>
        <v>0</v>
      </c>
    </row>
    <row r="33" spans="1:13" ht="13.15" customHeight="1">
      <c r="A33" s="2">
        <v>29</v>
      </c>
      <c r="B33" s="4" t="s">
        <v>68</v>
      </c>
      <c r="C33" s="2" t="s">
        <v>9</v>
      </c>
      <c r="D33" s="2"/>
      <c r="E33" s="5">
        <v>5.6</v>
      </c>
      <c r="F33" s="5">
        <f t="shared" si="1"/>
        <v>0</v>
      </c>
      <c r="G33" s="2">
        <v>67</v>
      </c>
      <c r="H33" s="9" t="s">
        <v>69</v>
      </c>
      <c r="I33" s="2" t="s">
        <v>9</v>
      </c>
      <c r="J33" s="9"/>
      <c r="K33" s="8">
        <v>5.5</v>
      </c>
      <c r="L33" s="5">
        <f t="shared" si="0"/>
        <v>0</v>
      </c>
    </row>
    <row r="34" spans="1:13" ht="13.15" customHeight="1">
      <c r="A34" s="2">
        <v>30</v>
      </c>
      <c r="B34" s="4" t="s">
        <v>70</v>
      </c>
      <c r="C34" s="2" t="s">
        <v>9</v>
      </c>
      <c r="D34" s="2"/>
      <c r="E34" s="5">
        <v>6.05</v>
      </c>
      <c r="F34" s="5">
        <f t="shared" si="1"/>
        <v>0</v>
      </c>
      <c r="G34" s="2">
        <v>68</v>
      </c>
      <c r="H34" s="9" t="s">
        <v>71</v>
      </c>
      <c r="I34" s="2" t="s">
        <v>9</v>
      </c>
      <c r="J34" s="9"/>
      <c r="K34" s="8">
        <v>9.1</v>
      </c>
      <c r="L34" s="5">
        <f t="shared" si="0"/>
        <v>0</v>
      </c>
      <c r="M34" s="10"/>
    </row>
    <row r="35" spans="1:13" ht="13.15" customHeight="1">
      <c r="A35" s="2">
        <v>31</v>
      </c>
      <c r="B35" s="4" t="s">
        <v>72</v>
      </c>
      <c r="C35" s="2" t="s">
        <v>9</v>
      </c>
      <c r="D35" s="8"/>
      <c r="E35" s="5">
        <v>5.6</v>
      </c>
      <c r="F35" s="20">
        <f t="shared" si="1"/>
        <v>0</v>
      </c>
      <c r="G35" s="2">
        <v>69</v>
      </c>
      <c r="H35" s="9" t="s">
        <v>73</v>
      </c>
      <c r="I35" s="2" t="s">
        <v>9</v>
      </c>
      <c r="J35" s="9"/>
      <c r="K35" s="8">
        <v>7.4</v>
      </c>
      <c r="L35" s="5">
        <f t="shared" si="0"/>
        <v>0</v>
      </c>
    </row>
    <row r="36" spans="1:13" ht="13.15" customHeight="1">
      <c r="A36" s="2">
        <v>32</v>
      </c>
      <c r="B36" s="4" t="s">
        <v>74</v>
      </c>
      <c r="C36" s="2" t="s">
        <v>9</v>
      </c>
      <c r="D36" s="2"/>
      <c r="E36" s="2">
        <v>2.25</v>
      </c>
      <c r="F36" s="20">
        <f t="shared" si="1"/>
        <v>0</v>
      </c>
      <c r="G36" s="2">
        <v>70</v>
      </c>
      <c r="H36" s="9" t="s">
        <v>75</v>
      </c>
      <c r="I36" s="2" t="s">
        <v>9</v>
      </c>
      <c r="J36" s="9"/>
      <c r="K36" s="8">
        <v>10.5</v>
      </c>
      <c r="L36" s="5">
        <f t="shared" si="0"/>
        <v>0</v>
      </c>
    </row>
    <row r="37" spans="1:13" ht="13.15" customHeight="1">
      <c r="A37" s="2">
        <v>33</v>
      </c>
      <c r="B37" s="4" t="s">
        <v>76</v>
      </c>
      <c r="C37" s="2" t="s">
        <v>9</v>
      </c>
      <c r="D37" s="2"/>
      <c r="E37" s="2">
        <v>3.5</v>
      </c>
      <c r="F37" s="20">
        <f t="shared" si="1"/>
        <v>0</v>
      </c>
      <c r="G37" s="2">
        <v>71</v>
      </c>
      <c r="H37" s="9" t="s">
        <v>77</v>
      </c>
      <c r="I37" s="2" t="s">
        <v>9</v>
      </c>
      <c r="J37" s="9"/>
      <c r="K37" s="8">
        <v>6.8</v>
      </c>
      <c r="L37" s="5">
        <f t="shared" si="0"/>
        <v>0</v>
      </c>
      <c r="M37" s="11"/>
    </row>
    <row r="38" spans="1:13" ht="13.15" customHeight="1">
      <c r="A38" s="2">
        <v>34</v>
      </c>
      <c r="B38" s="4" t="s">
        <v>78</v>
      </c>
      <c r="C38" s="2" t="s">
        <v>9</v>
      </c>
      <c r="D38" s="2"/>
      <c r="E38" s="2">
        <v>6.55</v>
      </c>
      <c r="F38" s="20">
        <f t="shared" si="1"/>
        <v>0</v>
      </c>
      <c r="G38" s="2">
        <v>72</v>
      </c>
      <c r="H38" s="9" t="s">
        <v>79</v>
      </c>
      <c r="I38" s="2" t="s">
        <v>9</v>
      </c>
      <c r="J38" s="9"/>
      <c r="K38" s="8">
        <v>7.5</v>
      </c>
      <c r="L38" s="5">
        <f t="shared" si="0"/>
        <v>0</v>
      </c>
    </row>
    <row r="39" spans="1:13" ht="13.15" customHeight="1">
      <c r="A39" s="2">
        <v>35</v>
      </c>
      <c r="B39" s="4" t="s">
        <v>80</v>
      </c>
      <c r="C39" s="2" t="s">
        <v>9</v>
      </c>
      <c r="D39" s="2"/>
      <c r="E39" s="2">
        <v>3.8</v>
      </c>
      <c r="F39" s="20">
        <f t="shared" si="1"/>
        <v>0</v>
      </c>
      <c r="G39" s="2">
        <v>73</v>
      </c>
      <c r="H39" s="4" t="s">
        <v>81</v>
      </c>
      <c r="I39" s="2" t="s">
        <v>9</v>
      </c>
      <c r="J39" s="4"/>
      <c r="K39" s="2">
        <v>8</v>
      </c>
      <c r="L39" s="5">
        <f t="shared" si="0"/>
        <v>0</v>
      </c>
    </row>
    <row r="40" spans="1:13" ht="13.15" customHeight="1">
      <c r="I40" s="33" t="s">
        <v>82</v>
      </c>
      <c r="J40" s="34"/>
      <c r="K40" s="34"/>
      <c r="L40" s="19">
        <f>F5+F6+F7+F9+F8+F10+F11+F12+F13+F14+F15+F16+F17+F18+F19+F20+F21+F22+F23+F24+F25+F27+F26+F28+F29+F30+F31+F32+F33+F34+F35+F36+F37+F38+F39+L2+L3+L4+L6+L5+L7+L8+L9+L10+L11+L12+L13+L14+L15+L16+L17+L18+L19+L20+L21+L22+L23+L24+L25+L26+L27+L28+L29+L30+L31+L32+L33+L34+L35+L36+L37+L38+L39</f>
        <v>0</v>
      </c>
    </row>
    <row r="42" spans="1:13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M42"/>
  <sheetViews>
    <sheetView workbookViewId="0">
      <selection activeCell="N7" sqref="N7"/>
    </sheetView>
  </sheetViews>
  <sheetFormatPr defaultRowHeight="13.15" customHeight="1"/>
  <cols>
    <col min="1" max="1" width="4.85546875" style="17" customWidth="1"/>
    <col min="2" max="2" width="30.85546875" customWidth="1"/>
    <col min="3" max="3" width="7.28515625" customWidth="1"/>
    <col min="4" max="4" width="7.42578125" customWidth="1"/>
    <col min="6" max="6" width="8.85546875" style="17"/>
    <col min="7" max="7" width="4.85546875" style="17" customWidth="1"/>
    <col min="8" max="8" width="23.5703125" customWidth="1"/>
    <col min="9" max="9" width="6.5703125" customWidth="1"/>
    <col min="10" max="10" width="6.7109375" customWidth="1"/>
    <col min="11" max="11" width="8.28515625" customWidth="1"/>
    <col min="12" max="12" width="8.28515625" style="17" customWidth="1"/>
  </cols>
  <sheetData>
    <row r="1" spans="1:12" ht="13.15" customHeight="1">
      <c r="A1" s="30"/>
      <c r="B1" s="30"/>
      <c r="C1" s="30"/>
      <c r="D1" s="31" t="s">
        <v>0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 t="s">
        <v>7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</v>
      </c>
      <c r="C5" s="2" t="s">
        <v>9</v>
      </c>
      <c r="D5" s="2"/>
      <c r="E5" s="5">
        <v>6.65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1.95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4.8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7.8</v>
      </c>
      <c r="L6" s="5">
        <f t="shared" si="0"/>
        <v>0</v>
      </c>
    </row>
    <row r="7" spans="1:12" ht="13.15" customHeight="1">
      <c r="A7" s="2">
        <v>3</v>
      </c>
      <c r="B7" s="4" t="s">
        <v>16</v>
      </c>
      <c r="C7" s="2" t="s">
        <v>9</v>
      </c>
      <c r="D7" s="2"/>
      <c r="E7" s="5">
        <v>5.8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1.85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7.15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8"/>
      <c r="E9" s="5">
        <v>5</v>
      </c>
      <c r="F9" s="20">
        <f t="shared" si="1"/>
        <v>0</v>
      </c>
      <c r="G9" s="2">
        <v>43</v>
      </c>
      <c r="H9" s="4" t="s">
        <v>21</v>
      </c>
      <c r="I9" s="2" t="s">
        <v>9</v>
      </c>
      <c r="J9" s="2"/>
      <c r="K9" s="5">
        <v>2.35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5.8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24</v>
      </c>
      <c r="C11" s="2" t="s">
        <v>9</v>
      </c>
      <c r="D11" s="2"/>
      <c r="E11" s="5">
        <v>5.3</v>
      </c>
      <c r="F11" s="20">
        <f t="shared" si="1"/>
        <v>0</v>
      </c>
      <c r="G11" s="2">
        <v>45</v>
      </c>
      <c r="H11" s="4" t="s">
        <v>25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6</v>
      </c>
      <c r="F12" s="20">
        <f t="shared" si="1"/>
        <v>0</v>
      </c>
      <c r="G12" s="2">
        <v>46</v>
      </c>
      <c r="H12" s="4" t="s">
        <v>27</v>
      </c>
      <c r="I12" s="2" t="s">
        <v>9</v>
      </c>
      <c r="J12" s="2"/>
      <c r="K12" s="5">
        <v>2.4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6.1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5.95</v>
      </c>
      <c r="F14" s="20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32</v>
      </c>
      <c r="C15" s="2" t="s">
        <v>9</v>
      </c>
      <c r="D15" s="2"/>
      <c r="E15" s="5">
        <v>6.1</v>
      </c>
      <c r="F15" s="20">
        <f t="shared" si="1"/>
        <v>0</v>
      </c>
      <c r="G15" s="2">
        <v>49</v>
      </c>
      <c r="H15" s="4" t="s">
        <v>33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34</v>
      </c>
      <c r="C16" s="2" t="s">
        <v>9</v>
      </c>
      <c r="D16" s="2"/>
      <c r="E16" s="5">
        <v>6.1</v>
      </c>
      <c r="F16" s="20">
        <f t="shared" si="1"/>
        <v>0</v>
      </c>
      <c r="G16" s="2">
        <v>50</v>
      </c>
      <c r="H16" s="4" t="s">
        <v>35</v>
      </c>
      <c r="I16" s="2" t="s">
        <v>9</v>
      </c>
      <c r="J16" s="2"/>
      <c r="K16" s="5">
        <v>6.55</v>
      </c>
      <c r="L16" s="5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6.6</v>
      </c>
      <c r="F17" s="20">
        <f t="shared" si="1"/>
        <v>0</v>
      </c>
      <c r="G17" s="2">
        <v>51</v>
      </c>
      <c r="H17" s="4" t="s">
        <v>37</v>
      </c>
      <c r="I17" s="2" t="s">
        <v>9</v>
      </c>
      <c r="J17" s="2"/>
      <c r="K17" s="5">
        <v>8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4.9000000000000004</v>
      </c>
      <c r="F18" s="20">
        <f t="shared" si="1"/>
        <v>0</v>
      </c>
      <c r="G18" s="2">
        <v>52</v>
      </c>
      <c r="H18" s="4" t="s">
        <v>39</v>
      </c>
      <c r="I18" s="2" t="s">
        <v>9</v>
      </c>
      <c r="J18" s="2"/>
      <c r="K18" s="5">
        <v>6.4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5.4</v>
      </c>
      <c r="F19" s="20">
        <f t="shared" si="1"/>
        <v>0</v>
      </c>
      <c r="G19" s="2">
        <v>53</v>
      </c>
      <c r="H19" s="4" t="s">
        <v>41</v>
      </c>
      <c r="I19" s="2" t="s">
        <v>9</v>
      </c>
      <c r="J19" s="2"/>
      <c r="K19" s="5">
        <v>8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2.2000000000000002</v>
      </c>
      <c r="F20" s="20">
        <f t="shared" si="1"/>
        <v>0</v>
      </c>
      <c r="G20" s="2">
        <v>54</v>
      </c>
      <c r="H20" s="4" t="s">
        <v>43</v>
      </c>
      <c r="I20" s="2" t="s">
        <v>9</v>
      </c>
      <c r="J20" s="2"/>
      <c r="K20" s="5">
        <v>6.75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</v>
      </c>
      <c r="F21" s="20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34.75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5.8</v>
      </c>
      <c r="F22" s="20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18.649999999999999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6.55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4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6.2</v>
      </c>
      <c r="F24" s="20">
        <f t="shared" si="1"/>
        <v>0</v>
      </c>
      <c r="G24" s="2">
        <v>58</v>
      </c>
      <c r="H24" s="4" t="s">
        <v>51</v>
      </c>
      <c r="I24" s="2" t="s">
        <v>9</v>
      </c>
      <c r="J24" s="4"/>
      <c r="K24" s="2">
        <v>2.0499999999999998</v>
      </c>
      <c r="L24" s="5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6.9</v>
      </c>
      <c r="F25" s="20">
        <f t="shared" si="1"/>
        <v>0</v>
      </c>
      <c r="G25" s="2">
        <v>59</v>
      </c>
      <c r="H25" s="4" t="s">
        <v>53</v>
      </c>
      <c r="I25" s="2" t="s">
        <v>9</v>
      </c>
      <c r="J25" s="4"/>
      <c r="K25" s="2">
        <v>8.85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5.5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5.9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4"/>
      <c r="K27" s="2">
        <v>3.65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5.05</v>
      </c>
      <c r="F28" s="20">
        <f t="shared" si="1"/>
        <v>0</v>
      </c>
      <c r="G28" s="2">
        <v>62</v>
      </c>
      <c r="H28" s="4" t="s">
        <v>59</v>
      </c>
      <c r="I28" s="2" t="s">
        <v>9</v>
      </c>
      <c r="J28" s="4"/>
      <c r="K28" s="2">
        <v>7.8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5.8</v>
      </c>
      <c r="F29" s="20">
        <f t="shared" si="1"/>
        <v>0</v>
      </c>
      <c r="G29" s="2">
        <v>63</v>
      </c>
      <c r="H29" s="4" t="s">
        <v>61</v>
      </c>
      <c r="I29" s="2" t="s">
        <v>9</v>
      </c>
      <c r="J29" s="4"/>
      <c r="K29" s="2">
        <v>12.35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4.5999999999999996</v>
      </c>
      <c r="F30" s="5">
        <f t="shared" si="1"/>
        <v>0</v>
      </c>
      <c r="G30" s="2">
        <v>64</v>
      </c>
      <c r="H30" s="4" t="s">
        <v>63</v>
      </c>
      <c r="I30" s="2" t="s">
        <v>9</v>
      </c>
      <c r="J30" s="4"/>
      <c r="K30" s="2">
        <v>6.75</v>
      </c>
      <c r="L30" s="5">
        <f t="shared" si="0"/>
        <v>0</v>
      </c>
    </row>
    <row r="31" spans="1:12" ht="13.15" customHeight="1">
      <c r="A31" s="2">
        <v>27</v>
      </c>
      <c r="B31" s="4" t="s">
        <v>64</v>
      </c>
      <c r="C31" s="2" t="s">
        <v>9</v>
      </c>
      <c r="D31" s="2"/>
      <c r="E31" s="5">
        <v>6.05</v>
      </c>
      <c r="F31" s="5">
        <f t="shared" si="1"/>
        <v>0</v>
      </c>
      <c r="G31" s="2">
        <v>65</v>
      </c>
      <c r="H31" s="4" t="s">
        <v>65</v>
      </c>
      <c r="I31" s="2" t="s">
        <v>9</v>
      </c>
      <c r="J31" s="4"/>
      <c r="K31" s="2">
        <v>8.85</v>
      </c>
      <c r="L31" s="5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7.8</v>
      </c>
      <c r="F32" s="20">
        <f t="shared" si="1"/>
        <v>0</v>
      </c>
      <c r="G32" s="2">
        <v>66</v>
      </c>
      <c r="H32" s="9" t="s">
        <v>67</v>
      </c>
      <c r="I32" s="2" t="s">
        <v>9</v>
      </c>
      <c r="J32" s="9"/>
      <c r="K32" s="8">
        <v>8.35</v>
      </c>
      <c r="L32" s="5">
        <f t="shared" si="0"/>
        <v>0</v>
      </c>
    </row>
    <row r="33" spans="1:13" ht="13.15" customHeight="1">
      <c r="A33" s="2">
        <v>29</v>
      </c>
      <c r="B33" s="4" t="s">
        <v>68</v>
      </c>
      <c r="C33" s="2" t="s">
        <v>9</v>
      </c>
      <c r="D33" s="2"/>
      <c r="E33" s="5">
        <v>5.6</v>
      </c>
      <c r="F33" s="5">
        <f t="shared" si="1"/>
        <v>0</v>
      </c>
      <c r="G33" s="2">
        <v>67</v>
      </c>
      <c r="H33" s="9" t="s">
        <v>69</v>
      </c>
      <c r="I33" s="2" t="s">
        <v>9</v>
      </c>
      <c r="J33" s="9"/>
      <c r="K33" s="8">
        <v>5.5</v>
      </c>
      <c r="L33" s="5">
        <f t="shared" si="0"/>
        <v>0</v>
      </c>
    </row>
    <row r="34" spans="1:13" ht="13.15" customHeight="1">
      <c r="A34" s="2">
        <v>30</v>
      </c>
      <c r="B34" s="4" t="s">
        <v>70</v>
      </c>
      <c r="C34" s="2" t="s">
        <v>9</v>
      </c>
      <c r="D34" s="2"/>
      <c r="E34" s="5">
        <v>6.05</v>
      </c>
      <c r="F34" s="5">
        <f t="shared" si="1"/>
        <v>0</v>
      </c>
      <c r="G34" s="2">
        <v>68</v>
      </c>
      <c r="H34" s="9" t="s">
        <v>71</v>
      </c>
      <c r="I34" s="2" t="s">
        <v>9</v>
      </c>
      <c r="J34" s="9"/>
      <c r="K34" s="8">
        <v>9.1</v>
      </c>
      <c r="L34" s="5">
        <f t="shared" si="0"/>
        <v>0</v>
      </c>
      <c r="M34" s="10"/>
    </row>
    <row r="35" spans="1:13" ht="13.15" customHeight="1">
      <c r="A35" s="2">
        <v>31</v>
      </c>
      <c r="B35" s="4" t="s">
        <v>72</v>
      </c>
      <c r="C35" s="2" t="s">
        <v>9</v>
      </c>
      <c r="D35" s="8"/>
      <c r="E35" s="5">
        <v>5.6</v>
      </c>
      <c r="F35" s="20">
        <f t="shared" si="1"/>
        <v>0</v>
      </c>
      <c r="G35" s="2">
        <v>69</v>
      </c>
      <c r="H35" s="9" t="s">
        <v>73</v>
      </c>
      <c r="I35" s="2" t="s">
        <v>9</v>
      </c>
      <c r="J35" s="9"/>
      <c r="K35" s="8">
        <v>7.4</v>
      </c>
      <c r="L35" s="5">
        <f t="shared" si="0"/>
        <v>0</v>
      </c>
    </row>
    <row r="36" spans="1:13" ht="13.15" customHeight="1">
      <c r="A36" s="2">
        <v>32</v>
      </c>
      <c r="B36" s="4" t="s">
        <v>74</v>
      </c>
      <c r="C36" s="2" t="s">
        <v>9</v>
      </c>
      <c r="D36" s="2"/>
      <c r="E36" s="2">
        <v>2.25</v>
      </c>
      <c r="F36" s="20">
        <f t="shared" si="1"/>
        <v>0</v>
      </c>
      <c r="G36" s="2">
        <v>70</v>
      </c>
      <c r="H36" s="9" t="s">
        <v>75</v>
      </c>
      <c r="I36" s="2" t="s">
        <v>9</v>
      </c>
      <c r="J36" s="9"/>
      <c r="K36" s="8">
        <v>10.5</v>
      </c>
      <c r="L36" s="5">
        <f t="shared" si="0"/>
        <v>0</v>
      </c>
    </row>
    <row r="37" spans="1:13" ht="13.15" customHeight="1">
      <c r="A37" s="2">
        <v>33</v>
      </c>
      <c r="B37" s="4" t="s">
        <v>76</v>
      </c>
      <c r="C37" s="2" t="s">
        <v>9</v>
      </c>
      <c r="D37" s="2"/>
      <c r="E37" s="2">
        <v>3.5</v>
      </c>
      <c r="F37" s="20">
        <f t="shared" si="1"/>
        <v>0</v>
      </c>
      <c r="G37" s="2">
        <v>71</v>
      </c>
      <c r="H37" s="9" t="s">
        <v>77</v>
      </c>
      <c r="I37" s="2" t="s">
        <v>9</v>
      </c>
      <c r="J37" s="9"/>
      <c r="K37" s="8">
        <v>6.8</v>
      </c>
      <c r="L37" s="5">
        <f t="shared" si="0"/>
        <v>0</v>
      </c>
      <c r="M37" s="11"/>
    </row>
    <row r="38" spans="1:13" ht="13.15" customHeight="1">
      <c r="A38" s="2">
        <v>34</v>
      </c>
      <c r="B38" s="4" t="s">
        <v>78</v>
      </c>
      <c r="C38" s="2" t="s">
        <v>9</v>
      </c>
      <c r="D38" s="2"/>
      <c r="E38" s="2">
        <v>6.55</v>
      </c>
      <c r="F38" s="20">
        <f t="shared" si="1"/>
        <v>0</v>
      </c>
      <c r="G38" s="2">
        <v>72</v>
      </c>
      <c r="H38" s="9" t="s">
        <v>79</v>
      </c>
      <c r="I38" s="2" t="s">
        <v>9</v>
      </c>
      <c r="J38" s="9"/>
      <c r="K38" s="8">
        <v>7.5</v>
      </c>
      <c r="L38" s="5">
        <f t="shared" si="0"/>
        <v>0</v>
      </c>
    </row>
    <row r="39" spans="1:13" ht="13.15" customHeight="1">
      <c r="A39" s="2">
        <v>35</v>
      </c>
      <c r="B39" s="4" t="s">
        <v>80</v>
      </c>
      <c r="C39" s="2" t="s">
        <v>9</v>
      </c>
      <c r="D39" s="2"/>
      <c r="E39" s="2">
        <v>3.8</v>
      </c>
      <c r="F39" s="20">
        <f t="shared" si="1"/>
        <v>0</v>
      </c>
      <c r="G39" s="2">
        <v>73</v>
      </c>
      <c r="H39" s="4" t="s">
        <v>81</v>
      </c>
      <c r="I39" s="2" t="s">
        <v>9</v>
      </c>
      <c r="J39" s="4"/>
      <c r="K39" s="2">
        <v>8</v>
      </c>
      <c r="L39" s="5">
        <f t="shared" si="0"/>
        <v>0</v>
      </c>
    </row>
    <row r="40" spans="1:13" ht="13.15" customHeight="1">
      <c r="I40" s="33" t="s">
        <v>82</v>
      </c>
      <c r="J40" s="34"/>
      <c r="K40" s="34"/>
      <c r="L40" s="19">
        <f>F5+F6+F7+F9+F8+F10+F11+F12+F13+F14+F15+F16+F17+F18+F19+F20+F21+F22+F23+F24+F25+F27+F26+F28+F29+F30+F31+F32+F33+F34+F35+F36+F37+F38+F39+L2+L3+L4+L6+L5+L7+L8+L9+L10+L11+L12+L13+L14+L15+L16+L17+L18+L19+L20+L21+L22+L23+L24+L25+L26+L27+L28+L29+L30+L31+L32+L33+L34+L35+L36+L37+L38+L39</f>
        <v>0</v>
      </c>
    </row>
    <row r="42" spans="1:13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  <pageSetup paperSize="9" orientation="portrait" horizontalDpi="180" verticalDpi="18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M42"/>
  <sheetViews>
    <sheetView workbookViewId="0">
      <selection activeCell="N7" sqref="N7"/>
    </sheetView>
  </sheetViews>
  <sheetFormatPr defaultRowHeight="13.15" customHeight="1"/>
  <cols>
    <col min="1" max="1" width="4.85546875" style="17" customWidth="1"/>
    <col min="2" max="2" width="30.85546875" customWidth="1"/>
    <col min="3" max="3" width="7.28515625" customWidth="1"/>
    <col min="4" max="4" width="7.42578125" customWidth="1"/>
    <col min="6" max="6" width="8.85546875" style="17"/>
    <col min="7" max="7" width="4.85546875" style="17" customWidth="1"/>
    <col min="8" max="8" width="23.5703125" customWidth="1"/>
    <col min="9" max="9" width="6.5703125" customWidth="1"/>
    <col min="10" max="10" width="6.7109375" customWidth="1"/>
    <col min="11" max="11" width="8.28515625" customWidth="1"/>
    <col min="12" max="12" width="8.28515625" style="17" customWidth="1"/>
  </cols>
  <sheetData>
    <row r="1" spans="1:12" ht="13.15" customHeight="1">
      <c r="A1" s="30"/>
      <c r="B1" s="30"/>
      <c r="C1" s="30"/>
      <c r="D1" s="31" t="s">
        <v>0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 t="s">
        <v>7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</v>
      </c>
      <c r="C5" s="2" t="s">
        <v>9</v>
      </c>
      <c r="D5" s="2"/>
      <c r="E5" s="5">
        <v>6.65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1.95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4.8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7.8</v>
      </c>
      <c r="L6" s="5">
        <f t="shared" si="0"/>
        <v>0</v>
      </c>
    </row>
    <row r="7" spans="1:12" ht="13.15" customHeight="1">
      <c r="A7" s="2">
        <v>3</v>
      </c>
      <c r="B7" s="4" t="s">
        <v>16</v>
      </c>
      <c r="C7" s="2" t="s">
        <v>9</v>
      </c>
      <c r="D7" s="2"/>
      <c r="E7" s="5">
        <v>5.8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1.85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7.15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8"/>
      <c r="E9" s="5">
        <v>5</v>
      </c>
      <c r="F9" s="20">
        <f t="shared" si="1"/>
        <v>0</v>
      </c>
      <c r="G9" s="2">
        <v>43</v>
      </c>
      <c r="H9" s="4" t="s">
        <v>21</v>
      </c>
      <c r="I9" s="2" t="s">
        <v>9</v>
      </c>
      <c r="J9" s="2"/>
      <c r="K9" s="5">
        <v>2.35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5.8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24</v>
      </c>
      <c r="C11" s="2" t="s">
        <v>9</v>
      </c>
      <c r="D11" s="2"/>
      <c r="E11" s="5">
        <v>5.3</v>
      </c>
      <c r="F11" s="20">
        <f t="shared" si="1"/>
        <v>0</v>
      </c>
      <c r="G11" s="2">
        <v>45</v>
      </c>
      <c r="H11" s="4" t="s">
        <v>25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6</v>
      </c>
      <c r="F12" s="20">
        <f t="shared" si="1"/>
        <v>0</v>
      </c>
      <c r="G12" s="2">
        <v>46</v>
      </c>
      <c r="H12" s="4" t="s">
        <v>27</v>
      </c>
      <c r="I12" s="2" t="s">
        <v>9</v>
      </c>
      <c r="J12" s="2"/>
      <c r="K12" s="5">
        <v>2.4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6.1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5.95</v>
      </c>
      <c r="F14" s="20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32</v>
      </c>
      <c r="C15" s="2" t="s">
        <v>9</v>
      </c>
      <c r="D15" s="2"/>
      <c r="E15" s="5">
        <v>6.1</v>
      </c>
      <c r="F15" s="20">
        <f t="shared" si="1"/>
        <v>0</v>
      </c>
      <c r="G15" s="2">
        <v>49</v>
      </c>
      <c r="H15" s="4" t="s">
        <v>33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34</v>
      </c>
      <c r="C16" s="2" t="s">
        <v>9</v>
      </c>
      <c r="D16" s="2"/>
      <c r="E16" s="5">
        <v>6.1</v>
      </c>
      <c r="F16" s="20">
        <f t="shared" si="1"/>
        <v>0</v>
      </c>
      <c r="G16" s="2">
        <v>50</v>
      </c>
      <c r="H16" s="4" t="s">
        <v>35</v>
      </c>
      <c r="I16" s="2" t="s">
        <v>9</v>
      </c>
      <c r="J16" s="2"/>
      <c r="K16" s="5">
        <v>6.55</v>
      </c>
      <c r="L16" s="5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6.6</v>
      </c>
      <c r="F17" s="20">
        <f t="shared" si="1"/>
        <v>0</v>
      </c>
      <c r="G17" s="2">
        <v>51</v>
      </c>
      <c r="H17" s="4" t="s">
        <v>37</v>
      </c>
      <c r="I17" s="2" t="s">
        <v>9</v>
      </c>
      <c r="J17" s="2"/>
      <c r="K17" s="5">
        <v>8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4.9000000000000004</v>
      </c>
      <c r="F18" s="20">
        <f t="shared" si="1"/>
        <v>0</v>
      </c>
      <c r="G18" s="2">
        <v>52</v>
      </c>
      <c r="H18" s="4" t="s">
        <v>39</v>
      </c>
      <c r="I18" s="2" t="s">
        <v>9</v>
      </c>
      <c r="J18" s="2"/>
      <c r="K18" s="5">
        <v>6.4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5.4</v>
      </c>
      <c r="F19" s="20">
        <f t="shared" si="1"/>
        <v>0</v>
      </c>
      <c r="G19" s="2">
        <v>53</v>
      </c>
      <c r="H19" s="4" t="s">
        <v>41</v>
      </c>
      <c r="I19" s="2" t="s">
        <v>9</v>
      </c>
      <c r="J19" s="2"/>
      <c r="K19" s="5">
        <v>8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2.2000000000000002</v>
      </c>
      <c r="F20" s="20">
        <f t="shared" si="1"/>
        <v>0</v>
      </c>
      <c r="G20" s="2">
        <v>54</v>
      </c>
      <c r="H20" s="4" t="s">
        <v>43</v>
      </c>
      <c r="I20" s="2" t="s">
        <v>9</v>
      </c>
      <c r="J20" s="2"/>
      <c r="K20" s="5">
        <v>6.75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</v>
      </c>
      <c r="F21" s="20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34.75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5.8</v>
      </c>
      <c r="F22" s="20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18.649999999999999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6.55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4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6.2</v>
      </c>
      <c r="F24" s="20">
        <f t="shared" si="1"/>
        <v>0</v>
      </c>
      <c r="G24" s="2">
        <v>58</v>
      </c>
      <c r="H24" s="4" t="s">
        <v>51</v>
      </c>
      <c r="I24" s="2" t="s">
        <v>9</v>
      </c>
      <c r="J24" s="4"/>
      <c r="K24" s="2">
        <v>2.0499999999999998</v>
      </c>
      <c r="L24" s="5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6.9</v>
      </c>
      <c r="F25" s="20">
        <f t="shared" si="1"/>
        <v>0</v>
      </c>
      <c r="G25" s="2">
        <v>59</v>
      </c>
      <c r="H25" s="4" t="s">
        <v>53</v>
      </c>
      <c r="I25" s="2" t="s">
        <v>9</v>
      </c>
      <c r="J25" s="4"/>
      <c r="K25" s="2">
        <v>8.85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5.5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5.9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4"/>
      <c r="K27" s="2">
        <v>3.65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5.05</v>
      </c>
      <c r="F28" s="20">
        <f t="shared" si="1"/>
        <v>0</v>
      </c>
      <c r="G28" s="2">
        <v>62</v>
      </c>
      <c r="H28" s="4" t="s">
        <v>59</v>
      </c>
      <c r="I28" s="2" t="s">
        <v>9</v>
      </c>
      <c r="J28" s="4"/>
      <c r="K28" s="2">
        <v>7.8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5.8</v>
      </c>
      <c r="F29" s="20">
        <f t="shared" si="1"/>
        <v>0</v>
      </c>
      <c r="G29" s="2">
        <v>63</v>
      </c>
      <c r="H29" s="4" t="s">
        <v>61</v>
      </c>
      <c r="I29" s="2" t="s">
        <v>9</v>
      </c>
      <c r="J29" s="4"/>
      <c r="K29" s="2">
        <v>12.35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4.5999999999999996</v>
      </c>
      <c r="F30" s="5">
        <f t="shared" si="1"/>
        <v>0</v>
      </c>
      <c r="G30" s="2">
        <v>64</v>
      </c>
      <c r="H30" s="4" t="s">
        <v>63</v>
      </c>
      <c r="I30" s="2" t="s">
        <v>9</v>
      </c>
      <c r="J30" s="4"/>
      <c r="K30" s="2">
        <v>6.75</v>
      </c>
      <c r="L30" s="5">
        <f t="shared" si="0"/>
        <v>0</v>
      </c>
    </row>
    <row r="31" spans="1:12" ht="13.15" customHeight="1">
      <c r="A31" s="2">
        <v>27</v>
      </c>
      <c r="B31" s="4" t="s">
        <v>64</v>
      </c>
      <c r="C31" s="2" t="s">
        <v>9</v>
      </c>
      <c r="D31" s="2"/>
      <c r="E31" s="5">
        <v>6.05</v>
      </c>
      <c r="F31" s="5">
        <f t="shared" si="1"/>
        <v>0</v>
      </c>
      <c r="G31" s="2">
        <v>65</v>
      </c>
      <c r="H31" s="4" t="s">
        <v>65</v>
      </c>
      <c r="I31" s="2" t="s">
        <v>9</v>
      </c>
      <c r="J31" s="4"/>
      <c r="K31" s="2">
        <v>8.85</v>
      </c>
      <c r="L31" s="5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7.8</v>
      </c>
      <c r="F32" s="20">
        <f t="shared" si="1"/>
        <v>0</v>
      </c>
      <c r="G32" s="2">
        <v>66</v>
      </c>
      <c r="H32" s="9" t="s">
        <v>67</v>
      </c>
      <c r="I32" s="2" t="s">
        <v>9</v>
      </c>
      <c r="J32" s="9"/>
      <c r="K32" s="8">
        <v>8.35</v>
      </c>
      <c r="L32" s="5">
        <f t="shared" si="0"/>
        <v>0</v>
      </c>
    </row>
    <row r="33" spans="1:13" ht="13.15" customHeight="1">
      <c r="A33" s="2">
        <v>29</v>
      </c>
      <c r="B33" s="4" t="s">
        <v>68</v>
      </c>
      <c r="C33" s="2" t="s">
        <v>9</v>
      </c>
      <c r="D33" s="2"/>
      <c r="E33" s="5">
        <v>5.6</v>
      </c>
      <c r="F33" s="5">
        <f t="shared" si="1"/>
        <v>0</v>
      </c>
      <c r="G33" s="2">
        <v>67</v>
      </c>
      <c r="H33" s="9" t="s">
        <v>69</v>
      </c>
      <c r="I33" s="2" t="s">
        <v>9</v>
      </c>
      <c r="J33" s="9"/>
      <c r="K33" s="8">
        <v>5.5</v>
      </c>
      <c r="L33" s="5">
        <f t="shared" si="0"/>
        <v>0</v>
      </c>
    </row>
    <row r="34" spans="1:13" ht="13.15" customHeight="1">
      <c r="A34" s="2">
        <v>30</v>
      </c>
      <c r="B34" s="4" t="s">
        <v>70</v>
      </c>
      <c r="C34" s="2" t="s">
        <v>9</v>
      </c>
      <c r="D34" s="2"/>
      <c r="E34" s="5">
        <v>6.05</v>
      </c>
      <c r="F34" s="5">
        <f t="shared" si="1"/>
        <v>0</v>
      </c>
      <c r="G34" s="2">
        <v>68</v>
      </c>
      <c r="H34" s="9" t="s">
        <v>71</v>
      </c>
      <c r="I34" s="2" t="s">
        <v>9</v>
      </c>
      <c r="J34" s="9"/>
      <c r="K34" s="8">
        <v>9.1</v>
      </c>
      <c r="L34" s="5">
        <f t="shared" si="0"/>
        <v>0</v>
      </c>
      <c r="M34" s="10"/>
    </row>
    <row r="35" spans="1:13" ht="13.15" customHeight="1">
      <c r="A35" s="2">
        <v>31</v>
      </c>
      <c r="B35" s="4" t="s">
        <v>72</v>
      </c>
      <c r="C35" s="2" t="s">
        <v>9</v>
      </c>
      <c r="D35" s="8"/>
      <c r="E35" s="5">
        <v>5.6</v>
      </c>
      <c r="F35" s="20">
        <f t="shared" si="1"/>
        <v>0</v>
      </c>
      <c r="G35" s="2">
        <v>69</v>
      </c>
      <c r="H35" s="9" t="s">
        <v>73</v>
      </c>
      <c r="I35" s="2" t="s">
        <v>9</v>
      </c>
      <c r="J35" s="9"/>
      <c r="K35" s="8">
        <v>7.4</v>
      </c>
      <c r="L35" s="5">
        <f t="shared" si="0"/>
        <v>0</v>
      </c>
    </row>
    <row r="36" spans="1:13" ht="13.15" customHeight="1">
      <c r="A36" s="2">
        <v>32</v>
      </c>
      <c r="B36" s="4" t="s">
        <v>74</v>
      </c>
      <c r="C36" s="2" t="s">
        <v>9</v>
      </c>
      <c r="D36" s="2"/>
      <c r="E36" s="2">
        <v>2.25</v>
      </c>
      <c r="F36" s="20">
        <f t="shared" si="1"/>
        <v>0</v>
      </c>
      <c r="G36" s="2">
        <v>70</v>
      </c>
      <c r="H36" s="9" t="s">
        <v>75</v>
      </c>
      <c r="I36" s="2" t="s">
        <v>9</v>
      </c>
      <c r="J36" s="9"/>
      <c r="K36" s="8">
        <v>10.5</v>
      </c>
      <c r="L36" s="5">
        <f t="shared" si="0"/>
        <v>0</v>
      </c>
    </row>
    <row r="37" spans="1:13" ht="13.15" customHeight="1">
      <c r="A37" s="2">
        <v>33</v>
      </c>
      <c r="B37" s="4" t="s">
        <v>76</v>
      </c>
      <c r="C37" s="2" t="s">
        <v>9</v>
      </c>
      <c r="D37" s="2"/>
      <c r="E37" s="2">
        <v>3.5</v>
      </c>
      <c r="F37" s="20">
        <f t="shared" si="1"/>
        <v>0</v>
      </c>
      <c r="G37" s="2">
        <v>71</v>
      </c>
      <c r="H37" s="9" t="s">
        <v>77</v>
      </c>
      <c r="I37" s="2" t="s">
        <v>9</v>
      </c>
      <c r="J37" s="9"/>
      <c r="K37" s="8">
        <v>6.8</v>
      </c>
      <c r="L37" s="5">
        <f t="shared" si="0"/>
        <v>0</v>
      </c>
      <c r="M37" s="11"/>
    </row>
    <row r="38" spans="1:13" ht="13.15" customHeight="1">
      <c r="A38" s="2">
        <v>34</v>
      </c>
      <c r="B38" s="4" t="s">
        <v>78</v>
      </c>
      <c r="C38" s="2" t="s">
        <v>9</v>
      </c>
      <c r="D38" s="2"/>
      <c r="E38" s="2">
        <v>6.55</v>
      </c>
      <c r="F38" s="20">
        <f t="shared" si="1"/>
        <v>0</v>
      </c>
      <c r="G38" s="2">
        <v>72</v>
      </c>
      <c r="H38" s="9" t="s">
        <v>79</v>
      </c>
      <c r="I38" s="2" t="s">
        <v>9</v>
      </c>
      <c r="J38" s="9"/>
      <c r="K38" s="8">
        <v>7.5</v>
      </c>
      <c r="L38" s="5">
        <f t="shared" si="0"/>
        <v>0</v>
      </c>
    </row>
    <row r="39" spans="1:13" ht="13.15" customHeight="1">
      <c r="A39" s="2">
        <v>35</v>
      </c>
      <c r="B39" s="4" t="s">
        <v>80</v>
      </c>
      <c r="C39" s="2" t="s">
        <v>9</v>
      </c>
      <c r="D39" s="2"/>
      <c r="E39" s="2">
        <v>3.8</v>
      </c>
      <c r="F39" s="20">
        <f t="shared" si="1"/>
        <v>0</v>
      </c>
      <c r="G39" s="2">
        <v>73</v>
      </c>
      <c r="H39" s="4" t="s">
        <v>81</v>
      </c>
      <c r="I39" s="2" t="s">
        <v>9</v>
      </c>
      <c r="J39" s="4"/>
      <c r="K39" s="2">
        <v>8</v>
      </c>
      <c r="L39" s="5">
        <f t="shared" si="0"/>
        <v>0</v>
      </c>
    </row>
    <row r="40" spans="1:13" ht="13.15" customHeight="1">
      <c r="I40" s="33" t="s">
        <v>82</v>
      </c>
      <c r="J40" s="34"/>
      <c r="K40" s="34"/>
      <c r="L40" s="19">
        <f>F5+F6+F7+F9+F8+F10+F11+F12+F13+F14+F15+F16+F17+F18+F19+F20+F21+F22+F23+F24+F25+F27+F26+F28+F29+F30+F31+F32+F33+F34+F35+F36+F37+F38+F39+L2+L3+L4+L6+L5+L7+L8+L9+L10+L11+L12+L13+L14+L15+L16+L17+L18+L19+L20+L21+L22+L23+L24+L25+L26+L27+L28+L29+L30+L31+L32+L33+L34+L35+L36+L37+L38+L39</f>
        <v>0</v>
      </c>
    </row>
    <row r="42" spans="1:13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  <pageSetup paperSize="9" orientation="portrait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M42"/>
  <sheetViews>
    <sheetView workbookViewId="0">
      <selection activeCell="N7" sqref="N7"/>
    </sheetView>
  </sheetViews>
  <sheetFormatPr defaultRowHeight="13.15" customHeight="1"/>
  <cols>
    <col min="1" max="1" width="4.85546875" style="17" customWidth="1"/>
    <col min="2" max="2" width="30.85546875" customWidth="1"/>
    <col min="3" max="3" width="7.28515625" customWidth="1"/>
    <col min="4" max="4" width="7.42578125" customWidth="1"/>
    <col min="6" max="6" width="8.85546875" style="17"/>
    <col min="7" max="7" width="4.85546875" style="17" customWidth="1"/>
    <col min="8" max="8" width="23.5703125" customWidth="1"/>
    <col min="9" max="9" width="6.5703125" customWidth="1"/>
    <col min="10" max="10" width="6.7109375" customWidth="1"/>
    <col min="11" max="11" width="8.28515625" customWidth="1"/>
    <col min="12" max="12" width="8.28515625" style="17" customWidth="1"/>
  </cols>
  <sheetData>
    <row r="1" spans="1:12" ht="13.15" customHeight="1">
      <c r="A1" s="30"/>
      <c r="B1" s="30"/>
      <c r="C1" s="30"/>
      <c r="D1" s="31" t="s">
        <v>0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 t="s">
        <v>7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</v>
      </c>
      <c r="C5" s="2" t="s">
        <v>9</v>
      </c>
      <c r="D5" s="2"/>
      <c r="E5" s="5">
        <v>6.65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1.95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4.8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7.8</v>
      </c>
      <c r="L6" s="5">
        <f t="shared" si="0"/>
        <v>0</v>
      </c>
    </row>
    <row r="7" spans="1:12" ht="13.15" customHeight="1">
      <c r="A7" s="2">
        <v>3</v>
      </c>
      <c r="B7" s="4" t="s">
        <v>16</v>
      </c>
      <c r="C7" s="2" t="s">
        <v>9</v>
      </c>
      <c r="D7" s="2"/>
      <c r="E7" s="5">
        <v>5.8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1.85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7.15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8"/>
      <c r="E9" s="5">
        <v>5</v>
      </c>
      <c r="F9" s="20">
        <f t="shared" si="1"/>
        <v>0</v>
      </c>
      <c r="G9" s="2">
        <v>43</v>
      </c>
      <c r="H9" s="4" t="s">
        <v>21</v>
      </c>
      <c r="I9" s="2" t="s">
        <v>9</v>
      </c>
      <c r="J9" s="2"/>
      <c r="K9" s="5">
        <v>2.35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5.8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24</v>
      </c>
      <c r="C11" s="2" t="s">
        <v>9</v>
      </c>
      <c r="D11" s="2"/>
      <c r="E11" s="5">
        <v>5.3</v>
      </c>
      <c r="F11" s="20">
        <f t="shared" si="1"/>
        <v>0</v>
      </c>
      <c r="G11" s="2">
        <v>45</v>
      </c>
      <c r="H11" s="4" t="s">
        <v>25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6</v>
      </c>
      <c r="F12" s="20">
        <f t="shared" si="1"/>
        <v>0</v>
      </c>
      <c r="G12" s="2">
        <v>46</v>
      </c>
      <c r="H12" s="4" t="s">
        <v>27</v>
      </c>
      <c r="I12" s="2" t="s">
        <v>9</v>
      </c>
      <c r="J12" s="2"/>
      <c r="K12" s="5">
        <v>2.4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6.1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5.95</v>
      </c>
      <c r="F14" s="20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32</v>
      </c>
      <c r="C15" s="2" t="s">
        <v>9</v>
      </c>
      <c r="D15" s="2"/>
      <c r="E15" s="5">
        <v>6.1</v>
      </c>
      <c r="F15" s="20">
        <f t="shared" si="1"/>
        <v>0</v>
      </c>
      <c r="G15" s="2">
        <v>49</v>
      </c>
      <c r="H15" s="4" t="s">
        <v>33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34</v>
      </c>
      <c r="C16" s="2" t="s">
        <v>9</v>
      </c>
      <c r="D16" s="2"/>
      <c r="E16" s="5">
        <v>6.1</v>
      </c>
      <c r="F16" s="20">
        <f t="shared" si="1"/>
        <v>0</v>
      </c>
      <c r="G16" s="2">
        <v>50</v>
      </c>
      <c r="H16" s="4" t="s">
        <v>35</v>
      </c>
      <c r="I16" s="2" t="s">
        <v>9</v>
      </c>
      <c r="J16" s="2"/>
      <c r="K16" s="5">
        <v>6.55</v>
      </c>
      <c r="L16" s="5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6.6</v>
      </c>
      <c r="F17" s="20">
        <f t="shared" si="1"/>
        <v>0</v>
      </c>
      <c r="G17" s="2">
        <v>51</v>
      </c>
      <c r="H17" s="4" t="s">
        <v>37</v>
      </c>
      <c r="I17" s="2" t="s">
        <v>9</v>
      </c>
      <c r="J17" s="2"/>
      <c r="K17" s="5">
        <v>8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4.9000000000000004</v>
      </c>
      <c r="F18" s="20">
        <f t="shared" si="1"/>
        <v>0</v>
      </c>
      <c r="G18" s="2">
        <v>52</v>
      </c>
      <c r="H18" s="4" t="s">
        <v>39</v>
      </c>
      <c r="I18" s="2" t="s">
        <v>9</v>
      </c>
      <c r="J18" s="2"/>
      <c r="K18" s="5">
        <v>6.4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5.4</v>
      </c>
      <c r="F19" s="20">
        <f t="shared" si="1"/>
        <v>0</v>
      </c>
      <c r="G19" s="2">
        <v>53</v>
      </c>
      <c r="H19" s="4" t="s">
        <v>41</v>
      </c>
      <c r="I19" s="2" t="s">
        <v>9</v>
      </c>
      <c r="J19" s="2"/>
      <c r="K19" s="5">
        <v>8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2.2000000000000002</v>
      </c>
      <c r="F20" s="20">
        <f t="shared" si="1"/>
        <v>0</v>
      </c>
      <c r="G20" s="2">
        <v>54</v>
      </c>
      <c r="H20" s="4" t="s">
        <v>43</v>
      </c>
      <c r="I20" s="2" t="s">
        <v>9</v>
      </c>
      <c r="J20" s="2"/>
      <c r="K20" s="5">
        <v>6.75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</v>
      </c>
      <c r="F21" s="20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34.75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5.8</v>
      </c>
      <c r="F22" s="20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18.649999999999999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6.55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4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6.2</v>
      </c>
      <c r="F24" s="20">
        <f t="shared" si="1"/>
        <v>0</v>
      </c>
      <c r="G24" s="2">
        <v>58</v>
      </c>
      <c r="H24" s="4" t="s">
        <v>51</v>
      </c>
      <c r="I24" s="2" t="s">
        <v>9</v>
      </c>
      <c r="J24" s="4"/>
      <c r="K24" s="2">
        <v>2.0499999999999998</v>
      </c>
      <c r="L24" s="5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6.9</v>
      </c>
      <c r="F25" s="20">
        <f t="shared" si="1"/>
        <v>0</v>
      </c>
      <c r="G25" s="2">
        <v>59</v>
      </c>
      <c r="H25" s="4" t="s">
        <v>53</v>
      </c>
      <c r="I25" s="2" t="s">
        <v>9</v>
      </c>
      <c r="J25" s="4"/>
      <c r="K25" s="2">
        <v>8.85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5.5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5.9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4"/>
      <c r="K27" s="2">
        <v>3.65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5.05</v>
      </c>
      <c r="F28" s="20">
        <f t="shared" si="1"/>
        <v>0</v>
      </c>
      <c r="G28" s="2">
        <v>62</v>
      </c>
      <c r="H28" s="4" t="s">
        <v>59</v>
      </c>
      <c r="I28" s="2" t="s">
        <v>9</v>
      </c>
      <c r="J28" s="4"/>
      <c r="K28" s="2">
        <v>7.8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5.8</v>
      </c>
      <c r="F29" s="20">
        <f t="shared" si="1"/>
        <v>0</v>
      </c>
      <c r="G29" s="2">
        <v>63</v>
      </c>
      <c r="H29" s="4" t="s">
        <v>61</v>
      </c>
      <c r="I29" s="2" t="s">
        <v>9</v>
      </c>
      <c r="J29" s="4"/>
      <c r="K29" s="2">
        <v>12.35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4.5999999999999996</v>
      </c>
      <c r="F30" s="5">
        <f t="shared" si="1"/>
        <v>0</v>
      </c>
      <c r="G30" s="2">
        <v>64</v>
      </c>
      <c r="H30" s="4" t="s">
        <v>63</v>
      </c>
      <c r="I30" s="2" t="s">
        <v>9</v>
      </c>
      <c r="J30" s="4"/>
      <c r="K30" s="2">
        <v>6.75</v>
      </c>
      <c r="L30" s="5">
        <f t="shared" si="0"/>
        <v>0</v>
      </c>
    </row>
    <row r="31" spans="1:12" ht="13.15" customHeight="1">
      <c r="A31" s="2">
        <v>27</v>
      </c>
      <c r="B31" s="4" t="s">
        <v>64</v>
      </c>
      <c r="C31" s="2" t="s">
        <v>9</v>
      </c>
      <c r="D31" s="2"/>
      <c r="E31" s="5">
        <v>6.05</v>
      </c>
      <c r="F31" s="5">
        <f t="shared" si="1"/>
        <v>0</v>
      </c>
      <c r="G31" s="2">
        <v>65</v>
      </c>
      <c r="H31" s="4" t="s">
        <v>65</v>
      </c>
      <c r="I31" s="2" t="s">
        <v>9</v>
      </c>
      <c r="J31" s="4"/>
      <c r="K31" s="2">
        <v>8.85</v>
      </c>
      <c r="L31" s="5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7.8</v>
      </c>
      <c r="F32" s="20">
        <f t="shared" si="1"/>
        <v>0</v>
      </c>
      <c r="G32" s="2">
        <v>66</v>
      </c>
      <c r="H32" s="9" t="s">
        <v>67</v>
      </c>
      <c r="I32" s="2" t="s">
        <v>9</v>
      </c>
      <c r="J32" s="9"/>
      <c r="K32" s="8">
        <v>8.35</v>
      </c>
      <c r="L32" s="5">
        <f t="shared" si="0"/>
        <v>0</v>
      </c>
    </row>
    <row r="33" spans="1:13" ht="13.15" customHeight="1">
      <c r="A33" s="2">
        <v>29</v>
      </c>
      <c r="B33" s="4" t="s">
        <v>68</v>
      </c>
      <c r="C33" s="2" t="s">
        <v>9</v>
      </c>
      <c r="D33" s="2"/>
      <c r="E33" s="5">
        <v>5.6</v>
      </c>
      <c r="F33" s="5">
        <f t="shared" si="1"/>
        <v>0</v>
      </c>
      <c r="G33" s="2">
        <v>67</v>
      </c>
      <c r="H33" s="9" t="s">
        <v>69</v>
      </c>
      <c r="I33" s="2" t="s">
        <v>9</v>
      </c>
      <c r="J33" s="9"/>
      <c r="K33" s="8">
        <v>5.5</v>
      </c>
      <c r="L33" s="5">
        <f t="shared" si="0"/>
        <v>0</v>
      </c>
    </row>
    <row r="34" spans="1:13" ht="13.15" customHeight="1">
      <c r="A34" s="2">
        <v>30</v>
      </c>
      <c r="B34" s="4" t="s">
        <v>70</v>
      </c>
      <c r="C34" s="2" t="s">
        <v>9</v>
      </c>
      <c r="D34" s="2"/>
      <c r="E34" s="5">
        <v>6.05</v>
      </c>
      <c r="F34" s="5">
        <f t="shared" si="1"/>
        <v>0</v>
      </c>
      <c r="G34" s="2">
        <v>68</v>
      </c>
      <c r="H34" s="9" t="s">
        <v>71</v>
      </c>
      <c r="I34" s="2" t="s">
        <v>9</v>
      </c>
      <c r="J34" s="9"/>
      <c r="K34" s="8">
        <v>9.1</v>
      </c>
      <c r="L34" s="5">
        <f t="shared" si="0"/>
        <v>0</v>
      </c>
      <c r="M34" s="10"/>
    </row>
    <row r="35" spans="1:13" ht="13.15" customHeight="1">
      <c r="A35" s="2">
        <v>31</v>
      </c>
      <c r="B35" s="4" t="s">
        <v>72</v>
      </c>
      <c r="C35" s="2" t="s">
        <v>9</v>
      </c>
      <c r="D35" s="8"/>
      <c r="E35" s="5">
        <v>5.6</v>
      </c>
      <c r="F35" s="20">
        <f t="shared" si="1"/>
        <v>0</v>
      </c>
      <c r="G35" s="2">
        <v>69</v>
      </c>
      <c r="H35" s="9" t="s">
        <v>73</v>
      </c>
      <c r="I35" s="2" t="s">
        <v>9</v>
      </c>
      <c r="J35" s="9"/>
      <c r="K35" s="8">
        <v>7.4</v>
      </c>
      <c r="L35" s="5">
        <f t="shared" si="0"/>
        <v>0</v>
      </c>
    </row>
    <row r="36" spans="1:13" ht="13.15" customHeight="1">
      <c r="A36" s="2">
        <v>32</v>
      </c>
      <c r="B36" s="4" t="s">
        <v>74</v>
      </c>
      <c r="C36" s="2" t="s">
        <v>9</v>
      </c>
      <c r="D36" s="2"/>
      <c r="E36" s="2">
        <v>2.25</v>
      </c>
      <c r="F36" s="20">
        <f t="shared" si="1"/>
        <v>0</v>
      </c>
      <c r="G36" s="2">
        <v>70</v>
      </c>
      <c r="H36" s="9" t="s">
        <v>75</v>
      </c>
      <c r="I36" s="2" t="s">
        <v>9</v>
      </c>
      <c r="J36" s="9"/>
      <c r="K36" s="8">
        <v>10.5</v>
      </c>
      <c r="L36" s="5">
        <f t="shared" si="0"/>
        <v>0</v>
      </c>
    </row>
    <row r="37" spans="1:13" ht="13.15" customHeight="1">
      <c r="A37" s="2">
        <v>33</v>
      </c>
      <c r="B37" s="4" t="s">
        <v>76</v>
      </c>
      <c r="C37" s="2" t="s">
        <v>9</v>
      </c>
      <c r="D37" s="2"/>
      <c r="E37" s="2">
        <v>3.5</v>
      </c>
      <c r="F37" s="20">
        <f t="shared" si="1"/>
        <v>0</v>
      </c>
      <c r="G37" s="2">
        <v>71</v>
      </c>
      <c r="H37" s="9" t="s">
        <v>77</v>
      </c>
      <c r="I37" s="2" t="s">
        <v>9</v>
      </c>
      <c r="J37" s="9"/>
      <c r="K37" s="8">
        <v>6.8</v>
      </c>
      <c r="L37" s="5">
        <f t="shared" si="0"/>
        <v>0</v>
      </c>
      <c r="M37" s="11"/>
    </row>
    <row r="38" spans="1:13" ht="13.15" customHeight="1">
      <c r="A38" s="2">
        <v>34</v>
      </c>
      <c r="B38" s="4" t="s">
        <v>78</v>
      </c>
      <c r="C38" s="2" t="s">
        <v>9</v>
      </c>
      <c r="D38" s="2"/>
      <c r="E38" s="2">
        <v>6.55</v>
      </c>
      <c r="F38" s="20">
        <f t="shared" si="1"/>
        <v>0</v>
      </c>
      <c r="G38" s="2">
        <v>72</v>
      </c>
      <c r="H38" s="9" t="s">
        <v>79</v>
      </c>
      <c r="I38" s="2" t="s">
        <v>9</v>
      </c>
      <c r="J38" s="9"/>
      <c r="K38" s="8">
        <v>7.5</v>
      </c>
      <c r="L38" s="5">
        <f t="shared" si="0"/>
        <v>0</v>
      </c>
    </row>
    <row r="39" spans="1:13" ht="13.15" customHeight="1">
      <c r="A39" s="2">
        <v>35</v>
      </c>
      <c r="B39" s="4" t="s">
        <v>80</v>
      </c>
      <c r="C39" s="2" t="s">
        <v>9</v>
      </c>
      <c r="D39" s="2"/>
      <c r="E39" s="2">
        <v>3.8</v>
      </c>
      <c r="F39" s="20">
        <f t="shared" si="1"/>
        <v>0</v>
      </c>
      <c r="G39" s="2">
        <v>73</v>
      </c>
      <c r="H39" s="4" t="s">
        <v>81</v>
      </c>
      <c r="I39" s="2" t="s">
        <v>9</v>
      </c>
      <c r="J39" s="4"/>
      <c r="K39" s="2">
        <v>8</v>
      </c>
      <c r="L39" s="5">
        <f t="shared" si="0"/>
        <v>0</v>
      </c>
    </row>
    <row r="40" spans="1:13" ht="13.15" customHeight="1">
      <c r="I40" s="33" t="s">
        <v>82</v>
      </c>
      <c r="J40" s="34"/>
      <c r="K40" s="34"/>
      <c r="L40" s="19">
        <f>F5+F6+F7+F9+F8+F10+F11+F12+F13+F14+F15+F16+F17+F18+F19+F20+F21+F22+F23+F24+F25+F27+F26+F28+F29+F30+F31+F32+F33+F34+F35+F36+F37+F38+F39+L2+L3+L4+L6+L5+L7+L8+L9+L10+L11+L12+L13+L14+L15+L16+L17+L18+L19+L20+L21+L22+L23+L24+L25+L26+L27+L28+L29+L30+L31+L32+L33+L34+L35+L36+L37+L38+L39</f>
        <v>0</v>
      </c>
    </row>
    <row r="42" spans="1:13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  <pageSetup paperSize="9" orientation="portrait" horizontalDpi="180" verticalDpi="18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7"/>
  <dimension ref="A1:M42"/>
  <sheetViews>
    <sheetView workbookViewId="0">
      <selection activeCell="N7" sqref="N7"/>
    </sheetView>
  </sheetViews>
  <sheetFormatPr defaultRowHeight="13.15" customHeight="1"/>
  <cols>
    <col min="1" max="1" width="4.85546875" style="17" customWidth="1"/>
    <col min="2" max="2" width="30.85546875" customWidth="1"/>
    <col min="3" max="3" width="7.28515625" customWidth="1"/>
    <col min="4" max="4" width="7.42578125" customWidth="1"/>
    <col min="6" max="6" width="8.85546875" style="17"/>
    <col min="7" max="7" width="4.85546875" style="17" customWidth="1"/>
    <col min="8" max="8" width="23.5703125" customWidth="1"/>
    <col min="9" max="9" width="6.5703125" customWidth="1"/>
    <col min="10" max="10" width="6.7109375" customWidth="1"/>
    <col min="11" max="11" width="8.28515625" customWidth="1"/>
    <col min="12" max="12" width="8.28515625" style="17" customWidth="1"/>
  </cols>
  <sheetData>
    <row r="1" spans="1:12" ht="13.15" customHeight="1">
      <c r="A1" s="30"/>
      <c r="B1" s="30"/>
      <c r="C1" s="30"/>
      <c r="D1" s="31" t="s">
        <v>0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 t="s">
        <v>7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</v>
      </c>
      <c r="C5" s="2" t="s">
        <v>9</v>
      </c>
      <c r="D5" s="2"/>
      <c r="E5" s="5">
        <v>6.65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1.95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4.8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7.8</v>
      </c>
      <c r="L6" s="5">
        <f t="shared" si="0"/>
        <v>0</v>
      </c>
    </row>
    <row r="7" spans="1:12" ht="13.15" customHeight="1">
      <c r="A7" s="2">
        <v>3</v>
      </c>
      <c r="B7" s="4" t="s">
        <v>16</v>
      </c>
      <c r="C7" s="2" t="s">
        <v>9</v>
      </c>
      <c r="D7" s="2"/>
      <c r="E7" s="5">
        <v>5.8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1.85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7.15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8"/>
      <c r="E9" s="5">
        <v>5</v>
      </c>
      <c r="F9" s="20">
        <f t="shared" si="1"/>
        <v>0</v>
      </c>
      <c r="G9" s="2">
        <v>43</v>
      </c>
      <c r="H9" s="4" t="s">
        <v>21</v>
      </c>
      <c r="I9" s="2" t="s">
        <v>9</v>
      </c>
      <c r="J9" s="2"/>
      <c r="K9" s="5">
        <v>2.35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5.8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24</v>
      </c>
      <c r="C11" s="2" t="s">
        <v>9</v>
      </c>
      <c r="D11" s="2"/>
      <c r="E11" s="5">
        <v>5.3</v>
      </c>
      <c r="F11" s="20">
        <f t="shared" si="1"/>
        <v>0</v>
      </c>
      <c r="G11" s="2">
        <v>45</v>
      </c>
      <c r="H11" s="4" t="s">
        <v>25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6</v>
      </c>
      <c r="F12" s="20">
        <f t="shared" si="1"/>
        <v>0</v>
      </c>
      <c r="G12" s="2">
        <v>46</v>
      </c>
      <c r="H12" s="4" t="s">
        <v>27</v>
      </c>
      <c r="I12" s="2" t="s">
        <v>9</v>
      </c>
      <c r="J12" s="2"/>
      <c r="K12" s="5">
        <v>2.4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6.1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5.95</v>
      </c>
      <c r="F14" s="20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32</v>
      </c>
      <c r="C15" s="2" t="s">
        <v>9</v>
      </c>
      <c r="D15" s="2"/>
      <c r="E15" s="5">
        <v>6.1</v>
      </c>
      <c r="F15" s="20">
        <f t="shared" si="1"/>
        <v>0</v>
      </c>
      <c r="G15" s="2">
        <v>49</v>
      </c>
      <c r="H15" s="4" t="s">
        <v>33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34</v>
      </c>
      <c r="C16" s="2" t="s">
        <v>9</v>
      </c>
      <c r="D16" s="2"/>
      <c r="E16" s="5">
        <v>6.1</v>
      </c>
      <c r="F16" s="20">
        <f t="shared" si="1"/>
        <v>0</v>
      </c>
      <c r="G16" s="2">
        <v>50</v>
      </c>
      <c r="H16" s="4" t="s">
        <v>35</v>
      </c>
      <c r="I16" s="2" t="s">
        <v>9</v>
      </c>
      <c r="J16" s="2"/>
      <c r="K16" s="5">
        <v>6.55</v>
      </c>
      <c r="L16" s="5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6.6</v>
      </c>
      <c r="F17" s="20">
        <f t="shared" si="1"/>
        <v>0</v>
      </c>
      <c r="G17" s="2">
        <v>51</v>
      </c>
      <c r="H17" s="4" t="s">
        <v>37</v>
      </c>
      <c r="I17" s="2" t="s">
        <v>9</v>
      </c>
      <c r="J17" s="2"/>
      <c r="K17" s="5">
        <v>8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4.9000000000000004</v>
      </c>
      <c r="F18" s="20">
        <f t="shared" si="1"/>
        <v>0</v>
      </c>
      <c r="G18" s="2">
        <v>52</v>
      </c>
      <c r="H18" s="4" t="s">
        <v>39</v>
      </c>
      <c r="I18" s="2" t="s">
        <v>9</v>
      </c>
      <c r="J18" s="2"/>
      <c r="K18" s="5">
        <v>6.4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5.4</v>
      </c>
      <c r="F19" s="20">
        <f t="shared" si="1"/>
        <v>0</v>
      </c>
      <c r="G19" s="2">
        <v>53</v>
      </c>
      <c r="H19" s="4" t="s">
        <v>41</v>
      </c>
      <c r="I19" s="2" t="s">
        <v>9</v>
      </c>
      <c r="J19" s="2"/>
      <c r="K19" s="5">
        <v>8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2.2000000000000002</v>
      </c>
      <c r="F20" s="20">
        <f t="shared" si="1"/>
        <v>0</v>
      </c>
      <c r="G20" s="2">
        <v>54</v>
      </c>
      <c r="H20" s="4" t="s">
        <v>43</v>
      </c>
      <c r="I20" s="2" t="s">
        <v>9</v>
      </c>
      <c r="J20" s="2"/>
      <c r="K20" s="5">
        <v>6.75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</v>
      </c>
      <c r="F21" s="20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34.75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5.8</v>
      </c>
      <c r="F22" s="20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18.649999999999999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6.55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4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6.2</v>
      </c>
      <c r="F24" s="20">
        <f t="shared" si="1"/>
        <v>0</v>
      </c>
      <c r="G24" s="2">
        <v>58</v>
      </c>
      <c r="H24" s="4" t="s">
        <v>51</v>
      </c>
      <c r="I24" s="2" t="s">
        <v>9</v>
      </c>
      <c r="J24" s="4"/>
      <c r="K24" s="2">
        <v>2.0499999999999998</v>
      </c>
      <c r="L24" s="5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6.9</v>
      </c>
      <c r="F25" s="20">
        <f t="shared" si="1"/>
        <v>0</v>
      </c>
      <c r="G25" s="2">
        <v>59</v>
      </c>
      <c r="H25" s="4" t="s">
        <v>53</v>
      </c>
      <c r="I25" s="2" t="s">
        <v>9</v>
      </c>
      <c r="J25" s="4"/>
      <c r="K25" s="2">
        <v>8.85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5.5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5.9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4"/>
      <c r="K27" s="2">
        <v>3.65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5.05</v>
      </c>
      <c r="F28" s="20">
        <f t="shared" si="1"/>
        <v>0</v>
      </c>
      <c r="G28" s="2">
        <v>62</v>
      </c>
      <c r="H28" s="4" t="s">
        <v>59</v>
      </c>
      <c r="I28" s="2" t="s">
        <v>9</v>
      </c>
      <c r="J28" s="4"/>
      <c r="K28" s="2">
        <v>7.8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5.8</v>
      </c>
      <c r="F29" s="20">
        <f t="shared" si="1"/>
        <v>0</v>
      </c>
      <c r="G29" s="2">
        <v>63</v>
      </c>
      <c r="H29" s="4" t="s">
        <v>61</v>
      </c>
      <c r="I29" s="2" t="s">
        <v>9</v>
      </c>
      <c r="J29" s="4"/>
      <c r="K29" s="2">
        <v>12.35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4.5999999999999996</v>
      </c>
      <c r="F30" s="5">
        <f t="shared" si="1"/>
        <v>0</v>
      </c>
      <c r="G30" s="2">
        <v>64</v>
      </c>
      <c r="H30" s="4" t="s">
        <v>63</v>
      </c>
      <c r="I30" s="2" t="s">
        <v>9</v>
      </c>
      <c r="J30" s="4"/>
      <c r="K30" s="2">
        <v>6.75</v>
      </c>
      <c r="L30" s="5">
        <f t="shared" si="0"/>
        <v>0</v>
      </c>
    </row>
    <row r="31" spans="1:12" ht="13.15" customHeight="1">
      <c r="A31" s="2">
        <v>27</v>
      </c>
      <c r="B31" s="4" t="s">
        <v>64</v>
      </c>
      <c r="C31" s="2" t="s">
        <v>9</v>
      </c>
      <c r="D31" s="2"/>
      <c r="E31" s="5">
        <v>6.05</v>
      </c>
      <c r="F31" s="5">
        <f t="shared" si="1"/>
        <v>0</v>
      </c>
      <c r="G31" s="2">
        <v>65</v>
      </c>
      <c r="H31" s="4" t="s">
        <v>65</v>
      </c>
      <c r="I31" s="2" t="s">
        <v>9</v>
      </c>
      <c r="J31" s="4"/>
      <c r="K31" s="2">
        <v>8.85</v>
      </c>
      <c r="L31" s="5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7.8</v>
      </c>
      <c r="F32" s="20">
        <f t="shared" si="1"/>
        <v>0</v>
      </c>
      <c r="G32" s="2">
        <v>66</v>
      </c>
      <c r="H32" s="9" t="s">
        <v>67</v>
      </c>
      <c r="I32" s="2" t="s">
        <v>9</v>
      </c>
      <c r="J32" s="9"/>
      <c r="K32" s="8">
        <v>8.35</v>
      </c>
      <c r="L32" s="5">
        <f t="shared" si="0"/>
        <v>0</v>
      </c>
    </row>
    <row r="33" spans="1:13" ht="13.15" customHeight="1">
      <c r="A33" s="2">
        <v>29</v>
      </c>
      <c r="B33" s="4" t="s">
        <v>68</v>
      </c>
      <c r="C33" s="2" t="s">
        <v>9</v>
      </c>
      <c r="D33" s="2"/>
      <c r="E33" s="5">
        <v>5.6</v>
      </c>
      <c r="F33" s="5">
        <f t="shared" si="1"/>
        <v>0</v>
      </c>
      <c r="G33" s="2">
        <v>67</v>
      </c>
      <c r="H33" s="9" t="s">
        <v>69</v>
      </c>
      <c r="I33" s="2" t="s">
        <v>9</v>
      </c>
      <c r="J33" s="9"/>
      <c r="K33" s="8">
        <v>5.5</v>
      </c>
      <c r="L33" s="5">
        <f t="shared" si="0"/>
        <v>0</v>
      </c>
    </row>
    <row r="34" spans="1:13" ht="13.15" customHeight="1">
      <c r="A34" s="2">
        <v>30</v>
      </c>
      <c r="B34" s="4" t="s">
        <v>70</v>
      </c>
      <c r="C34" s="2" t="s">
        <v>9</v>
      </c>
      <c r="D34" s="2"/>
      <c r="E34" s="5">
        <v>6.05</v>
      </c>
      <c r="F34" s="5">
        <f t="shared" si="1"/>
        <v>0</v>
      </c>
      <c r="G34" s="2">
        <v>68</v>
      </c>
      <c r="H34" s="9" t="s">
        <v>71</v>
      </c>
      <c r="I34" s="2" t="s">
        <v>9</v>
      </c>
      <c r="J34" s="9"/>
      <c r="K34" s="8">
        <v>9.1</v>
      </c>
      <c r="L34" s="5">
        <f t="shared" si="0"/>
        <v>0</v>
      </c>
      <c r="M34" s="10"/>
    </row>
    <row r="35" spans="1:13" ht="13.15" customHeight="1">
      <c r="A35" s="2">
        <v>31</v>
      </c>
      <c r="B35" s="4" t="s">
        <v>72</v>
      </c>
      <c r="C35" s="2" t="s">
        <v>9</v>
      </c>
      <c r="D35" s="8"/>
      <c r="E35" s="5">
        <v>5.6</v>
      </c>
      <c r="F35" s="20">
        <f t="shared" si="1"/>
        <v>0</v>
      </c>
      <c r="G35" s="2">
        <v>69</v>
      </c>
      <c r="H35" s="9" t="s">
        <v>73</v>
      </c>
      <c r="I35" s="2" t="s">
        <v>9</v>
      </c>
      <c r="J35" s="9"/>
      <c r="K35" s="8">
        <v>7.4</v>
      </c>
      <c r="L35" s="5">
        <f t="shared" si="0"/>
        <v>0</v>
      </c>
    </row>
    <row r="36" spans="1:13" ht="13.15" customHeight="1">
      <c r="A36" s="2">
        <v>32</v>
      </c>
      <c r="B36" s="4" t="s">
        <v>74</v>
      </c>
      <c r="C36" s="2" t="s">
        <v>9</v>
      </c>
      <c r="D36" s="2"/>
      <c r="E36" s="2">
        <v>2.25</v>
      </c>
      <c r="F36" s="20">
        <f t="shared" si="1"/>
        <v>0</v>
      </c>
      <c r="G36" s="2">
        <v>70</v>
      </c>
      <c r="H36" s="9" t="s">
        <v>75</v>
      </c>
      <c r="I36" s="2" t="s">
        <v>9</v>
      </c>
      <c r="J36" s="9"/>
      <c r="K36" s="8">
        <v>10.5</v>
      </c>
      <c r="L36" s="5">
        <f t="shared" si="0"/>
        <v>0</v>
      </c>
    </row>
    <row r="37" spans="1:13" ht="13.15" customHeight="1">
      <c r="A37" s="2">
        <v>33</v>
      </c>
      <c r="B37" s="4" t="s">
        <v>76</v>
      </c>
      <c r="C37" s="2" t="s">
        <v>9</v>
      </c>
      <c r="D37" s="2"/>
      <c r="E37" s="2">
        <v>3.5</v>
      </c>
      <c r="F37" s="20">
        <f t="shared" si="1"/>
        <v>0</v>
      </c>
      <c r="G37" s="2">
        <v>71</v>
      </c>
      <c r="H37" s="9" t="s">
        <v>77</v>
      </c>
      <c r="I37" s="2" t="s">
        <v>9</v>
      </c>
      <c r="J37" s="9"/>
      <c r="K37" s="8">
        <v>6.8</v>
      </c>
      <c r="L37" s="5">
        <f t="shared" si="0"/>
        <v>0</v>
      </c>
      <c r="M37" s="11"/>
    </row>
    <row r="38" spans="1:13" ht="13.15" customHeight="1">
      <c r="A38" s="2">
        <v>34</v>
      </c>
      <c r="B38" s="4" t="s">
        <v>78</v>
      </c>
      <c r="C38" s="2" t="s">
        <v>9</v>
      </c>
      <c r="D38" s="2"/>
      <c r="E38" s="2">
        <v>6.55</v>
      </c>
      <c r="F38" s="20">
        <f t="shared" si="1"/>
        <v>0</v>
      </c>
      <c r="G38" s="2">
        <v>72</v>
      </c>
      <c r="H38" s="9" t="s">
        <v>79</v>
      </c>
      <c r="I38" s="2" t="s">
        <v>9</v>
      </c>
      <c r="J38" s="9"/>
      <c r="K38" s="8">
        <v>7.5</v>
      </c>
      <c r="L38" s="5">
        <f t="shared" si="0"/>
        <v>0</v>
      </c>
    </row>
    <row r="39" spans="1:13" ht="13.15" customHeight="1">
      <c r="A39" s="2">
        <v>35</v>
      </c>
      <c r="B39" s="4" t="s">
        <v>80</v>
      </c>
      <c r="C39" s="2" t="s">
        <v>9</v>
      </c>
      <c r="D39" s="2"/>
      <c r="E39" s="2">
        <v>3.8</v>
      </c>
      <c r="F39" s="20">
        <f t="shared" si="1"/>
        <v>0</v>
      </c>
      <c r="G39" s="2">
        <v>73</v>
      </c>
      <c r="H39" s="4" t="s">
        <v>81</v>
      </c>
      <c r="I39" s="2" t="s">
        <v>9</v>
      </c>
      <c r="J39" s="4"/>
      <c r="K39" s="2">
        <v>8</v>
      </c>
      <c r="L39" s="5">
        <f t="shared" si="0"/>
        <v>0</v>
      </c>
    </row>
    <row r="40" spans="1:13" ht="13.15" customHeight="1">
      <c r="I40" s="33" t="s">
        <v>82</v>
      </c>
      <c r="J40" s="34"/>
      <c r="K40" s="34"/>
      <c r="L40" s="19">
        <f>F5+F6+F7+F9+F8+F10+F11+F12+F13+F14+F15+F16+F17+F18+F19+F20+F21+F22+F23+F24+F25+F27+F26+F28+F29+F30+F31+F32+F33+F34+F35+F36+F37+F38+F39+L2+L3+L4+L6+L5+L7+L8+L9+L10+L11+L12+L13+L14+L15+L16+L17+L18+L19+L20+L21+L22+L23+L24+L25+L26+L27+L28+L29+L30+L31+L32+L33+L34+L35+L36+L37+L38+L39</f>
        <v>0</v>
      </c>
    </row>
    <row r="42" spans="1:13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  <pageSetup paperSize="9" orientation="portrait" horizontalDpi="180" verticalDpi="180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8"/>
  <dimension ref="A1:M42"/>
  <sheetViews>
    <sheetView workbookViewId="0">
      <selection activeCell="N7" sqref="N7"/>
    </sheetView>
  </sheetViews>
  <sheetFormatPr defaultRowHeight="13.15" customHeight="1"/>
  <cols>
    <col min="1" max="1" width="4.85546875" style="17" customWidth="1"/>
    <col min="2" max="2" width="30.85546875" customWidth="1"/>
    <col min="3" max="3" width="7.28515625" customWidth="1"/>
    <col min="4" max="4" width="7.42578125" customWidth="1"/>
    <col min="6" max="6" width="8.85546875" style="17"/>
    <col min="7" max="7" width="4.85546875" style="17" customWidth="1"/>
    <col min="8" max="8" width="23.5703125" customWidth="1"/>
    <col min="9" max="9" width="6.5703125" customWidth="1"/>
    <col min="10" max="10" width="6.7109375" customWidth="1"/>
    <col min="11" max="11" width="8.28515625" customWidth="1"/>
    <col min="12" max="12" width="8.28515625" style="17" customWidth="1"/>
  </cols>
  <sheetData>
    <row r="1" spans="1:12" ht="13.15" customHeight="1">
      <c r="A1" s="30"/>
      <c r="B1" s="30"/>
      <c r="C1" s="30"/>
      <c r="D1" s="31" t="s">
        <v>0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 t="s">
        <v>7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</v>
      </c>
      <c r="C5" s="2" t="s">
        <v>9</v>
      </c>
      <c r="D5" s="2"/>
      <c r="E5" s="5">
        <v>6.65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1.95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4.8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7.8</v>
      </c>
      <c r="L6" s="5">
        <f t="shared" si="0"/>
        <v>0</v>
      </c>
    </row>
    <row r="7" spans="1:12" ht="13.15" customHeight="1">
      <c r="A7" s="2">
        <v>3</v>
      </c>
      <c r="B7" s="4" t="s">
        <v>16</v>
      </c>
      <c r="C7" s="2" t="s">
        <v>9</v>
      </c>
      <c r="D7" s="2"/>
      <c r="E7" s="5">
        <v>5.8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1.85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7.15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8"/>
      <c r="E9" s="5">
        <v>5</v>
      </c>
      <c r="F9" s="20">
        <f t="shared" si="1"/>
        <v>0</v>
      </c>
      <c r="G9" s="2">
        <v>43</v>
      </c>
      <c r="H9" s="4" t="s">
        <v>21</v>
      </c>
      <c r="I9" s="2" t="s">
        <v>9</v>
      </c>
      <c r="J9" s="2"/>
      <c r="K9" s="5">
        <v>2.35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5.8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24</v>
      </c>
      <c r="C11" s="2" t="s">
        <v>9</v>
      </c>
      <c r="D11" s="2"/>
      <c r="E11" s="5">
        <v>5.3</v>
      </c>
      <c r="F11" s="20">
        <f t="shared" si="1"/>
        <v>0</v>
      </c>
      <c r="G11" s="2">
        <v>45</v>
      </c>
      <c r="H11" s="4" t="s">
        <v>25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6</v>
      </c>
      <c r="F12" s="20">
        <f t="shared" si="1"/>
        <v>0</v>
      </c>
      <c r="G12" s="2">
        <v>46</v>
      </c>
      <c r="H12" s="4" t="s">
        <v>27</v>
      </c>
      <c r="I12" s="2" t="s">
        <v>9</v>
      </c>
      <c r="J12" s="2"/>
      <c r="K12" s="5">
        <v>2.4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6.1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5.95</v>
      </c>
      <c r="F14" s="20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32</v>
      </c>
      <c r="C15" s="2" t="s">
        <v>9</v>
      </c>
      <c r="D15" s="2"/>
      <c r="E15" s="5">
        <v>6.1</v>
      </c>
      <c r="F15" s="20">
        <f t="shared" si="1"/>
        <v>0</v>
      </c>
      <c r="G15" s="2">
        <v>49</v>
      </c>
      <c r="H15" s="4" t="s">
        <v>33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34</v>
      </c>
      <c r="C16" s="2" t="s">
        <v>9</v>
      </c>
      <c r="D16" s="2"/>
      <c r="E16" s="5">
        <v>6.1</v>
      </c>
      <c r="F16" s="20">
        <f t="shared" si="1"/>
        <v>0</v>
      </c>
      <c r="G16" s="2">
        <v>50</v>
      </c>
      <c r="H16" s="4" t="s">
        <v>35</v>
      </c>
      <c r="I16" s="2" t="s">
        <v>9</v>
      </c>
      <c r="J16" s="2"/>
      <c r="K16" s="5">
        <v>6.55</v>
      </c>
      <c r="L16" s="5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6.6</v>
      </c>
      <c r="F17" s="20">
        <f t="shared" si="1"/>
        <v>0</v>
      </c>
      <c r="G17" s="2">
        <v>51</v>
      </c>
      <c r="H17" s="4" t="s">
        <v>37</v>
      </c>
      <c r="I17" s="2" t="s">
        <v>9</v>
      </c>
      <c r="J17" s="2"/>
      <c r="K17" s="5">
        <v>8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4.9000000000000004</v>
      </c>
      <c r="F18" s="20">
        <f t="shared" si="1"/>
        <v>0</v>
      </c>
      <c r="G18" s="2">
        <v>52</v>
      </c>
      <c r="H18" s="4" t="s">
        <v>39</v>
      </c>
      <c r="I18" s="2" t="s">
        <v>9</v>
      </c>
      <c r="J18" s="2"/>
      <c r="K18" s="5">
        <v>6.4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5.4</v>
      </c>
      <c r="F19" s="20">
        <f t="shared" si="1"/>
        <v>0</v>
      </c>
      <c r="G19" s="2">
        <v>53</v>
      </c>
      <c r="H19" s="4" t="s">
        <v>41</v>
      </c>
      <c r="I19" s="2" t="s">
        <v>9</v>
      </c>
      <c r="J19" s="2"/>
      <c r="K19" s="5">
        <v>8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2.2000000000000002</v>
      </c>
      <c r="F20" s="20">
        <f t="shared" si="1"/>
        <v>0</v>
      </c>
      <c r="G20" s="2">
        <v>54</v>
      </c>
      <c r="H20" s="4" t="s">
        <v>43</v>
      </c>
      <c r="I20" s="2" t="s">
        <v>9</v>
      </c>
      <c r="J20" s="2"/>
      <c r="K20" s="5">
        <v>6.75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</v>
      </c>
      <c r="F21" s="20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34.75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5.8</v>
      </c>
      <c r="F22" s="20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18.649999999999999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6.55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4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6.2</v>
      </c>
      <c r="F24" s="20">
        <f t="shared" si="1"/>
        <v>0</v>
      </c>
      <c r="G24" s="2">
        <v>58</v>
      </c>
      <c r="H24" s="4" t="s">
        <v>51</v>
      </c>
      <c r="I24" s="2" t="s">
        <v>9</v>
      </c>
      <c r="J24" s="4"/>
      <c r="K24" s="2">
        <v>2.0499999999999998</v>
      </c>
      <c r="L24" s="5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6.9</v>
      </c>
      <c r="F25" s="20">
        <f t="shared" si="1"/>
        <v>0</v>
      </c>
      <c r="G25" s="2">
        <v>59</v>
      </c>
      <c r="H25" s="4" t="s">
        <v>53</v>
      </c>
      <c r="I25" s="2" t="s">
        <v>9</v>
      </c>
      <c r="J25" s="4"/>
      <c r="K25" s="2">
        <v>8.85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5.5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5.9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4"/>
      <c r="K27" s="2">
        <v>3.65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5.05</v>
      </c>
      <c r="F28" s="20">
        <f t="shared" si="1"/>
        <v>0</v>
      </c>
      <c r="G28" s="2">
        <v>62</v>
      </c>
      <c r="H28" s="4" t="s">
        <v>59</v>
      </c>
      <c r="I28" s="2" t="s">
        <v>9</v>
      </c>
      <c r="J28" s="4"/>
      <c r="K28" s="2">
        <v>7.8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5.8</v>
      </c>
      <c r="F29" s="20">
        <f t="shared" si="1"/>
        <v>0</v>
      </c>
      <c r="G29" s="2">
        <v>63</v>
      </c>
      <c r="H29" s="4" t="s">
        <v>61</v>
      </c>
      <c r="I29" s="2" t="s">
        <v>9</v>
      </c>
      <c r="J29" s="4"/>
      <c r="K29" s="2">
        <v>12.35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4.5999999999999996</v>
      </c>
      <c r="F30" s="5">
        <f t="shared" si="1"/>
        <v>0</v>
      </c>
      <c r="G30" s="2">
        <v>64</v>
      </c>
      <c r="H30" s="4" t="s">
        <v>63</v>
      </c>
      <c r="I30" s="2" t="s">
        <v>9</v>
      </c>
      <c r="J30" s="4"/>
      <c r="K30" s="2">
        <v>6.75</v>
      </c>
      <c r="L30" s="5">
        <f t="shared" si="0"/>
        <v>0</v>
      </c>
    </row>
    <row r="31" spans="1:12" ht="13.15" customHeight="1">
      <c r="A31" s="2">
        <v>27</v>
      </c>
      <c r="B31" s="4" t="s">
        <v>64</v>
      </c>
      <c r="C31" s="2" t="s">
        <v>9</v>
      </c>
      <c r="D31" s="2"/>
      <c r="E31" s="5">
        <v>6.05</v>
      </c>
      <c r="F31" s="5">
        <f t="shared" si="1"/>
        <v>0</v>
      </c>
      <c r="G31" s="2">
        <v>65</v>
      </c>
      <c r="H31" s="4" t="s">
        <v>65</v>
      </c>
      <c r="I31" s="2" t="s">
        <v>9</v>
      </c>
      <c r="J31" s="4"/>
      <c r="K31" s="2">
        <v>8.85</v>
      </c>
      <c r="L31" s="5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7.8</v>
      </c>
      <c r="F32" s="20">
        <f t="shared" si="1"/>
        <v>0</v>
      </c>
      <c r="G32" s="2">
        <v>66</v>
      </c>
      <c r="H32" s="9" t="s">
        <v>67</v>
      </c>
      <c r="I32" s="2" t="s">
        <v>9</v>
      </c>
      <c r="J32" s="9"/>
      <c r="K32" s="8">
        <v>8.35</v>
      </c>
      <c r="L32" s="5">
        <f t="shared" si="0"/>
        <v>0</v>
      </c>
    </row>
    <row r="33" spans="1:13" ht="13.15" customHeight="1">
      <c r="A33" s="2">
        <v>29</v>
      </c>
      <c r="B33" s="4" t="s">
        <v>68</v>
      </c>
      <c r="C33" s="2" t="s">
        <v>9</v>
      </c>
      <c r="D33" s="2"/>
      <c r="E33" s="5">
        <v>5.6</v>
      </c>
      <c r="F33" s="5">
        <f t="shared" si="1"/>
        <v>0</v>
      </c>
      <c r="G33" s="2">
        <v>67</v>
      </c>
      <c r="H33" s="9" t="s">
        <v>69</v>
      </c>
      <c r="I33" s="2" t="s">
        <v>9</v>
      </c>
      <c r="J33" s="9"/>
      <c r="K33" s="8">
        <v>5.5</v>
      </c>
      <c r="L33" s="5">
        <f t="shared" si="0"/>
        <v>0</v>
      </c>
    </row>
    <row r="34" spans="1:13" ht="13.15" customHeight="1">
      <c r="A34" s="2">
        <v>30</v>
      </c>
      <c r="B34" s="4" t="s">
        <v>70</v>
      </c>
      <c r="C34" s="2" t="s">
        <v>9</v>
      </c>
      <c r="D34" s="2"/>
      <c r="E34" s="5">
        <v>6.05</v>
      </c>
      <c r="F34" s="5">
        <f t="shared" si="1"/>
        <v>0</v>
      </c>
      <c r="G34" s="2">
        <v>68</v>
      </c>
      <c r="H34" s="9" t="s">
        <v>71</v>
      </c>
      <c r="I34" s="2" t="s">
        <v>9</v>
      </c>
      <c r="J34" s="9"/>
      <c r="K34" s="8">
        <v>9.1</v>
      </c>
      <c r="L34" s="5">
        <f t="shared" si="0"/>
        <v>0</v>
      </c>
      <c r="M34" s="10"/>
    </row>
    <row r="35" spans="1:13" ht="13.15" customHeight="1">
      <c r="A35" s="2">
        <v>31</v>
      </c>
      <c r="B35" s="4" t="s">
        <v>72</v>
      </c>
      <c r="C35" s="2" t="s">
        <v>9</v>
      </c>
      <c r="D35" s="8"/>
      <c r="E35" s="5">
        <v>5.6</v>
      </c>
      <c r="F35" s="20">
        <f t="shared" si="1"/>
        <v>0</v>
      </c>
      <c r="G35" s="2">
        <v>69</v>
      </c>
      <c r="H35" s="9" t="s">
        <v>73</v>
      </c>
      <c r="I35" s="2" t="s">
        <v>9</v>
      </c>
      <c r="J35" s="9"/>
      <c r="K35" s="8">
        <v>7.4</v>
      </c>
      <c r="L35" s="5">
        <f t="shared" si="0"/>
        <v>0</v>
      </c>
    </row>
    <row r="36" spans="1:13" ht="13.15" customHeight="1">
      <c r="A36" s="2">
        <v>32</v>
      </c>
      <c r="B36" s="4" t="s">
        <v>74</v>
      </c>
      <c r="C36" s="2" t="s">
        <v>9</v>
      </c>
      <c r="D36" s="2"/>
      <c r="E36" s="2">
        <v>2.25</v>
      </c>
      <c r="F36" s="20">
        <f t="shared" si="1"/>
        <v>0</v>
      </c>
      <c r="G36" s="2">
        <v>70</v>
      </c>
      <c r="H36" s="9" t="s">
        <v>75</v>
      </c>
      <c r="I36" s="2" t="s">
        <v>9</v>
      </c>
      <c r="J36" s="9"/>
      <c r="K36" s="8">
        <v>10.5</v>
      </c>
      <c r="L36" s="5">
        <f t="shared" si="0"/>
        <v>0</v>
      </c>
    </row>
    <row r="37" spans="1:13" ht="13.15" customHeight="1">
      <c r="A37" s="2">
        <v>33</v>
      </c>
      <c r="B37" s="4" t="s">
        <v>76</v>
      </c>
      <c r="C37" s="2" t="s">
        <v>9</v>
      </c>
      <c r="D37" s="2"/>
      <c r="E37" s="2">
        <v>3.5</v>
      </c>
      <c r="F37" s="20">
        <f t="shared" si="1"/>
        <v>0</v>
      </c>
      <c r="G37" s="2">
        <v>71</v>
      </c>
      <c r="H37" s="9" t="s">
        <v>77</v>
      </c>
      <c r="I37" s="2" t="s">
        <v>9</v>
      </c>
      <c r="J37" s="9"/>
      <c r="K37" s="8">
        <v>6.8</v>
      </c>
      <c r="L37" s="5">
        <f t="shared" si="0"/>
        <v>0</v>
      </c>
      <c r="M37" s="11"/>
    </row>
    <row r="38" spans="1:13" ht="13.15" customHeight="1">
      <c r="A38" s="2">
        <v>34</v>
      </c>
      <c r="B38" s="4" t="s">
        <v>78</v>
      </c>
      <c r="C38" s="2" t="s">
        <v>9</v>
      </c>
      <c r="D38" s="2"/>
      <c r="E38" s="2">
        <v>6.55</v>
      </c>
      <c r="F38" s="20">
        <f t="shared" si="1"/>
        <v>0</v>
      </c>
      <c r="G38" s="2">
        <v>72</v>
      </c>
      <c r="H38" s="9" t="s">
        <v>79</v>
      </c>
      <c r="I38" s="2" t="s">
        <v>9</v>
      </c>
      <c r="J38" s="9"/>
      <c r="K38" s="8">
        <v>7.5</v>
      </c>
      <c r="L38" s="5">
        <f t="shared" si="0"/>
        <v>0</v>
      </c>
    </row>
    <row r="39" spans="1:13" ht="13.15" customHeight="1">
      <c r="A39" s="2">
        <v>35</v>
      </c>
      <c r="B39" s="4" t="s">
        <v>80</v>
      </c>
      <c r="C39" s="2" t="s">
        <v>9</v>
      </c>
      <c r="D39" s="2"/>
      <c r="E39" s="2">
        <v>3.8</v>
      </c>
      <c r="F39" s="20">
        <f t="shared" si="1"/>
        <v>0</v>
      </c>
      <c r="G39" s="2">
        <v>73</v>
      </c>
      <c r="H39" s="4" t="s">
        <v>81</v>
      </c>
      <c r="I39" s="2" t="s">
        <v>9</v>
      </c>
      <c r="J39" s="4"/>
      <c r="K39" s="2">
        <v>8</v>
      </c>
      <c r="L39" s="5">
        <f t="shared" si="0"/>
        <v>0</v>
      </c>
    </row>
    <row r="40" spans="1:13" ht="13.15" customHeight="1">
      <c r="I40" s="33" t="s">
        <v>82</v>
      </c>
      <c r="J40" s="34"/>
      <c r="K40" s="34"/>
      <c r="L40" s="19">
        <f>F5+F6+F7+F9+F8+F10+F11+F12+F13+F14+F15+F16+F17+F18+F19+F20+F21+F22+F23+F24+F25+F27+F26+F28+F29+F30+F31+F32+F33+F34+F35+F36+F37+F38+F39+L2+L3+L4+L6+L5+L7+L8+L9+L10+L11+L12+L13+L14+L15+L16+L17+L18+L19+L20+L21+L22+L23+L24+L25+L26+L27+L28+L29+L30+L31+L32+L33+L34+L35+L36+L37+L38+L39</f>
        <v>0</v>
      </c>
    </row>
    <row r="42" spans="1:13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  <pageSetup paperSize="9" orientation="portrait" horizontalDpi="180" verticalDpi="18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9"/>
  <dimension ref="A1:M42"/>
  <sheetViews>
    <sheetView workbookViewId="0">
      <selection activeCell="N7" sqref="N7"/>
    </sheetView>
  </sheetViews>
  <sheetFormatPr defaultRowHeight="13.15" customHeight="1"/>
  <cols>
    <col min="1" max="1" width="4.85546875" style="17" customWidth="1"/>
    <col min="2" max="2" width="30.85546875" customWidth="1"/>
    <col min="3" max="3" width="7.28515625" customWidth="1"/>
    <col min="4" max="4" width="7.42578125" customWidth="1"/>
    <col min="6" max="6" width="8.85546875" style="17"/>
    <col min="7" max="7" width="4.85546875" style="17" customWidth="1"/>
    <col min="8" max="8" width="23.5703125" customWidth="1"/>
    <col min="9" max="9" width="6.5703125" customWidth="1"/>
    <col min="10" max="10" width="6.7109375" customWidth="1"/>
    <col min="11" max="11" width="8.28515625" customWidth="1"/>
    <col min="12" max="12" width="8.28515625" style="17" customWidth="1"/>
  </cols>
  <sheetData>
    <row r="1" spans="1:12" ht="13.15" customHeight="1">
      <c r="A1" s="30"/>
      <c r="B1" s="30"/>
      <c r="C1" s="30"/>
      <c r="D1" s="31" t="s">
        <v>0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 t="s">
        <v>7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</v>
      </c>
      <c r="C5" s="2" t="s">
        <v>9</v>
      </c>
      <c r="D5" s="2">
        <v>25</v>
      </c>
      <c r="E5" s="5">
        <v>6.65</v>
      </c>
      <c r="F5" s="20">
        <f>D5*E5</f>
        <v>166.25</v>
      </c>
      <c r="G5" s="2">
        <v>39</v>
      </c>
      <c r="H5" s="4" t="s">
        <v>13</v>
      </c>
      <c r="I5" s="2" t="s">
        <v>9</v>
      </c>
      <c r="J5" s="2"/>
      <c r="K5" s="5">
        <v>1.95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4.8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7.8</v>
      </c>
      <c r="L6" s="5">
        <f t="shared" si="0"/>
        <v>0</v>
      </c>
    </row>
    <row r="7" spans="1:12" ht="13.15" customHeight="1">
      <c r="A7" s="2">
        <v>3</v>
      </c>
      <c r="B7" s="4" t="s">
        <v>16</v>
      </c>
      <c r="C7" s="2" t="s">
        <v>9</v>
      </c>
      <c r="D7" s="2"/>
      <c r="E7" s="5">
        <v>5.8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1.85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7.15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8"/>
      <c r="E9" s="5">
        <v>5</v>
      </c>
      <c r="F9" s="20">
        <f t="shared" si="1"/>
        <v>0</v>
      </c>
      <c r="G9" s="2">
        <v>43</v>
      </c>
      <c r="H9" s="4" t="s">
        <v>21</v>
      </c>
      <c r="I9" s="2" t="s">
        <v>9</v>
      </c>
      <c r="J9" s="2"/>
      <c r="K9" s="5">
        <v>2.35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5.8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24</v>
      </c>
      <c r="C11" s="2" t="s">
        <v>9</v>
      </c>
      <c r="D11" s="2"/>
      <c r="E11" s="5">
        <v>5.3</v>
      </c>
      <c r="F11" s="20">
        <f t="shared" si="1"/>
        <v>0</v>
      </c>
      <c r="G11" s="2">
        <v>45</v>
      </c>
      <c r="H11" s="4" t="s">
        <v>25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6</v>
      </c>
      <c r="F12" s="20">
        <f t="shared" si="1"/>
        <v>0</v>
      </c>
      <c r="G12" s="2">
        <v>46</v>
      </c>
      <c r="H12" s="4" t="s">
        <v>27</v>
      </c>
      <c r="I12" s="2" t="s">
        <v>9</v>
      </c>
      <c r="J12" s="2"/>
      <c r="K12" s="5">
        <v>2.4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6.1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5.95</v>
      </c>
      <c r="F14" s="20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32</v>
      </c>
      <c r="C15" s="2" t="s">
        <v>9</v>
      </c>
      <c r="D15" s="2"/>
      <c r="E15" s="5">
        <v>6.1</v>
      </c>
      <c r="F15" s="20">
        <f t="shared" si="1"/>
        <v>0</v>
      </c>
      <c r="G15" s="2">
        <v>49</v>
      </c>
      <c r="H15" s="4" t="s">
        <v>33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34</v>
      </c>
      <c r="C16" s="2" t="s">
        <v>9</v>
      </c>
      <c r="D16" s="2"/>
      <c r="E16" s="5">
        <v>6.1</v>
      </c>
      <c r="F16" s="20">
        <f t="shared" si="1"/>
        <v>0</v>
      </c>
      <c r="G16" s="2">
        <v>50</v>
      </c>
      <c r="H16" s="4" t="s">
        <v>35</v>
      </c>
      <c r="I16" s="2" t="s">
        <v>9</v>
      </c>
      <c r="J16" s="2"/>
      <c r="K16" s="5">
        <v>6.55</v>
      </c>
      <c r="L16" s="5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6.6</v>
      </c>
      <c r="F17" s="20">
        <f t="shared" si="1"/>
        <v>0</v>
      </c>
      <c r="G17" s="2">
        <v>51</v>
      </c>
      <c r="H17" s="4" t="s">
        <v>37</v>
      </c>
      <c r="I17" s="2" t="s">
        <v>9</v>
      </c>
      <c r="J17" s="2"/>
      <c r="K17" s="5">
        <v>8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4.9000000000000004</v>
      </c>
      <c r="F18" s="20">
        <f t="shared" si="1"/>
        <v>0</v>
      </c>
      <c r="G18" s="2">
        <v>52</v>
      </c>
      <c r="H18" s="4" t="s">
        <v>39</v>
      </c>
      <c r="I18" s="2" t="s">
        <v>9</v>
      </c>
      <c r="J18" s="2"/>
      <c r="K18" s="5">
        <v>6.4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5.4</v>
      </c>
      <c r="F19" s="20">
        <f t="shared" si="1"/>
        <v>0</v>
      </c>
      <c r="G19" s="2">
        <v>53</v>
      </c>
      <c r="H19" s="4" t="s">
        <v>41</v>
      </c>
      <c r="I19" s="2" t="s">
        <v>9</v>
      </c>
      <c r="J19" s="2"/>
      <c r="K19" s="5">
        <v>8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2.2000000000000002</v>
      </c>
      <c r="F20" s="20">
        <f t="shared" si="1"/>
        <v>0</v>
      </c>
      <c r="G20" s="2">
        <v>54</v>
      </c>
      <c r="H20" s="4" t="s">
        <v>43</v>
      </c>
      <c r="I20" s="2" t="s">
        <v>9</v>
      </c>
      <c r="J20" s="2"/>
      <c r="K20" s="5">
        <v>6.75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</v>
      </c>
      <c r="F21" s="20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34.75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5.8</v>
      </c>
      <c r="F22" s="20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18.649999999999999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6.55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4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6.2</v>
      </c>
      <c r="F24" s="20">
        <f t="shared" si="1"/>
        <v>0</v>
      </c>
      <c r="G24" s="2">
        <v>58</v>
      </c>
      <c r="H24" s="4" t="s">
        <v>51</v>
      </c>
      <c r="I24" s="2" t="s">
        <v>9</v>
      </c>
      <c r="J24" s="4"/>
      <c r="K24" s="2">
        <v>2.0499999999999998</v>
      </c>
      <c r="L24" s="5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6.9</v>
      </c>
      <c r="F25" s="20">
        <f t="shared" si="1"/>
        <v>0</v>
      </c>
      <c r="G25" s="2">
        <v>59</v>
      </c>
      <c r="H25" s="4" t="s">
        <v>53</v>
      </c>
      <c r="I25" s="2" t="s">
        <v>9</v>
      </c>
      <c r="J25" s="4"/>
      <c r="K25" s="2">
        <v>8.85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5.5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5.9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4"/>
      <c r="K27" s="2">
        <v>3.65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5.05</v>
      </c>
      <c r="F28" s="20">
        <f t="shared" si="1"/>
        <v>0</v>
      </c>
      <c r="G28" s="2">
        <v>62</v>
      </c>
      <c r="H28" s="4" t="s">
        <v>59</v>
      </c>
      <c r="I28" s="2" t="s">
        <v>9</v>
      </c>
      <c r="J28" s="4"/>
      <c r="K28" s="2">
        <v>7.8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5.8</v>
      </c>
      <c r="F29" s="20">
        <f t="shared" si="1"/>
        <v>0</v>
      </c>
      <c r="G29" s="2">
        <v>63</v>
      </c>
      <c r="H29" s="4" t="s">
        <v>61</v>
      </c>
      <c r="I29" s="2" t="s">
        <v>9</v>
      </c>
      <c r="J29" s="4"/>
      <c r="K29" s="2">
        <v>12.35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4.5999999999999996</v>
      </c>
      <c r="F30" s="5">
        <f t="shared" si="1"/>
        <v>0</v>
      </c>
      <c r="G30" s="2">
        <v>64</v>
      </c>
      <c r="H30" s="4" t="s">
        <v>63</v>
      </c>
      <c r="I30" s="2" t="s">
        <v>9</v>
      </c>
      <c r="J30" s="4"/>
      <c r="K30" s="2">
        <v>6.75</v>
      </c>
      <c r="L30" s="5">
        <f t="shared" si="0"/>
        <v>0</v>
      </c>
    </row>
    <row r="31" spans="1:12" ht="13.15" customHeight="1">
      <c r="A31" s="2">
        <v>27</v>
      </c>
      <c r="B31" s="4" t="s">
        <v>64</v>
      </c>
      <c r="C31" s="2" t="s">
        <v>9</v>
      </c>
      <c r="D31" s="2"/>
      <c r="E31" s="5">
        <v>6.05</v>
      </c>
      <c r="F31" s="5">
        <f t="shared" si="1"/>
        <v>0</v>
      </c>
      <c r="G31" s="2">
        <v>65</v>
      </c>
      <c r="H31" s="4" t="s">
        <v>65</v>
      </c>
      <c r="I31" s="2" t="s">
        <v>9</v>
      </c>
      <c r="J31" s="4"/>
      <c r="K31" s="2">
        <v>8.85</v>
      </c>
      <c r="L31" s="5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7.8</v>
      </c>
      <c r="F32" s="20">
        <f t="shared" si="1"/>
        <v>0</v>
      </c>
      <c r="G32" s="2">
        <v>66</v>
      </c>
      <c r="H32" s="9" t="s">
        <v>67</v>
      </c>
      <c r="I32" s="2" t="s">
        <v>9</v>
      </c>
      <c r="J32" s="9"/>
      <c r="K32" s="8">
        <v>8.35</v>
      </c>
      <c r="L32" s="5">
        <f t="shared" si="0"/>
        <v>0</v>
      </c>
    </row>
    <row r="33" spans="1:13" ht="13.15" customHeight="1">
      <c r="A33" s="2">
        <v>29</v>
      </c>
      <c r="B33" s="4" t="s">
        <v>68</v>
      </c>
      <c r="C33" s="2" t="s">
        <v>9</v>
      </c>
      <c r="D33" s="2"/>
      <c r="E33" s="5">
        <v>5.6</v>
      </c>
      <c r="F33" s="5">
        <f t="shared" si="1"/>
        <v>0</v>
      </c>
      <c r="G33" s="2">
        <v>67</v>
      </c>
      <c r="H33" s="9" t="s">
        <v>69</v>
      </c>
      <c r="I33" s="2" t="s">
        <v>9</v>
      </c>
      <c r="J33" s="9"/>
      <c r="K33" s="8">
        <v>5.5</v>
      </c>
      <c r="L33" s="5">
        <f t="shared" si="0"/>
        <v>0</v>
      </c>
    </row>
    <row r="34" spans="1:13" ht="13.15" customHeight="1">
      <c r="A34" s="2">
        <v>30</v>
      </c>
      <c r="B34" s="4" t="s">
        <v>70</v>
      </c>
      <c r="C34" s="2" t="s">
        <v>9</v>
      </c>
      <c r="D34" s="2"/>
      <c r="E34" s="5">
        <v>6.05</v>
      </c>
      <c r="F34" s="5">
        <f t="shared" si="1"/>
        <v>0</v>
      </c>
      <c r="G34" s="2">
        <v>68</v>
      </c>
      <c r="H34" s="9" t="s">
        <v>71</v>
      </c>
      <c r="I34" s="2" t="s">
        <v>9</v>
      </c>
      <c r="J34" s="9"/>
      <c r="K34" s="8">
        <v>9.1</v>
      </c>
      <c r="L34" s="5">
        <f t="shared" si="0"/>
        <v>0</v>
      </c>
      <c r="M34" s="10"/>
    </row>
    <row r="35" spans="1:13" ht="13.15" customHeight="1">
      <c r="A35" s="2">
        <v>31</v>
      </c>
      <c r="B35" s="4" t="s">
        <v>72</v>
      </c>
      <c r="C35" s="2" t="s">
        <v>9</v>
      </c>
      <c r="D35" s="8"/>
      <c r="E35" s="5">
        <v>5.6</v>
      </c>
      <c r="F35" s="20">
        <f t="shared" si="1"/>
        <v>0</v>
      </c>
      <c r="G35" s="2">
        <v>69</v>
      </c>
      <c r="H35" s="9" t="s">
        <v>73</v>
      </c>
      <c r="I35" s="2" t="s">
        <v>9</v>
      </c>
      <c r="J35" s="9"/>
      <c r="K35" s="8">
        <v>7.4</v>
      </c>
      <c r="L35" s="5">
        <f t="shared" si="0"/>
        <v>0</v>
      </c>
    </row>
    <row r="36" spans="1:13" ht="13.15" customHeight="1">
      <c r="A36" s="2">
        <v>32</v>
      </c>
      <c r="B36" s="4" t="s">
        <v>74</v>
      </c>
      <c r="C36" s="2" t="s">
        <v>9</v>
      </c>
      <c r="D36" s="2"/>
      <c r="E36" s="2">
        <v>2.25</v>
      </c>
      <c r="F36" s="20">
        <f t="shared" si="1"/>
        <v>0</v>
      </c>
      <c r="G36" s="2">
        <v>70</v>
      </c>
      <c r="H36" s="9" t="s">
        <v>75</v>
      </c>
      <c r="I36" s="2" t="s">
        <v>9</v>
      </c>
      <c r="J36" s="9"/>
      <c r="K36" s="8">
        <v>10.5</v>
      </c>
      <c r="L36" s="5">
        <f t="shared" si="0"/>
        <v>0</v>
      </c>
    </row>
    <row r="37" spans="1:13" ht="13.15" customHeight="1">
      <c r="A37" s="2">
        <v>33</v>
      </c>
      <c r="B37" s="4" t="s">
        <v>76</v>
      </c>
      <c r="C37" s="2" t="s">
        <v>9</v>
      </c>
      <c r="D37" s="2"/>
      <c r="E37" s="2">
        <v>3.5</v>
      </c>
      <c r="F37" s="20">
        <f t="shared" si="1"/>
        <v>0</v>
      </c>
      <c r="G37" s="2">
        <v>71</v>
      </c>
      <c r="H37" s="9" t="s">
        <v>77</v>
      </c>
      <c r="I37" s="2" t="s">
        <v>9</v>
      </c>
      <c r="J37" s="9"/>
      <c r="K37" s="8">
        <v>6.8</v>
      </c>
      <c r="L37" s="5">
        <f t="shared" si="0"/>
        <v>0</v>
      </c>
      <c r="M37" s="11"/>
    </row>
    <row r="38" spans="1:13" ht="13.15" customHeight="1">
      <c r="A38" s="2">
        <v>34</v>
      </c>
      <c r="B38" s="4" t="s">
        <v>78</v>
      </c>
      <c r="C38" s="2" t="s">
        <v>9</v>
      </c>
      <c r="D38" s="2"/>
      <c r="E38" s="2">
        <v>6.55</v>
      </c>
      <c r="F38" s="20">
        <f t="shared" si="1"/>
        <v>0</v>
      </c>
      <c r="G38" s="2">
        <v>72</v>
      </c>
      <c r="H38" s="9" t="s">
        <v>79</v>
      </c>
      <c r="I38" s="2" t="s">
        <v>9</v>
      </c>
      <c r="J38" s="9"/>
      <c r="K38" s="8">
        <v>7.5</v>
      </c>
      <c r="L38" s="5">
        <f t="shared" si="0"/>
        <v>0</v>
      </c>
    </row>
    <row r="39" spans="1:13" ht="13.15" customHeight="1">
      <c r="A39" s="2">
        <v>35</v>
      </c>
      <c r="B39" s="4" t="s">
        <v>80</v>
      </c>
      <c r="C39" s="2" t="s">
        <v>9</v>
      </c>
      <c r="D39" s="2"/>
      <c r="E39" s="2">
        <v>3.8</v>
      </c>
      <c r="F39" s="20">
        <f t="shared" si="1"/>
        <v>0</v>
      </c>
      <c r="G39" s="2">
        <v>73</v>
      </c>
      <c r="H39" s="4" t="s">
        <v>81</v>
      </c>
      <c r="I39" s="2" t="s">
        <v>9</v>
      </c>
      <c r="J39" s="4"/>
      <c r="K39" s="2">
        <v>8</v>
      </c>
      <c r="L39" s="5">
        <f t="shared" si="0"/>
        <v>0</v>
      </c>
    </row>
    <row r="40" spans="1:13" ht="13.15" customHeight="1">
      <c r="I40" s="33" t="s">
        <v>82</v>
      </c>
      <c r="J40" s="34"/>
      <c r="K40" s="34"/>
      <c r="L40" s="19">
        <f>F5+F6+F7+F9+F8+F10+F11+F12+F13+F14+F15+F16+F17+F18+F19+F20+F21+F22+F23+F24+F25+F27+F26+F28+F29+F30+F31+F32+F33+F34+F35+F36+F37+F38+F39+L2+L3+L4+L6+L5+L7+L8+L9+L10+L11+L12+L13+L14+L15+L16+L17+L18+L19+L20+L21+L22+L23+L24+L25+L26+L27+L28+L29+L30+L31+L32+L33+L34+L35+L36+L37+L38+L39</f>
        <v>166.25</v>
      </c>
    </row>
    <row r="42" spans="1:13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  <pageSetup paperSize="9" orientation="portrait" horizontalDpi="180" verticalDpi="180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10"/>
  <dimension ref="A1:M42"/>
  <sheetViews>
    <sheetView zoomScaleSheetLayoutView="102" workbookViewId="0">
      <selection activeCell="N7" sqref="N7"/>
    </sheetView>
  </sheetViews>
  <sheetFormatPr defaultRowHeight="13.15" customHeight="1"/>
  <cols>
    <col min="1" max="1" width="4.85546875" style="17" customWidth="1"/>
    <col min="2" max="2" width="30.85546875" customWidth="1"/>
    <col min="3" max="3" width="7.28515625" customWidth="1"/>
    <col min="4" max="4" width="7.42578125" customWidth="1"/>
    <col min="6" max="6" width="8.85546875" style="17"/>
    <col min="7" max="7" width="4.85546875" style="17" customWidth="1"/>
    <col min="8" max="8" width="23.5703125" customWidth="1"/>
    <col min="9" max="9" width="6.5703125" customWidth="1"/>
    <col min="10" max="10" width="6.7109375" customWidth="1"/>
    <col min="11" max="11" width="8.28515625" customWidth="1"/>
    <col min="12" max="12" width="8.28515625" style="17" customWidth="1"/>
  </cols>
  <sheetData>
    <row r="1" spans="1:12" ht="13.15" customHeight="1">
      <c r="A1" s="30"/>
      <c r="B1" s="30"/>
      <c r="C1" s="30"/>
      <c r="D1" s="31" t="s">
        <v>0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 t="s">
        <v>7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</v>
      </c>
      <c r="C5" s="2" t="s">
        <v>9</v>
      </c>
      <c r="D5" s="2"/>
      <c r="E5" s="5">
        <v>6.65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1.95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4.8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7.8</v>
      </c>
      <c r="L6" s="5">
        <f t="shared" si="0"/>
        <v>0</v>
      </c>
    </row>
    <row r="7" spans="1:12" ht="13.15" customHeight="1">
      <c r="A7" s="2">
        <v>3</v>
      </c>
      <c r="B7" s="4" t="s">
        <v>16</v>
      </c>
      <c r="C7" s="2" t="s">
        <v>9</v>
      </c>
      <c r="D7" s="2"/>
      <c r="E7" s="5">
        <v>5.8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1.85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7.15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8"/>
      <c r="E9" s="5">
        <v>5</v>
      </c>
      <c r="F9" s="20">
        <f t="shared" si="1"/>
        <v>0</v>
      </c>
      <c r="G9" s="2">
        <v>43</v>
      </c>
      <c r="H9" s="4" t="s">
        <v>21</v>
      </c>
      <c r="I9" s="2" t="s">
        <v>9</v>
      </c>
      <c r="J9" s="2"/>
      <c r="K9" s="5">
        <v>2.35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5.8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24</v>
      </c>
      <c r="C11" s="2" t="s">
        <v>9</v>
      </c>
      <c r="D11" s="2"/>
      <c r="E11" s="5">
        <v>5.3</v>
      </c>
      <c r="F11" s="20">
        <f t="shared" si="1"/>
        <v>0</v>
      </c>
      <c r="G11" s="2">
        <v>45</v>
      </c>
      <c r="H11" s="4" t="s">
        <v>25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6</v>
      </c>
      <c r="F12" s="20">
        <f t="shared" si="1"/>
        <v>0</v>
      </c>
      <c r="G12" s="2">
        <v>46</v>
      </c>
      <c r="H12" s="4" t="s">
        <v>27</v>
      </c>
      <c r="I12" s="2" t="s">
        <v>9</v>
      </c>
      <c r="J12" s="2"/>
      <c r="K12" s="5">
        <v>2.4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6.1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5.95</v>
      </c>
      <c r="F14" s="20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32</v>
      </c>
      <c r="C15" s="2" t="s">
        <v>9</v>
      </c>
      <c r="D15" s="2"/>
      <c r="E15" s="5">
        <v>6.1</v>
      </c>
      <c r="F15" s="20">
        <f t="shared" si="1"/>
        <v>0</v>
      </c>
      <c r="G15" s="2">
        <v>49</v>
      </c>
      <c r="H15" s="4" t="s">
        <v>33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34</v>
      </c>
      <c r="C16" s="2" t="s">
        <v>9</v>
      </c>
      <c r="D16" s="2"/>
      <c r="E16" s="5">
        <v>6.1</v>
      </c>
      <c r="F16" s="20">
        <f t="shared" si="1"/>
        <v>0</v>
      </c>
      <c r="G16" s="2">
        <v>50</v>
      </c>
      <c r="H16" s="4" t="s">
        <v>35</v>
      </c>
      <c r="I16" s="2" t="s">
        <v>9</v>
      </c>
      <c r="J16" s="2"/>
      <c r="K16" s="5">
        <v>6.55</v>
      </c>
      <c r="L16" s="5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6.6</v>
      </c>
      <c r="F17" s="20">
        <f t="shared" si="1"/>
        <v>0</v>
      </c>
      <c r="G17" s="2">
        <v>51</v>
      </c>
      <c r="H17" s="4" t="s">
        <v>37</v>
      </c>
      <c r="I17" s="2" t="s">
        <v>9</v>
      </c>
      <c r="J17" s="2"/>
      <c r="K17" s="5">
        <v>8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4.9000000000000004</v>
      </c>
      <c r="F18" s="20">
        <f t="shared" si="1"/>
        <v>0</v>
      </c>
      <c r="G18" s="2">
        <v>52</v>
      </c>
      <c r="H18" s="4" t="s">
        <v>39</v>
      </c>
      <c r="I18" s="2" t="s">
        <v>9</v>
      </c>
      <c r="J18" s="2"/>
      <c r="K18" s="5">
        <v>6.4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5.4</v>
      </c>
      <c r="F19" s="20">
        <f t="shared" si="1"/>
        <v>0</v>
      </c>
      <c r="G19" s="2">
        <v>53</v>
      </c>
      <c r="H19" s="4" t="s">
        <v>41</v>
      </c>
      <c r="I19" s="2" t="s">
        <v>9</v>
      </c>
      <c r="J19" s="2"/>
      <c r="K19" s="5">
        <v>8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2.2000000000000002</v>
      </c>
      <c r="F20" s="20">
        <f t="shared" si="1"/>
        <v>0</v>
      </c>
      <c r="G20" s="2">
        <v>54</v>
      </c>
      <c r="H20" s="4" t="s">
        <v>43</v>
      </c>
      <c r="I20" s="2" t="s">
        <v>9</v>
      </c>
      <c r="J20" s="2"/>
      <c r="K20" s="5">
        <v>6.75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</v>
      </c>
      <c r="F21" s="20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34.75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5.8</v>
      </c>
      <c r="F22" s="20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18.649999999999999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6.55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4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6.2</v>
      </c>
      <c r="F24" s="20">
        <f t="shared" si="1"/>
        <v>0</v>
      </c>
      <c r="G24" s="2">
        <v>58</v>
      </c>
      <c r="H24" s="4" t="s">
        <v>51</v>
      </c>
      <c r="I24" s="2" t="s">
        <v>9</v>
      </c>
      <c r="J24" s="4"/>
      <c r="K24" s="2">
        <v>2.0499999999999998</v>
      </c>
      <c r="L24" s="5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6.9</v>
      </c>
      <c r="F25" s="20">
        <f t="shared" si="1"/>
        <v>0</v>
      </c>
      <c r="G25" s="2">
        <v>59</v>
      </c>
      <c r="H25" s="4" t="s">
        <v>53</v>
      </c>
      <c r="I25" s="2" t="s">
        <v>9</v>
      </c>
      <c r="J25" s="4"/>
      <c r="K25" s="2">
        <v>8.85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5.5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5.9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4"/>
      <c r="K27" s="2">
        <v>3.65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5.05</v>
      </c>
      <c r="F28" s="20">
        <f t="shared" si="1"/>
        <v>0</v>
      </c>
      <c r="G28" s="2">
        <v>62</v>
      </c>
      <c r="H28" s="4" t="s">
        <v>59</v>
      </c>
      <c r="I28" s="2" t="s">
        <v>9</v>
      </c>
      <c r="J28" s="4"/>
      <c r="K28" s="2">
        <v>7.8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5.8</v>
      </c>
      <c r="F29" s="20">
        <f t="shared" si="1"/>
        <v>0</v>
      </c>
      <c r="G29" s="2">
        <v>63</v>
      </c>
      <c r="H29" s="4" t="s">
        <v>61</v>
      </c>
      <c r="I29" s="2" t="s">
        <v>9</v>
      </c>
      <c r="J29" s="4"/>
      <c r="K29" s="2">
        <v>12.35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4.5999999999999996</v>
      </c>
      <c r="F30" s="5">
        <f t="shared" si="1"/>
        <v>0</v>
      </c>
      <c r="G30" s="2">
        <v>64</v>
      </c>
      <c r="H30" s="4" t="s">
        <v>63</v>
      </c>
      <c r="I30" s="2" t="s">
        <v>9</v>
      </c>
      <c r="J30" s="4"/>
      <c r="K30" s="2">
        <v>6.75</v>
      </c>
      <c r="L30" s="5">
        <f t="shared" si="0"/>
        <v>0</v>
      </c>
    </row>
    <row r="31" spans="1:12" ht="13.15" customHeight="1">
      <c r="A31" s="2">
        <v>27</v>
      </c>
      <c r="B31" s="4" t="s">
        <v>64</v>
      </c>
      <c r="C31" s="2" t="s">
        <v>9</v>
      </c>
      <c r="D31" s="2"/>
      <c r="E31" s="5">
        <v>6.05</v>
      </c>
      <c r="F31" s="5">
        <f t="shared" si="1"/>
        <v>0</v>
      </c>
      <c r="G31" s="2">
        <v>65</v>
      </c>
      <c r="H31" s="4" t="s">
        <v>65</v>
      </c>
      <c r="I31" s="2" t="s">
        <v>9</v>
      </c>
      <c r="J31" s="4"/>
      <c r="K31" s="2">
        <v>8.85</v>
      </c>
      <c r="L31" s="5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7.8</v>
      </c>
      <c r="F32" s="20">
        <f t="shared" si="1"/>
        <v>0</v>
      </c>
      <c r="G32" s="2">
        <v>66</v>
      </c>
      <c r="H32" s="9" t="s">
        <v>67</v>
      </c>
      <c r="I32" s="2" t="s">
        <v>9</v>
      </c>
      <c r="J32" s="9"/>
      <c r="K32" s="8">
        <v>8.35</v>
      </c>
      <c r="L32" s="5">
        <f t="shared" si="0"/>
        <v>0</v>
      </c>
    </row>
    <row r="33" spans="1:13" ht="13.15" customHeight="1">
      <c r="A33" s="2">
        <v>29</v>
      </c>
      <c r="B33" s="4" t="s">
        <v>68</v>
      </c>
      <c r="C33" s="2" t="s">
        <v>9</v>
      </c>
      <c r="D33" s="2"/>
      <c r="E33" s="5">
        <v>5.6</v>
      </c>
      <c r="F33" s="5">
        <f t="shared" si="1"/>
        <v>0</v>
      </c>
      <c r="G33" s="2">
        <v>67</v>
      </c>
      <c r="H33" s="9" t="s">
        <v>69</v>
      </c>
      <c r="I33" s="2" t="s">
        <v>9</v>
      </c>
      <c r="J33" s="9"/>
      <c r="K33" s="8">
        <v>5.5</v>
      </c>
      <c r="L33" s="5">
        <f t="shared" si="0"/>
        <v>0</v>
      </c>
    </row>
    <row r="34" spans="1:13" ht="13.15" customHeight="1">
      <c r="A34" s="2">
        <v>30</v>
      </c>
      <c r="B34" s="4" t="s">
        <v>70</v>
      </c>
      <c r="C34" s="2" t="s">
        <v>9</v>
      </c>
      <c r="D34" s="2"/>
      <c r="E34" s="5">
        <v>6.05</v>
      </c>
      <c r="F34" s="5">
        <f t="shared" si="1"/>
        <v>0</v>
      </c>
      <c r="G34" s="2">
        <v>68</v>
      </c>
      <c r="H34" s="9" t="s">
        <v>71</v>
      </c>
      <c r="I34" s="2" t="s">
        <v>9</v>
      </c>
      <c r="J34" s="9"/>
      <c r="K34" s="8">
        <v>9.1</v>
      </c>
      <c r="L34" s="5">
        <f t="shared" si="0"/>
        <v>0</v>
      </c>
      <c r="M34" s="10"/>
    </row>
    <row r="35" spans="1:13" ht="13.15" customHeight="1">
      <c r="A35" s="2">
        <v>31</v>
      </c>
      <c r="B35" s="4" t="s">
        <v>72</v>
      </c>
      <c r="C35" s="2" t="s">
        <v>9</v>
      </c>
      <c r="D35" s="8"/>
      <c r="E35" s="5">
        <v>5.6</v>
      </c>
      <c r="F35" s="20">
        <f t="shared" si="1"/>
        <v>0</v>
      </c>
      <c r="G35" s="2">
        <v>69</v>
      </c>
      <c r="H35" s="9" t="s">
        <v>73</v>
      </c>
      <c r="I35" s="2" t="s">
        <v>9</v>
      </c>
      <c r="J35" s="9"/>
      <c r="K35" s="8">
        <v>7.4</v>
      </c>
      <c r="L35" s="5">
        <f t="shared" si="0"/>
        <v>0</v>
      </c>
    </row>
    <row r="36" spans="1:13" ht="13.15" customHeight="1">
      <c r="A36" s="2">
        <v>32</v>
      </c>
      <c r="B36" s="4" t="s">
        <v>74</v>
      </c>
      <c r="C36" s="2" t="s">
        <v>9</v>
      </c>
      <c r="D36" s="2"/>
      <c r="E36" s="2">
        <v>2.25</v>
      </c>
      <c r="F36" s="20">
        <f t="shared" si="1"/>
        <v>0</v>
      </c>
      <c r="G36" s="2">
        <v>70</v>
      </c>
      <c r="H36" s="9" t="s">
        <v>75</v>
      </c>
      <c r="I36" s="2" t="s">
        <v>9</v>
      </c>
      <c r="J36" s="9"/>
      <c r="K36" s="8">
        <v>10.5</v>
      </c>
      <c r="L36" s="5">
        <f t="shared" si="0"/>
        <v>0</v>
      </c>
    </row>
    <row r="37" spans="1:13" ht="13.15" customHeight="1">
      <c r="A37" s="2">
        <v>33</v>
      </c>
      <c r="B37" s="4" t="s">
        <v>76</v>
      </c>
      <c r="C37" s="2" t="s">
        <v>9</v>
      </c>
      <c r="D37" s="2"/>
      <c r="E37" s="2">
        <v>3.5</v>
      </c>
      <c r="F37" s="20">
        <f t="shared" si="1"/>
        <v>0</v>
      </c>
      <c r="G37" s="2">
        <v>71</v>
      </c>
      <c r="H37" s="9" t="s">
        <v>77</v>
      </c>
      <c r="I37" s="2" t="s">
        <v>9</v>
      </c>
      <c r="J37" s="9"/>
      <c r="K37" s="8">
        <v>6.8</v>
      </c>
      <c r="L37" s="5">
        <f t="shared" si="0"/>
        <v>0</v>
      </c>
      <c r="M37" s="11"/>
    </row>
    <row r="38" spans="1:13" ht="13.15" customHeight="1">
      <c r="A38" s="2">
        <v>34</v>
      </c>
      <c r="B38" s="4" t="s">
        <v>78</v>
      </c>
      <c r="C38" s="2" t="s">
        <v>9</v>
      </c>
      <c r="D38" s="2"/>
      <c r="E38" s="2">
        <v>6.55</v>
      </c>
      <c r="F38" s="20">
        <f t="shared" si="1"/>
        <v>0</v>
      </c>
      <c r="G38" s="2">
        <v>72</v>
      </c>
      <c r="H38" s="9" t="s">
        <v>79</v>
      </c>
      <c r="I38" s="2" t="s">
        <v>9</v>
      </c>
      <c r="J38" s="9"/>
      <c r="K38" s="8">
        <v>7.5</v>
      </c>
      <c r="L38" s="5">
        <f t="shared" si="0"/>
        <v>0</v>
      </c>
    </row>
    <row r="39" spans="1:13" ht="13.15" customHeight="1">
      <c r="A39" s="2">
        <v>35</v>
      </c>
      <c r="B39" s="4" t="s">
        <v>80</v>
      </c>
      <c r="C39" s="2" t="s">
        <v>9</v>
      </c>
      <c r="D39" s="2"/>
      <c r="E39" s="2">
        <v>3.8</v>
      </c>
      <c r="F39" s="20">
        <f t="shared" si="1"/>
        <v>0</v>
      </c>
      <c r="G39" s="2">
        <v>73</v>
      </c>
      <c r="H39" s="4" t="s">
        <v>81</v>
      </c>
      <c r="I39" s="2" t="s">
        <v>9</v>
      </c>
      <c r="J39" s="4"/>
      <c r="K39" s="2">
        <v>8</v>
      </c>
      <c r="L39" s="5">
        <f t="shared" si="0"/>
        <v>0</v>
      </c>
    </row>
    <row r="40" spans="1:13" ht="13.15" customHeight="1">
      <c r="I40" s="33" t="s">
        <v>82</v>
      </c>
      <c r="J40" s="34"/>
      <c r="K40" s="34"/>
      <c r="L40" s="19">
        <f>F5+F6+F7+F9+F8+F10+F11+F12+F13+F14+F15+F16+F17+F18+F19+F20+F21+F22+F23+F24+F25+F27+F26+F28+F29+F30+F31+F32+F33+F34+F35+F36+F37+F38+F39+L2+L3+L4+L6+L5+L7+L8+L9+L10+L11+L12+L13+L14+L15+L16+L17+L18+L19+L20+L21+L22+L23+L24+L25+L26+L27+L28+L29+L30+L31+L32+L33+L34+L35+L36+L37+L38+L39</f>
        <v>0</v>
      </c>
    </row>
    <row r="42" spans="1:13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  <pageSetup paperSize="9" orientation="portrait" horizontalDpi="180" verticalDpi="180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1">
    <tabColor rgb="FFC00000"/>
  </sheetPr>
  <dimension ref="A1:M45"/>
  <sheetViews>
    <sheetView workbookViewId="0">
      <selection activeCell="D5" sqref="D5"/>
    </sheetView>
  </sheetViews>
  <sheetFormatPr defaultRowHeight="15"/>
  <cols>
    <col min="1" max="1" width="4.85546875" customWidth="1"/>
    <col min="2" max="2" width="28.5703125" customWidth="1"/>
    <col min="3" max="3" width="6.7109375" customWidth="1"/>
    <col min="4" max="4" width="7.28515625" customWidth="1"/>
    <col min="5" max="6" width="8.42578125" customWidth="1"/>
    <col min="7" max="7" width="4.42578125" customWidth="1"/>
    <col min="8" max="8" width="22.42578125" customWidth="1"/>
    <col min="9" max="9" width="6" customWidth="1"/>
    <col min="10" max="10" width="7" style="17" customWidth="1"/>
    <col min="11" max="11" width="7.7109375" customWidth="1"/>
    <col min="12" max="12" width="8.28515625" customWidth="1"/>
  </cols>
  <sheetData>
    <row r="1" spans="1:12" ht="13.15" customHeight="1">
      <c r="A1" s="30"/>
      <c r="B1" s="30"/>
      <c r="C1" s="30"/>
      <c r="D1" s="31" t="s">
        <v>0</v>
      </c>
      <c r="E1" s="30"/>
      <c r="F1" s="30"/>
      <c r="G1" s="1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 t="s">
        <v>7</v>
      </c>
      <c r="B2" s="32"/>
      <c r="C2" s="32"/>
      <c r="D2" s="32"/>
      <c r="E2" s="32"/>
      <c r="F2" s="32"/>
      <c r="G2" s="4">
        <v>36</v>
      </c>
      <c r="H2" s="4" t="s">
        <v>8</v>
      </c>
      <c r="I2" s="2" t="s">
        <v>9</v>
      </c>
      <c r="J2" s="2">
        <f>'1'!J2+'2'!J2+'3'!J2+'4'!J2+'5'!J2+'6'!J2+'7'!J2+'8'!J2+'9'!J2+'10'!J2</f>
        <v>0</v>
      </c>
      <c r="K2" s="5">
        <v>1.35</v>
      </c>
      <c r="L2" s="6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4">
        <v>37</v>
      </c>
      <c r="H3" s="4" t="s">
        <v>10</v>
      </c>
      <c r="I3" s="2" t="s">
        <v>9</v>
      </c>
      <c r="J3" s="2">
        <f>'1'!J3+'2'!J3+'3'!J3+'4'!J3+'5'!J3+'6'!J3+'7'!J3+'8'!J3+'9'!J3+'10'!J3</f>
        <v>0</v>
      </c>
      <c r="K3" s="5">
        <v>2</v>
      </c>
      <c r="L3" s="6">
        <f t="shared" ref="L3:L39" si="0">J3*K3</f>
        <v>0</v>
      </c>
    </row>
    <row r="4" spans="1:12" ht="13.15" customHeight="1">
      <c r="A4" s="1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4">
        <v>38</v>
      </c>
      <c r="H4" s="4" t="s">
        <v>11</v>
      </c>
      <c r="I4" s="2" t="s">
        <v>9</v>
      </c>
      <c r="J4" s="2">
        <f>'1'!J4+'2'!J4+'3'!J4+'4'!J4+'5'!J4+'6'!J4+'7'!J4+'8'!J4+'9'!J4+'10'!J4</f>
        <v>0</v>
      </c>
      <c r="K4" s="5">
        <v>2.2000000000000002</v>
      </c>
      <c r="L4" s="6">
        <f t="shared" si="0"/>
        <v>0</v>
      </c>
    </row>
    <row r="5" spans="1:12" ht="13.15" customHeight="1">
      <c r="A5" s="4">
        <v>1</v>
      </c>
      <c r="B5" s="4" t="s">
        <v>12</v>
      </c>
      <c r="C5" s="2" t="s">
        <v>9</v>
      </c>
      <c r="D5" s="2">
        <f>'1'!D5+'2'!D5+'3'!D5+'4'!D5+'5'!D5+'6'!D5+'7'!D5+'8'!D5+'9'!D5+'10'!D5</f>
        <v>26</v>
      </c>
      <c r="E5" s="5">
        <v>6.65</v>
      </c>
      <c r="F5" s="7">
        <f>D5*E5</f>
        <v>172.9</v>
      </c>
      <c r="G5" s="4">
        <v>39</v>
      </c>
      <c r="H5" s="4" t="s">
        <v>13</v>
      </c>
      <c r="I5" s="2" t="s">
        <v>9</v>
      </c>
      <c r="J5" s="2">
        <f>'1'!J5+'2'!J5+'3'!J5+'4'!J5+'5'!J5+'6'!J5+'7'!J5+'8'!J5+'9'!J5+'10'!J5</f>
        <v>0</v>
      </c>
      <c r="K5" s="5">
        <v>1.95</v>
      </c>
      <c r="L5" s="6">
        <f t="shared" si="0"/>
        <v>0</v>
      </c>
    </row>
    <row r="6" spans="1:12" ht="12" customHeight="1">
      <c r="A6" s="4">
        <v>2</v>
      </c>
      <c r="B6" s="4" t="s">
        <v>14</v>
      </c>
      <c r="C6" s="2" t="s">
        <v>9</v>
      </c>
      <c r="D6" s="2">
        <f>'1'!D6+'2'!D6+'3'!D6+'4'!D6+'5'!D6+'6'!D6+'7'!D6+'8'!D6+'9'!D6+'10'!D6</f>
        <v>0</v>
      </c>
      <c r="E6" s="5">
        <v>4.8</v>
      </c>
      <c r="F6" s="7">
        <f t="shared" ref="F6:F39" si="1">D6*E6</f>
        <v>0</v>
      </c>
      <c r="G6" s="4">
        <v>40</v>
      </c>
      <c r="H6" s="4" t="s">
        <v>15</v>
      </c>
      <c r="I6" s="2" t="s">
        <v>9</v>
      </c>
      <c r="J6" s="2">
        <f>'1'!J6+'2'!J6+'3'!J6+'4'!J6+'5'!J6+'6'!J6+'7'!J6+'8'!J6+'9'!J6+'10'!J6</f>
        <v>0</v>
      </c>
      <c r="K6" s="5">
        <v>7.8</v>
      </c>
      <c r="L6" s="6">
        <f t="shared" si="0"/>
        <v>0</v>
      </c>
    </row>
    <row r="7" spans="1:12" ht="13.15" customHeight="1">
      <c r="A7" s="4">
        <v>3</v>
      </c>
      <c r="B7" s="4" t="s">
        <v>16</v>
      </c>
      <c r="C7" s="2" t="s">
        <v>9</v>
      </c>
      <c r="D7" s="2">
        <f>'1'!D7+'2'!D7+'3'!D7+'4'!D7+'5'!D7+'6'!D7+'7'!D7+'8'!D7+'9'!D7+'10'!D7</f>
        <v>0</v>
      </c>
      <c r="E7" s="5">
        <v>5.8</v>
      </c>
      <c r="F7" s="7">
        <f t="shared" si="1"/>
        <v>0</v>
      </c>
      <c r="G7" s="4">
        <v>41</v>
      </c>
      <c r="H7" s="4" t="s">
        <v>17</v>
      </c>
      <c r="I7" s="2" t="s">
        <v>9</v>
      </c>
      <c r="J7" s="2">
        <f>'1'!J7+'2'!J7+'3'!J7+'4'!J7+'5'!J7+'6'!J7+'7'!J7+'8'!J7+'9'!J7+'10'!J7</f>
        <v>0</v>
      </c>
      <c r="K7" s="5">
        <v>1.85</v>
      </c>
      <c r="L7" s="6">
        <f t="shared" si="0"/>
        <v>0</v>
      </c>
    </row>
    <row r="8" spans="1:12" ht="13.15" customHeight="1">
      <c r="A8" s="4">
        <v>4</v>
      </c>
      <c r="B8" s="4" t="s">
        <v>18</v>
      </c>
      <c r="C8" s="2" t="s">
        <v>9</v>
      </c>
      <c r="D8" s="2">
        <f>'1'!D8+'2'!D8+'3'!D8+'4'!D8+'5'!D8+'6'!D8+'7'!D8+'8'!D8+'9'!D8+'10'!D8</f>
        <v>0</v>
      </c>
      <c r="E8" s="5">
        <v>7.15</v>
      </c>
      <c r="F8" s="7">
        <f t="shared" si="1"/>
        <v>0</v>
      </c>
      <c r="G8" s="4">
        <v>42</v>
      </c>
      <c r="H8" s="4" t="s">
        <v>19</v>
      </c>
      <c r="I8" s="2" t="s">
        <v>9</v>
      </c>
      <c r="J8" s="2">
        <f>'1'!J8+'2'!J8+'3'!J8+'4'!J8+'5'!J8+'6'!J8+'7'!J8+'8'!J8+'9'!J8+'10'!J8</f>
        <v>0</v>
      </c>
      <c r="K8" s="5">
        <v>2.2000000000000002</v>
      </c>
      <c r="L8" s="6">
        <f t="shared" si="0"/>
        <v>0</v>
      </c>
    </row>
    <row r="9" spans="1:12" ht="13.15" customHeight="1">
      <c r="A9" s="4">
        <v>5</v>
      </c>
      <c r="B9" s="4" t="s">
        <v>20</v>
      </c>
      <c r="C9" s="2" t="s">
        <v>9</v>
      </c>
      <c r="D9" s="8">
        <f>'1'!D9+'2'!D9+'3'!D9+'4'!D9+'5'!D9+'6'!D9+'7'!D9+'8'!D9+'9'!D9+'10'!D9</f>
        <v>0</v>
      </c>
      <c r="E9" s="5">
        <v>5</v>
      </c>
      <c r="F9" s="7">
        <f t="shared" si="1"/>
        <v>0</v>
      </c>
      <c r="G9" s="4">
        <v>43</v>
      </c>
      <c r="H9" s="4" t="s">
        <v>21</v>
      </c>
      <c r="I9" s="2" t="s">
        <v>9</v>
      </c>
      <c r="J9" s="2">
        <f>'1'!J9+'2'!J9+'3'!J9+'4'!J9+'5'!J9+'6'!J9+'7'!J9+'8'!J9+'9'!J9+'10'!J9</f>
        <v>0</v>
      </c>
      <c r="K9" s="5">
        <v>2.35</v>
      </c>
      <c r="L9" s="6">
        <f t="shared" si="0"/>
        <v>0</v>
      </c>
    </row>
    <row r="10" spans="1:12" ht="13.15" customHeight="1">
      <c r="A10" s="4">
        <v>6</v>
      </c>
      <c r="B10" s="4" t="s">
        <v>22</v>
      </c>
      <c r="C10" s="2" t="s">
        <v>9</v>
      </c>
      <c r="D10" s="2">
        <f>'1'!D10+'2'!D10+'3'!D10+'4'!D10+'5'!D10+'6'!D10+'7'!D10+'8'!D10+'9'!D10+'10'!D10</f>
        <v>0</v>
      </c>
      <c r="E10" s="5">
        <v>5.8</v>
      </c>
      <c r="F10" s="7">
        <f t="shared" si="1"/>
        <v>0</v>
      </c>
      <c r="G10" s="4">
        <v>44</v>
      </c>
      <c r="H10" s="4" t="s">
        <v>23</v>
      </c>
      <c r="I10" s="2" t="s">
        <v>9</v>
      </c>
      <c r="J10" s="2">
        <f>'1'!J10+'2'!J10+'3'!J10+'4'!J10+'5'!J10+'6'!J10+'7'!J10+'8'!J10+'9'!J10+'10'!J10</f>
        <v>0</v>
      </c>
      <c r="K10" s="5">
        <v>1.05</v>
      </c>
      <c r="L10" s="6">
        <f t="shared" si="0"/>
        <v>0</v>
      </c>
    </row>
    <row r="11" spans="1:12" ht="13.15" customHeight="1">
      <c r="A11" s="4">
        <v>7</v>
      </c>
      <c r="B11" s="4" t="s">
        <v>24</v>
      </c>
      <c r="C11" s="2" t="s">
        <v>9</v>
      </c>
      <c r="D11" s="2">
        <f>'1'!D11+'2'!D11+'3'!D11+'4'!D11+'5'!D11+'6'!D11+'7'!D11+'8'!D11+'9'!D11+'10'!D11</f>
        <v>0</v>
      </c>
      <c r="E11" s="5">
        <v>5.3</v>
      </c>
      <c r="F11" s="7">
        <f t="shared" si="1"/>
        <v>0</v>
      </c>
      <c r="G11" s="4">
        <v>45</v>
      </c>
      <c r="H11" s="4" t="s">
        <v>25</v>
      </c>
      <c r="I11" s="2" t="s">
        <v>9</v>
      </c>
      <c r="J11" s="2">
        <f>'1'!J11+'2'!J11+'3'!J11+'4'!J11+'5'!J11+'6'!J11+'7'!J11+'8'!J11+'9'!J11+'10'!J11</f>
        <v>0</v>
      </c>
      <c r="K11" s="5">
        <v>3.4</v>
      </c>
      <c r="L11" s="6">
        <f t="shared" si="0"/>
        <v>0</v>
      </c>
    </row>
    <row r="12" spans="1:12" ht="13.15" customHeight="1">
      <c r="A12" s="4">
        <v>8</v>
      </c>
      <c r="B12" s="4" t="s">
        <v>26</v>
      </c>
      <c r="C12" s="2" t="s">
        <v>9</v>
      </c>
      <c r="D12" s="2">
        <f>'1'!D12+'2'!D12+'3'!D12+'4'!D12+'5'!D12+'6'!D12+'7'!D12+'8'!D12+'9'!D12+'10'!D12</f>
        <v>0</v>
      </c>
      <c r="E12" s="5">
        <v>6</v>
      </c>
      <c r="F12" s="7">
        <f t="shared" si="1"/>
        <v>0</v>
      </c>
      <c r="G12" s="4">
        <v>46</v>
      </c>
      <c r="H12" s="4" t="s">
        <v>27</v>
      </c>
      <c r="I12" s="2" t="s">
        <v>9</v>
      </c>
      <c r="J12" s="2">
        <f>'1'!J12+'2'!J12+'3'!J12+'4'!J12+'5'!J12+'6'!J12+'7'!J12+'8'!J12+'9'!J12+'10'!J12</f>
        <v>0</v>
      </c>
      <c r="K12" s="5">
        <v>2.4</v>
      </c>
      <c r="L12" s="6">
        <f t="shared" si="0"/>
        <v>0</v>
      </c>
    </row>
    <row r="13" spans="1:12" ht="13.15" customHeight="1">
      <c r="A13" s="4">
        <v>9</v>
      </c>
      <c r="B13" s="4" t="s">
        <v>28</v>
      </c>
      <c r="C13" s="2" t="s">
        <v>9</v>
      </c>
      <c r="D13" s="2">
        <f>'1'!D13+'2'!D13+'3'!D13+'4'!D13+'5'!D13+'6'!D13+'7'!D13+'8'!D13+'9'!D13+'10'!D13</f>
        <v>0</v>
      </c>
      <c r="E13" s="5">
        <v>6.1</v>
      </c>
      <c r="F13" s="7">
        <f t="shared" si="1"/>
        <v>0</v>
      </c>
      <c r="G13" s="4">
        <v>47</v>
      </c>
      <c r="H13" s="4" t="s">
        <v>29</v>
      </c>
      <c r="I13" s="2" t="s">
        <v>9</v>
      </c>
      <c r="J13" s="2">
        <f>'1'!J13+'2'!J13+'3'!J13+'4'!J13+'5'!J13+'6'!J13+'7'!J13+'8'!J13+'9'!J13+'10'!J13</f>
        <v>0</v>
      </c>
      <c r="K13" s="5">
        <v>2</v>
      </c>
      <c r="L13" s="6">
        <f t="shared" si="0"/>
        <v>0</v>
      </c>
    </row>
    <row r="14" spans="1:12" ht="13.15" customHeight="1">
      <c r="A14" s="4">
        <v>10</v>
      </c>
      <c r="B14" s="4" t="s">
        <v>30</v>
      </c>
      <c r="C14" s="2" t="s">
        <v>9</v>
      </c>
      <c r="D14" s="2">
        <f>'1'!D14+'2'!D14+'3'!D14+'4'!D14+'5'!D14+'6'!D14+'7'!D14+'8'!D14+'9'!D14+'10'!D14</f>
        <v>0</v>
      </c>
      <c r="E14" s="5">
        <v>5.95</v>
      </c>
      <c r="F14" s="7">
        <f t="shared" si="1"/>
        <v>0</v>
      </c>
      <c r="G14" s="4">
        <v>48</v>
      </c>
      <c r="H14" s="4" t="s">
        <v>31</v>
      </c>
      <c r="I14" s="2" t="s">
        <v>9</v>
      </c>
      <c r="J14" s="2">
        <f>'1'!J14+'2'!J14+'3'!J14+'4'!J14+'5'!J14+'6'!J14+'7'!J14+'8'!J14+'9'!J14+'10'!J14</f>
        <v>0</v>
      </c>
      <c r="K14" s="5">
        <v>2</v>
      </c>
      <c r="L14" s="6">
        <f t="shared" si="0"/>
        <v>0</v>
      </c>
    </row>
    <row r="15" spans="1:12" ht="13.15" customHeight="1">
      <c r="A15" s="4">
        <v>11</v>
      </c>
      <c r="B15" s="4" t="s">
        <v>32</v>
      </c>
      <c r="C15" s="2" t="s">
        <v>9</v>
      </c>
      <c r="D15" s="2">
        <f>'1'!D15+'2'!D15+'3'!D15+'4'!D15+'5'!D15+'6'!D15+'7'!D15+'8'!D15+'9'!D15+'10'!D15</f>
        <v>0</v>
      </c>
      <c r="E15" s="5">
        <v>6.1</v>
      </c>
      <c r="F15" s="7">
        <f t="shared" si="1"/>
        <v>0</v>
      </c>
      <c r="G15" s="4">
        <v>49</v>
      </c>
      <c r="H15" s="4" t="s">
        <v>33</v>
      </c>
      <c r="I15" s="2" t="s">
        <v>9</v>
      </c>
      <c r="J15" s="2">
        <f>'1'!J15+'2'!J15+'3'!J15+'4'!J15+'5'!J15+'6'!J15+'7'!J15+'8'!J15+'9'!J15+'10'!J15</f>
        <v>0</v>
      </c>
      <c r="K15" s="5">
        <v>2</v>
      </c>
      <c r="L15" s="6">
        <f t="shared" si="0"/>
        <v>0</v>
      </c>
    </row>
    <row r="16" spans="1:12" ht="13.15" customHeight="1">
      <c r="A16" s="4">
        <v>12</v>
      </c>
      <c r="B16" s="4" t="s">
        <v>34</v>
      </c>
      <c r="C16" s="2" t="s">
        <v>9</v>
      </c>
      <c r="D16" s="2">
        <f>'1'!D16+'2'!D16+'3'!D16+'4'!D16+'5'!D16+'6'!D16+'7'!D16+'8'!D16+'9'!D16+'10'!D16</f>
        <v>0</v>
      </c>
      <c r="E16" s="5">
        <v>6.1</v>
      </c>
      <c r="F16" s="7">
        <f t="shared" si="1"/>
        <v>0</v>
      </c>
      <c r="G16" s="4">
        <v>50</v>
      </c>
      <c r="H16" s="4" t="s">
        <v>35</v>
      </c>
      <c r="I16" s="2" t="s">
        <v>9</v>
      </c>
      <c r="J16" s="2">
        <f>'1'!J16+'2'!J16+'3'!J16+'4'!J16+'5'!J16+'6'!J16+'7'!J16+'8'!J16+'9'!J16+'10'!J16</f>
        <v>0</v>
      </c>
      <c r="K16" s="5">
        <v>6.55</v>
      </c>
      <c r="L16" s="6">
        <f t="shared" si="0"/>
        <v>0</v>
      </c>
    </row>
    <row r="17" spans="1:12">
      <c r="A17" s="4">
        <v>13</v>
      </c>
      <c r="B17" s="4" t="s">
        <v>36</v>
      </c>
      <c r="C17" s="2" t="s">
        <v>9</v>
      </c>
      <c r="D17" s="2">
        <f>'1'!D17+'2'!D17+'3'!D17+'4'!D17+'5'!D17+'6'!D17+'7'!D17+'8'!D17+'9'!D17+'10'!D17</f>
        <v>0</v>
      </c>
      <c r="E17" s="5">
        <v>6.6</v>
      </c>
      <c r="F17" s="7">
        <f t="shared" si="1"/>
        <v>0</v>
      </c>
      <c r="G17" s="4">
        <v>51</v>
      </c>
      <c r="H17" s="4" t="s">
        <v>37</v>
      </c>
      <c r="I17" s="2" t="s">
        <v>9</v>
      </c>
      <c r="J17" s="2">
        <f>'1'!J17+'2'!J17+'3'!J17+'4'!J17+'5'!J17+'6'!J17+'7'!J17+'8'!J17+'9'!J17+'10'!J17</f>
        <v>0</v>
      </c>
      <c r="K17" s="5">
        <v>8</v>
      </c>
      <c r="L17" s="6">
        <f t="shared" si="0"/>
        <v>0</v>
      </c>
    </row>
    <row r="18" spans="1:12" ht="13.15" customHeight="1">
      <c r="A18" s="4">
        <v>14</v>
      </c>
      <c r="B18" s="4" t="s">
        <v>38</v>
      </c>
      <c r="C18" s="2" t="s">
        <v>9</v>
      </c>
      <c r="D18" s="2">
        <f>'1'!D18+'2'!D18+'3'!D18+'4'!D18+'5'!D18+'6'!D18+'7'!D18+'8'!D18+'9'!D18+'10'!D18</f>
        <v>0</v>
      </c>
      <c r="E18" s="5">
        <v>4.9000000000000004</v>
      </c>
      <c r="F18" s="7">
        <f t="shared" si="1"/>
        <v>0</v>
      </c>
      <c r="G18" s="4">
        <v>52</v>
      </c>
      <c r="H18" s="4" t="s">
        <v>39</v>
      </c>
      <c r="I18" s="2" t="s">
        <v>9</v>
      </c>
      <c r="J18" s="2">
        <f>'1'!J18+'2'!J18+'3'!J18+'4'!J18+'5'!J18+'6'!J18+'7'!J18+'8'!J18+'9'!J18+'10'!J18</f>
        <v>0</v>
      </c>
      <c r="K18" s="5">
        <v>6.4</v>
      </c>
      <c r="L18" s="6">
        <f t="shared" si="0"/>
        <v>0</v>
      </c>
    </row>
    <row r="19" spans="1:12" ht="13.15" customHeight="1">
      <c r="A19" s="4">
        <v>15</v>
      </c>
      <c r="B19" s="4" t="s">
        <v>40</v>
      </c>
      <c r="C19" s="2" t="s">
        <v>9</v>
      </c>
      <c r="D19" s="2">
        <f>'1'!D19+'2'!D19+'3'!D19+'4'!D19+'5'!D19+'6'!D19+'7'!D19+'8'!D19+'9'!D19+'10'!D19</f>
        <v>0</v>
      </c>
      <c r="E19" s="5">
        <v>5.4</v>
      </c>
      <c r="F19" s="7">
        <f t="shared" si="1"/>
        <v>0</v>
      </c>
      <c r="G19" s="4">
        <v>53</v>
      </c>
      <c r="H19" s="4" t="s">
        <v>41</v>
      </c>
      <c r="I19" s="2" t="s">
        <v>9</v>
      </c>
      <c r="J19" s="2">
        <f>'1'!J19+'2'!J19+'3'!J19+'4'!J19+'5'!J19+'6'!J19+'7'!J19+'8'!J19+'9'!J19+'10'!J19</f>
        <v>0</v>
      </c>
      <c r="K19" s="5">
        <v>8</v>
      </c>
      <c r="L19" s="6">
        <f t="shared" si="0"/>
        <v>0</v>
      </c>
    </row>
    <row r="20" spans="1:12" ht="13.15" customHeight="1">
      <c r="A20" s="4">
        <v>16</v>
      </c>
      <c r="B20" s="4" t="s">
        <v>42</v>
      </c>
      <c r="C20" s="2" t="s">
        <v>9</v>
      </c>
      <c r="D20" s="2">
        <f>'1'!D20+'2'!D20+'3'!D20+'4'!D20+'5'!D20+'6'!D20+'7'!D20+'8'!D20+'9'!D20+'10'!D20</f>
        <v>0</v>
      </c>
      <c r="E20" s="5">
        <v>2.2000000000000002</v>
      </c>
      <c r="F20" s="7">
        <f t="shared" si="1"/>
        <v>0</v>
      </c>
      <c r="G20" s="4">
        <v>54</v>
      </c>
      <c r="H20" s="4" t="s">
        <v>43</v>
      </c>
      <c r="I20" s="2" t="s">
        <v>9</v>
      </c>
      <c r="J20" s="2">
        <f>'1'!J20+'2'!J20+'3'!J20+'4'!J20+'5'!J20+'6'!J20+'7'!J20+'8'!J20+'9'!J20+'10'!J20</f>
        <v>0</v>
      </c>
      <c r="K20" s="5">
        <v>6.75</v>
      </c>
      <c r="L20" s="6">
        <f t="shared" si="0"/>
        <v>0</v>
      </c>
    </row>
    <row r="21" spans="1:12" ht="13.15" customHeight="1">
      <c r="A21" s="4">
        <v>17</v>
      </c>
      <c r="B21" s="4" t="s">
        <v>44</v>
      </c>
      <c r="C21" s="2" t="s">
        <v>9</v>
      </c>
      <c r="D21" s="2">
        <f>'1'!D21+'2'!D21+'3'!D21+'4'!D21+'5'!D21+'6'!D21+'7'!D21+'8'!D21+'9'!D21+'10'!D21</f>
        <v>0</v>
      </c>
      <c r="E21" s="5">
        <v>1.2</v>
      </c>
      <c r="F21" s="7">
        <f t="shared" si="1"/>
        <v>0</v>
      </c>
      <c r="G21" s="4">
        <v>55</v>
      </c>
      <c r="H21" s="4" t="s">
        <v>45</v>
      </c>
      <c r="I21" s="2" t="s">
        <v>9</v>
      </c>
      <c r="J21" s="2">
        <f>'1'!J21+'2'!J21+'3'!J21+'4'!J21+'5'!J21+'6'!J21+'7'!J21+'8'!J21+'9'!J21+'10'!J21</f>
        <v>0</v>
      </c>
      <c r="K21" s="5">
        <v>34.75</v>
      </c>
      <c r="L21" s="6">
        <f t="shared" si="0"/>
        <v>0</v>
      </c>
    </row>
    <row r="22" spans="1:12" ht="13.15" customHeight="1">
      <c r="A22" s="4">
        <v>18</v>
      </c>
      <c r="B22" s="4" t="s">
        <v>46</v>
      </c>
      <c r="C22" s="2" t="s">
        <v>9</v>
      </c>
      <c r="D22" s="2">
        <f>'1'!D22+'2'!D22+'3'!D22+'4'!D22+'5'!D22+'6'!D22+'7'!D22+'8'!D22+'9'!D22+'10'!D22</f>
        <v>0</v>
      </c>
      <c r="E22" s="5">
        <v>5.8</v>
      </c>
      <c r="F22" s="7">
        <f t="shared" si="1"/>
        <v>0</v>
      </c>
      <c r="G22" s="4">
        <v>56</v>
      </c>
      <c r="H22" s="4" t="s">
        <v>47</v>
      </c>
      <c r="I22" s="2" t="s">
        <v>9</v>
      </c>
      <c r="J22" s="2">
        <f>'1'!J22+'2'!J22+'3'!J22+'4'!J22+'5'!J22+'6'!J22+'7'!J22+'8'!J22+'9'!J22+'10'!J22</f>
        <v>0</v>
      </c>
      <c r="K22" s="5">
        <v>18.649999999999999</v>
      </c>
      <c r="L22" s="6">
        <f t="shared" si="0"/>
        <v>0</v>
      </c>
    </row>
    <row r="23" spans="1:12" ht="13.15" customHeight="1">
      <c r="A23" s="4">
        <v>19</v>
      </c>
      <c r="B23" s="4" t="s">
        <v>48</v>
      </c>
      <c r="C23" s="2" t="s">
        <v>9</v>
      </c>
      <c r="D23" s="2">
        <f>'1'!D23+'2'!D23+'3'!D23+'4'!D23+'5'!D23+'6'!D23+'7'!D23+'8'!D23+'9'!D23+'10'!D23</f>
        <v>0</v>
      </c>
      <c r="E23" s="5">
        <v>6.55</v>
      </c>
      <c r="F23" s="7">
        <f t="shared" si="1"/>
        <v>0</v>
      </c>
      <c r="G23" s="4">
        <v>57</v>
      </c>
      <c r="H23" s="4" t="s">
        <v>49</v>
      </c>
      <c r="I23" s="2" t="s">
        <v>9</v>
      </c>
      <c r="J23" s="2">
        <f>'1'!J23+'2'!J23+'3'!J23+'4'!J23+'5'!J23+'6'!J23+'7'!J23+'8'!J23+'9'!J23+'10'!J23</f>
        <v>0</v>
      </c>
      <c r="K23" s="2">
        <v>2.85</v>
      </c>
      <c r="L23" s="6">
        <f t="shared" si="0"/>
        <v>0</v>
      </c>
    </row>
    <row r="24" spans="1:12" ht="13.15" customHeight="1">
      <c r="A24" s="4">
        <v>20</v>
      </c>
      <c r="B24" s="4" t="s">
        <v>50</v>
      </c>
      <c r="C24" s="2" t="s">
        <v>9</v>
      </c>
      <c r="D24" s="2">
        <f>'1'!D24+'2'!D24+'3'!D24+'4'!D24+'5'!D24+'6'!D24+'7'!D24+'8'!D24+'9'!D24+'10'!D24</f>
        <v>0</v>
      </c>
      <c r="E24" s="5">
        <v>6.2</v>
      </c>
      <c r="F24" s="7">
        <f t="shared" si="1"/>
        <v>0</v>
      </c>
      <c r="G24" s="4">
        <v>58</v>
      </c>
      <c r="H24" s="4" t="s">
        <v>51</v>
      </c>
      <c r="I24" s="2" t="s">
        <v>9</v>
      </c>
      <c r="J24" s="2">
        <f>'1'!J24+'2'!J24+'3'!J24+'4'!J24+'5'!J24+'6'!J24+'7'!J24+'8'!J24+'9'!J24+'10'!J24</f>
        <v>0</v>
      </c>
      <c r="K24" s="2">
        <v>2.0499999999999998</v>
      </c>
      <c r="L24" s="6">
        <f t="shared" si="0"/>
        <v>0</v>
      </c>
    </row>
    <row r="25" spans="1:12" ht="13.15" customHeight="1">
      <c r="A25" s="4">
        <v>21</v>
      </c>
      <c r="B25" s="4" t="s">
        <v>52</v>
      </c>
      <c r="C25" s="2" t="s">
        <v>9</v>
      </c>
      <c r="D25" s="2">
        <f>'1'!D25+'2'!D25+'3'!D25+'4'!D25+'5'!D25+'6'!D25+'7'!D25+'8'!D25+'9'!D25+'10'!D25</f>
        <v>0</v>
      </c>
      <c r="E25" s="5">
        <v>6.9</v>
      </c>
      <c r="F25" s="7">
        <f t="shared" si="1"/>
        <v>0</v>
      </c>
      <c r="G25" s="4">
        <v>59</v>
      </c>
      <c r="H25" s="4" t="s">
        <v>53</v>
      </c>
      <c r="I25" s="2" t="s">
        <v>9</v>
      </c>
      <c r="J25" s="2">
        <f>'1'!J25+'2'!J25+'3'!J25+'4'!J25+'5'!J25+'6'!J25+'7'!J25+'8'!J25+'9'!J25+'10'!J25</f>
        <v>0</v>
      </c>
      <c r="K25" s="2">
        <v>8.85</v>
      </c>
      <c r="L25" s="6">
        <f t="shared" si="0"/>
        <v>0</v>
      </c>
    </row>
    <row r="26" spans="1:12" ht="13.15" customHeight="1">
      <c r="A26" s="4">
        <v>22</v>
      </c>
      <c r="B26" s="4" t="s">
        <v>54</v>
      </c>
      <c r="C26" s="2" t="s">
        <v>9</v>
      </c>
      <c r="D26" s="2">
        <f>'1'!D26+'2'!D26+'3'!D26+'4'!D26+'5'!D26+'6'!D26+'7'!D26+'8'!D26+'9'!D26+'10'!D26</f>
        <v>0</v>
      </c>
      <c r="E26" s="5">
        <v>5.5</v>
      </c>
      <c r="F26" s="7">
        <f t="shared" si="1"/>
        <v>0</v>
      </c>
      <c r="G26" s="4">
        <v>60</v>
      </c>
      <c r="H26" s="4" t="s">
        <v>55</v>
      </c>
      <c r="I26" s="2" t="s">
        <v>9</v>
      </c>
      <c r="J26" s="2">
        <f>'1'!J26+'2'!J26+'3'!J26+'4'!J26+'5'!J26+'6'!J26+'7'!J26+'8'!J26+'9'!J26+'10'!J26</f>
        <v>0</v>
      </c>
      <c r="K26" s="2">
        <v>5.9</v>
      </c>
      <c r="L26" s="6">
        <f t="shared" si="0"/>
        <v>0</v>
      </c>
    </row>
    <row r="27" spans="1:12" ht="13.15" customHeight="1">
      <c r="A27" s="4">
        <v>23</v>
      </c>
      <c r="B27" s="4" t="s">
        <v>56</v>
      </c>
      <c r="C27" s="2" t="s">
        <v>9</v>
      </c>
      <c r="D27" s="2">
        <f>'1'!D27+'2'!D27+'3'!D27+'4'!D27+'5'!D27+'6'!D27+'7'!D27+'8'!D27+'9'!D27+'10'!D27</f>
        <v>0</v>
      </c>
      <c r="E27" s="5">
        <v>4.5</v>
      </c>
      <c r="F27" s="7">
        <f t="shared" si="1"/>
        <v>0</v>
      </c>
      <c r="G27" s="4">
        <v>61</v>
      </c>
      <c r="H27" s="4" t="s">
        <v>57</v>
      </c>
      <c r="I27" s="2" t="s">
        <v>9</v>
      </c>
      <c r="J27" s="2">
        <f>'1'!J27+'2'!J27+'3'!J27+'4'!J27+'5'!J27+'6'!J27+'7'!J27+'8'!J27+'9'!J27+'10'!J27</f>
        <v>0</v>
      </c>
      <c r="K27" s="2">
        <v>3.65</v>
      </c>
      <c r="L27" s="6">
        <f t="shared" si="0"/>
        <v>0</v>
      </c>
    </row>
    <row r="28" spans="1:12" ht="13.15" customHeight="1">
      <c r="A28" s="4">
        <v>24</v>
      </c>
      <c r="B28" s="4" t="s">
        <v>58</v>
      </c>
      <c r="C28" s="2" t="s">
        <v>9</v>
      </c>
      <c r="D28" s="2">
        <f>'1'!D28+'2'!D28+'3'!D28+'4'!D28+'5'!D28+'6'!D28+'7'!D28+'8'!D28+'9'!D28+'10'!D28</f>
        <v>0</v>
      </c>
      <c r="E28" s="5">
        <v>5.05</v>
      </c>
      <c r="F28" s="7">
        <f t="shared" si="1"/>
        <v>0</v>
      </c>
      <c r="G28" s="4">
        <v>62</v>
      </c>
      <c r="H28" s="4" t="s">
        <v>59</v>
      </c>
      <c r="I28" s="2" t="s">
        <v>9</v>
      </c>
      <c r="J28" s="2">
        <f>'1'!J28+'2'!J28+'3'!J28+'4'!J28+'5'!J28+'6'!J28+'7'!J28+'8'!J28+'9'!J28+'10'!J28</f>
        <v>0</v>
      </c>
      <c r="K28" s="2">
        <v>7.8</v>
      </c>
      <c r="L28" s="6">
        <f t="shared" si="0"/>
        <v>0</v>
      </c>
    </row>
    <row r="29" spans="1:12" ht="13.15" customHeight="1">
      <c r="A29" s="4">
        <v>25</v>
      </c>
      <c r="B29" s="4" t="s">
        <v>60</v>
      </c>
      <c r="C29" s="2" t="s">
        <v>9</v>
      </c>
      <c r="D29" s="2">
        <f>'1'!D29+'2'!D29+'3'!D29+'4'!D29+'5'!D29+'6'!D29+'7'!D29+'8'!D29+'9'!D29+'10'!D29</f>
        <v>0</v>
      </c>
      <c r="E29" s="5">
        <v>5.8</v>
      </c>
      <c r="F29" s="7">
        <f t="shared" si="1"/>
        <v>0</v>
      </c>
      <c r="G29" s="4">
        <v>63</v>
      </c>
      <c r="H29" s="4" t="s">
        <v>61</v>
      </c>
      <c r="I29" s="2" t="s">
        <v>9</v>
      </c>
      <c r="J29" s="2">
        <f>'1'!J29+'2'!J29+'3'!J29+'4'!J29+'5'!J29+'6'!J29+'7'!J29+'8'!J29+'9'!J29+'10'!J29</f>
        <v>0</v>
      </c>
      <c r="K29" s="2">
        <v>12.35</v>
      </c>
      <c r="L29" s="6">
        <f t="shared" si="0"/>
        <v>0</v>
      </c>
    </row>
    <row r="30" spans="1:12" ht="13.15" customHeight="1">
      <c r="A30" s="4">
        <v>26</v>
      </c>
      <c r="B30" s="4" t="s">
        <v>62</v>
      </c>
      <c r="C30" s="2" t="s">
        <v>9</v>
      </c>
      <c r="D30" s="2">
        <f>'1'!D30+'2'!D30+'3'!D30+'4'!D30+'5'!D30+'6'!D30+'7'!D30+'8'!D30+'9'!D30+'10'!D30</f>
        <v>0</v>
      </c>
      <c r="E30" s="5">
        <v>4.5999999999999996</v>
      </c>
      <c r="F30" s="6">
        <f t="shared" si="1"/>
        <v>0</v>
      </c>
      <c r="G30" s="4">
        <v>64</v>
      </c>
      <c r="H30" s="4" t="s">
        <v>63</v>
      </c>
      <c r="I30" s="2" t="s">
        <v>9</v>
      </c>
      <c r="J30" s="2">
        <f>'1'!J30+'2'!J30+'3'!J30+'4'!J30+'5'!J30+'6'!J30+'7'!J30+'8'!J30+'9'!J30+'10'!J30</f>
        <v>0</v>
      </c>
      <c r="K30" s="2">
        <v>6.75</v>
      </c>
      <c r="L30" s="6">
        <f t="shared" si="0"/>
        <v>0</v>
      </c>
    </row>
    <row r="31" spans="1:12" ht="13.15" customHeight="1">
      <c r="A31" s="4">
        <v>27</v>
      </c>
      <c r="B31" s="4" t="s">
        <v>64</v>
      </c>
      <c r="C31" s="2" t="s">
        <v>9</v>
      </c>
      <c r="D31" s="2">
        <f>'1'!D31+'2'!D31+'3'!D31+'4'!D31+'5'!D31+'6'!D31+'7'!D31+'8'!D31+'9'!D31+'10'!D31</f>
        <v>0</v>
      </c>
      <c r="E31" s="5">
        <v>6.05</v>
      </c>
      <c r="F31" s="6">
        <f t="shared" si="1"/>
        <v>0</v>
      </c>
      <c r="G31" s="4">
        <v>65</v>
      </c>
      <c r="H31" s="4" t="s">
        <v>65</v>
      </c>
      <c r="I31" s="2" t="s">
        <v>9</v>
      </c>
      <c r="J31" s="2">
        <f>'1'!J31+'2'!J31+'3'!J31+'4'!J31+'5'!J31+'6'!J31+'7'!J31+'8'!J31+'9'!J31+'10'!J31</f>
        <v>0</v>
      </c>
      <c r="K31" s="2">
        <v>8.85</v>
      </c>
      <c r="L31" s="6">
        <f t="shared" si="0"/>
        <v>0</v>
      </c>
    </row>
    <row r="32" spans="1:12" ht="13.15" customHeight="1">
      <c r="A32" s="4">
        <v>28</v>
      </c>
      <c r="B32" s="4" t="s">
        <v>66</v>
      </c>
      <c r="C32" s="2" t="s">
        <v>9</v>
      </c>
      <c r="D32" s="2">
        <f>'1'!D32+'2'!D32+'3'!D32+'4'!D32+'5'!D32+'6'!D32+'7'!D32+'8'!D32+'9'!D32+'10'!D32</f>
        <v>0</v>
      </c>
      <c r="E32" s="5">
        <v>7.8</v>
      </c>
      <c r="F32" s="7">
        <f t="shared" si="1"/>
        <v>0</v>
      </c>
      <c r="G32" s="4">
        <v>66</v>
      </c>
      <c r="H32" s="9" t="s">
        <v>67</v>
      </c>
      <c r="I32" s="2" t="s">
        <v>9</v>
      </c>
      <c r="J32" s="8">
        <f>'1'!J32+'2'!J32+'3'!J32+'4'!J32+'5'!J32+'6'!J32+'7'!J32+'8'!J32+'9'!J32+'10'!J32</f>
        <v>0</v>
      </c>
      <c r="K32" s="8">
        <v>8.35</v>
      </c>
      <c r="L32" s="6">
        <f t="shared" si="0"/>
        <v>0</v>
      </c>
    </row>
    <row r="33" spans="1:13" ht="12.6" customHeight="1">
      <c r="A33" s="4">
        <v>29</v>
      </c>
      <c r="B33" s="4" t="s">
        <v>68</v>
      </c>
      <c r="C33" s="2" t="s">
        <v>9</v>
      </c>
      <c r="D33" s="2">
        <f>'1'!D33+'2'!D33+'3'!D33+'4'!D33+'5'!D33+'6'!D33+'7'!D33+'8'!D33+'9'!D33+'10'!D33</f>
        <v>0</v>
      </c>
      <c r="E33" s="5">
        <v>5.6</v>
      </c>
      <c r="F33" s="6">
        <f t="shared" si="1"/>
        <v>0</v>
      </c>
      <c r="G33" s="4">
        <v>67</v>
      </c>
      <c r="H33" s="9" t="s">
        <v>69</v>
      </c>
      <c r="I33" s="2" t="s">
        <v>9</v>
      </c>
      <c r="J33" s="8">
        <f>'1'!J33+'2'!J33+'3'!J33+'4'!J33+'5'!J33+'6'!J33+'7'!J33+'8'!J33+'9'!J33+'10'!J33</f>
        <v>0</v>
      </c>
      <c r="K33" s="8">
        <v>5.5</v>
      </c>
      <c r="L33" s="6">
        <f t="shared" si="0"/>
        <v>0</v>
      </c>
    </row>
    <row r="34" spans="1:13" ht="13.15" customHeight="1">
      <c r="A34" s="4">
        <v>30</v>
      </c>
      <c r="B34" s="4" t="s">
        <v>70</v>
      </c>
      <c r="C34" s="2" t="s">
        <v>9</v>
      </c>
      <c r="D34" s="2">
        <f>'1'!D34+'2'!D34+'3'!D34+'4'!D34+'5'!D34+'6'!D34+'7'!D34+'8'!D34+'9'!D34+'10'!D34</f>
        <v>0</v>
      </c>
      <c r="E34" s="5">
        <v>6.05</v>
      </c>
      <c r="F34" s="6">
        <f t="shared" si="1"/>
        <v>0</v>
      </c>
      <c r="G34" s="4">
        <v>68</v>
      </c>
      <c r="H34" s="9" t="s">
        <v>71</v>
      </c>
      <c r="I34" s="2" t="s">
        <v>9</v>
      </c>
      <c r="J34" s="8">
        <f>'1'!J34+'2'!J34+'3'!J34+'4'!J34+'5'!J34+'6'!J34+'7'!J34+'8'!J34+'9'!J34+'10'!J34</f>
        <v>0</v>
      </c>
      <c r="K34" s="8">
        <v>9.1</v>
      </c>
      <c r="L34" s="6">
        <f t="shared" si="0"/>
        <v>0</v>
      </c>
      <c r="M34" s="10"/>
    </row>
    <row r="35" spans="1:13" ht="13.15" customHeight="1">
      <c r="A35" s="4">
        <v>31</v>
      </c>
      <c r="B35" s="4" t="s">
        <v>72</v>
      </c>
      <c r="C35" s="2" t="s">
        <v>9</v>
      </c>
      <c r="D35" s="8">
        <f>'1'!D35+'2'!D35+'3'!D35+'4'!D35+'5'!D35+'6'!D35+'7'!D35+'8'!D35+'9'!D35+'10'!D35</f>
        <v>0</v>
      </c>
      <c r="E35" s="5">
        <v>5.6</v>
      </c>
      <c r="F35" s="7">
        <f t="shared" si="1"/>
        <v>0</v>
      </c>
      <c r="G35" s="4">
        <v>69</v>
      </c>
      <c r="H35" s="9" t="s">
        <v>73</v>
      </c>
      <c r="I35" s="2" t="s">
        <v>9</v>
      </c>
      <c r="J35" s="8">
        <f>'1'!J35+'2'!J35+'3'!J35+'4'!J35+'5'!J35+'6'!J35+'7'!J35+'8'!J35+'9'!J35+'10'!J35</f>
        <v>0</v>
      </c>
      <c r="K35" s="8">
        <v>7.4</v>
      </c>
      <c r="L35" s="6">
        <f t="shared" si="0"/>
        <v>0</v>
      </c>
    </row>
    <row r="36" spans="1:13" ht="13.15" customHeight="1">
      <c r="A36" s="4">
        <v>32</v>
      </c>
      <c r="B36" s="4" t="s">
        <v>74</v>
      </c>
      <c r="C36" s="2" t="s">
        <v>9</v>
      </c>
      <c r="D36" s="2">
        <f>'1'!D36+'2'!D36+'3'!D36+'4'!D36+'5'!D36+'6'!D36+'7'!D36+'8'!D36+'9'!D36+'10'!D36</f>
        <v>0</v>
      </c>
      <c r="E36" s="2">
        <v>2.25</v>
      </c>
      <c r="F36" s="7">
        <f t="shared" si="1"/>
        <v>0</v>
      </c>
      <c r="G36" s="4">
        <v>70</v>
      </c>
      <c r="H36" s="9" t="s">
        <v>75</v>
      </c>
      <c r="I36" s="2" t="s">
        <v>9</v>
      </c>
      <c r="J36" s="8">
        <f>'1'!J36+'2'!J36+'3'!J36+'4'!J36+'5'!J36+'6'!J36+'7'!J36+'8'!J36+'9'!J36+'10'!J36</f>
        <v>0</v>
      </c>
      <c r="K36" s="8">
        <v>10.5</v>
      </c>
      <c r="L36" s="6">
        <f t="shared" si="0"/>
        <v>0</v>
      </c>
    </row>
    <row r="37" spans="1:13" ht="13.15" customHeight="1">
      <c r="A37" s="4">
        <v>33</v>
      </c>
      <c r="B37" s="4" t="s">
        <v>76</v>
      </c>
      <c r="C37" s="2" t="s">
        <v>9</v>
      </c>
      <c r="D37" s="2">
        <f>'1'!D37+'2'!D37+'3'!D37+'4'!D37+'5'!D37+'6'!D37+'7'!D37+'8'!D37+'9'!D37+'10'!D37</f>
        <v>0</v>
      </c>
      <c r="E37" s="2">
        <v>3.5</v>
      </c>
      <c r="F37" s="7">
        <f t="shared" si="1"/>
        <v>0</v>
      </c>
      <c r="G37" s="4">
        <v>71</v>
      </c>
      <c r="H37" s="9" t="s">
        <v>77</v>
      </c>
      <c r="I37" s="2" t="s">
        <v>9</v>
      </c>
      <c r="J37" s="8">
        <f>'1'!J37+'2'!J37+'3'!J37+'4'!J37+'5'!J37+'6'!J37+'7'!J37+'8'!J37+'9'!J37+'10'!J37</f>
        <v>0</v>
      </c>
      <c r="K37" s="8">
        <v>6.8</v>
      </c>
      <c r="L37" s="6">
        <f t="shared" si="0"/>
        <v>0</v>
      </c>
      <c r="M37" s="11"/>
    </row>
    <row r="38" spans="1:13" ht="13.15" customHeight="1">
      <c r="A38" s="4">
        <v>34</v>
      </c>
      <c r="B38" s="4" t="s">
        <v>78</v>
      </c>
      <c r="C38" s="2" t="s">
        <v>9</v>
      </c>
      <c r="D38" s="2">
        <f>'1'!D38+'2'!D38+'3'!D38+'4'!D38+'5'!D38+'6'!D38+'7'!D38+'8'!D38+'9'!D38+'10'!D38</f>
        <v>0</v>
      </c>
      <c r="E38" s="2">
        <v>6.55</v>
      </c>
      <c r="F38" s="7">
        <f t="shared" si="1"/>
        <v>0</v>
      </c>
      <c r="G38" s="4">
        <v>72</v>
      </c>
      <c r="H38" s="9" t="s">
        <v>79</v>
      </c>
      <c r="I38" s="2" t="s">
        <v>9</v>
      </c>
      <c r="J38" s="8">
        <f>'1'!J38+'2'!J38+'3'!J38+'4'!J38+'5'!J38+'6'!J38+'7'!J38+'8'!J38+'9'!J38+'10'!J38</f>
        <v>0</v>
      </c>
      <c r="K38" s="8">
        <v>7.5</v>
      </c>
      <c r="L38" s="6">
        <f t="shared" si="0"/>
        <v>0</v>
      </c>
    </row>
    <row r="39" spans="1:13" ht="13.15" customHeight="1">
      <c r="A39" s="4">
        <v>35</v>
      </c>
      <c r="B39" s="4" t="s">
        <v>80</v>
      </c>
      <c r="C39" s="2" t="s">
        <v>9</v>
      </c>
      <c r="D39" s="2">
        <f>'1'!D39+'2'!D39+'3'!D39+'4'!D39+'5'!D39+'6'!D39+'7'!D39+'8'!D39+'9'!D39+'10'!D39</f>
        <v>0</v>
      </c>
      <c r="E39" s="2">
        <v>3.8</v>
      </c>
      <c r="F39" s="7">
        <f t="shared" si="1"/>
        <v>0</v>
      </c>
      <c r="G39" s="4">
        <v>73</v>
      </c>
      <c r="H39" s="4" t="s">
        <v>81</v>
      </c>
      <c r="I39" s="2" t="s">
        <v>9</v>
      </c>
      <c r="J39" s="2">
        <f>'1'!J39+'2'!J39+'3'!J39+'4'!J39+'5'!J39+'6'!J39+'7'!J39+'8'!J39+'9'!J39+'10'!J39</f>
        <v>0</v>
      </c>
      <c r="K39" s="2">
        <v>8</v>
      </c>
      <c r="L39" s="6">
        <f t="shared" si="0"/>
        <v>0</v>
      </c>
    </row>
    <row r="40" spans="1:13" ht="15.75">
      <c r="I40" s="33" t="s">
        <v>82</v>
      </c>
      <c r="J40" s="34"/>
      <c r="K40" s="34"/>
      <c r="L40" s="12">
        <f>F5+F6+F7+F9+F8+F10+F11+F12+F13+F14+F15+F16+F17+F18+F19+F20+F21+F22+F23+F24+F25+F27+F26+F28+F29+F30+F31+F32+F33+F34+F35+F36+F37+F38+F39+L2+L3+L4+L6+L5+L7+L8+L9+L10+L11+L12+L13+L14+L15+L16+L17+L18+L19+L20+L21+L22+L23+L24+L25+L26+L27+L28+L29+L30+L31+L32+L33+L34+L35+L36+L37+L38+L39</f>
        <v>172.9</v>
      </c>
    </row>
    <row r="42" spans="1:13">
      <c r="H42" t="s">
        <v>83</v>
      </c>
      <c r="I42" s="13" t="s">
        <v>84</v>
      </c>
      <c r="J42" s="17" t="s">
        <v>85</v>
      </c>
    </row>
    <row r="45" spans="1:13">
      <c r="E45" s="14"/>
      <c r="K45" s="15"/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  <pageSetup paperSize="9" orientation="portrait" horizontalDpi="180" verticalDpi="180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2"/>
  <dimension ref="A3:M44"/>
  <sheetViews>
    <sheetView topLeftCell="B1" workbookViewId="0">
      <selection activeCell="D8" sqref="D8"/>
    </sheetView>
  </sheetViews>
  <sheetFormatPr defaultRowHeight="13.15" customHeight="1"/>
  <cols>
    <col min="1" max="1" width="4.85546875" style="17" customWidth="1"/>
    <col min="2" max="2" width="28.85546875" customWidth="1"/>
    <col min="3" max="4" width="7" customWidth="1"/>
    <col min="5" max="5" width="8.5703125" customWidth="1"/>
    <col min="6" max="6" width="8.42578125" style="17" customWidth="1"/>
    <col min="7" max="7" width="4.85546875" style="17" customWidth="1"/>
    <col min="8" max="8" width="23.42578125" style="18" customWidth="1"/>
    <col min="9" max="9" width="6.28515625" customWidth="1"/>
    <col min="10" max="10" width="6.7109375" customWidth="1"/>
    <col min="11" max="11" width="8.28515625" customWidth="1"/>
    <col min="12" max="12" width="8.28515625" style="17" customWidth="1"/>
  </cols>
  <sheetData>
    <row r="3" spans="1:12" ht="13.15" customHeight="1">
      <c r="A3" s="30" t="s">
        <v>86</v>
      </c>
      <c r="B3" s="30"/>
      <c r="C3" s="30"/>
      <c r="D3" s="30" t="s">
        <v>87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21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/>
      <c r="B5" s="32"/>
      <c r="C5" s="32"/>
      <c r="D5" s="32"/>
      <c r="E5" s="32"/>
      <c r="F5" s="32"/>
      <c r="G5" s="2">
        <v>37</v>
      </c>
      <c r="H5" s="21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21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>
        <v>1</v>
      </c>
      <c r="E7" s="5">
        <v>6.85</v>
      </c>
      <c r="F7" s="20">
        <f>D7*E7</f>
        <v>6.85</v>
      </c>
      <c r="G7" s="2">
        <v>39</v>
      </c>
      <c r="H7" s="21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21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21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21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21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21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21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21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21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21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21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21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21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21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21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21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21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21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21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21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21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21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21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21" t="s">
        <v>99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21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21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21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21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21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21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21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21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21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21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21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6.85</v>
      </c>
    </row>
    <row r="44" spans="1:13" ht="13.15" customHeight="1">
      <c r="H44" s="18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  <pageSetup paperSize="9" orientation="portrait" horizontalDpi="180" verticalDpi="180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3"/>
  <dimension ref="A3:M44"/>
  <sheetViews>
    <sheetView workbookViewId="0">
      <selection activeCell="D7" sqref="D7"/>
    </sheetView>
  </sheetViews>
  <sheetFormatPr defaultRowHeight="13.15" customHeight="1"/>
  <cols>
    <col min="1" max="1" width="4.85546875" style="17" customWidth="1"/>
    <col min="2" max="2" width="28.85546875" customWidth="1"/>
    <col min="3" max="4" width="7" customWidth="1"/>
    <col min="5" max="5" width="8.5703125" customWidth="1"/>
    <col min="6" max="6" width="8.42578125" style="17" customWidth="1"/>
    <col min="7" max="7" width="4.85546875" style="17" customWidth="1"/>
    <col min="8" max="8" width="23.42578125" style="18" customWidth="1"/>
    <col min="9" max="9" width="6.28515625" customWidth="1"/>
    <col min="10" max="10" width="6.7109375" customWidth="1"/>
    <col min="11" max="11" width="8.28515625" customWidth="1"/>
    <col min="12" max="12" width="8.28515625" style="17" customWidth="1"/>
  </cols>
  <sheetData>
    <row r="3" spans="1:12" ht="13.15" customHeight="1">
      <c r="A3" s="30" t="s">
        <v>86</v>
      </c>
      <c r="B3" s="30"/>
      <c r="C3" s="30"/>
      <c r="D3" s="30" t="s">
        <v>87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21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/>
      <c r="B5" s="32"/>
      <c r="C5" s="32"/>
      <c r="D5" s="32"/>
      <c r="E5" s="32"/>
      <c r="F5" s="32"/>
      <c r="G5" s="2">
        <v>37</v>
      </c>
      <c r="H5" s="21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21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>
        <v>2</v>
      </c>
      <c r="E7" s="5">
        <v>6.85</v>
      </c>
      <c r="F7" s="20">
        <f>D7*E7</f>
        <v>13.7</v>
      </c>
      <c r="G7" s="2">
        <v>39</v>
      </c>
      <c r="H7" s="21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21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21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21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21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21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21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21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21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21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21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21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21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21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21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21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21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21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21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21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21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21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21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21" t="s">
        <v>99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21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21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21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21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21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21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21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21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21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21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21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13.7</v>
      </c>
    </row>
    <row r="44" spans="1:13" ht="13.15" customHeight="1">
      <c r="H44" s="18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  <pageSetup paperSize="9" orientation="portrait" horizontalDpi="180" verticalDpi="180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4"/>
  <dimension ref="A3:M44"/>
  <sheetViews>
    <sheetView topLeftCell="A22" workbookViewId="0">
      <selection activeCell="N7" sqref="N7"/>
    </sheetView>
  </sheetViews>
  <sheetFormatPr defaultRowHeight="13.15" customHeight="1"/>
  <cols>
    <col min="1" max="1" width="4.85546875" style="17" customWidth="1"/>
    <col min="2" max="2" width="28.85546875" customWidth="1"/>
    <col min="3" max="4" width="7" customWidth="1"/>
    <col min="5" max="5" width="8.5703125" customWidth="1"/>
    <col min="6" max="6" width="8.42578125" style="17" customWidth="1"/>
    <col min="7" max="7" width="4.85546875" style="17" customWidth="1"/>
    <col min="8" max="8" width="23.42578125" style="18" customWidth="1"/>
    <col min="9" max="9" width="6.28515625" customWidth="1"/>
    <col min="10" max="10" width="6.7109375" customWidth="1"/>
    <col min="11" max="11" width="8.28515625" customWidth="1"/>
    <col min="12" max="12" width="8.28515625" style="17" customWidth="1"/>
  </cols>
  <sheetData>
    <row r="3" spans="1:12" ht="13.15" customHeight="1">
      <c r="A3" s="30" t="s">
        <v>86</v>
      </c>
      <c r="B3" s="30"/>
      <c r="C3" s="30"/>
      <c r="D3" s="30" t="s">
        <v>87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21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/>
      <c r="B5" s="32"/>
      <c r="C5" s="32"/>
      <c r="D5" s="32"/>
      <c r="E5" s="32"/>
      <c r="F5" s="32"/>
      <c r="G5" s="2">
        <v>37</v>
      </c>
      <c r="H5" s="21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21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21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21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21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21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21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21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21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21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21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21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21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21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21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21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21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21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21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21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21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21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21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21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21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21" t="s">
        <v>99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21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21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21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21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21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21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21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21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21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21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21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s="18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  <pageSetup paperSize="9" orientation="portrait" horizontalDpi="180" verticalDpi="180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5"/>
  <dimension ref="A3:M44"/>
  <sheetViews>
    <sheetView topLeftCell="A28" workbookViewId="0">
      <selection activeCell="N7" sqref="N7"/>
    </sheetView>
  </sheetViews>
  <sheetFormatPr defaultRowHeight="13.15" customHeight="1"/>
  <cols>
    <col min="1" max="1" width="4.85546875" style="17" customWidth="1"/>
    <col min="2" max="2" width="28.85546875" customWidth="1"/>
    <col min="3" max="4" width="7" customWidth="1"/>
    <col min="5" max="5" width="8.5703125" customWidth="1"/>
    <col min="6" max="6" width="8.42578125" style="17" customWidth="1"/>
    <col min="7" max="7" width="4.85546875" style="17" customWidth="1"/>
    <col min="8" max="8" width="23.42578125" style="18" customWidth="1"/>
    <col min="9" max="9" width="6.28515625" customWidth="1"/>
    <col min="10" max="10" width="6.7109375" customWidth="1"/>
    <col min="11" max="11" width="8.28515625" customWidth="1"/>
    <col min="12" max="12" width="8.28515625" style="17" customWidth="1"/>
  </cols>
  <sheetData>
    <row r="3" spans="1:12" ht="13.15" customHeight="1">
      <c r="A3" s="30" t="s">
        <v>86</v>
      </c>
      <c r="B3" s="30"/>
      <c r="C3" s="30"/>
      <c r="D3" s="30" t="s">
        <v>87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21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/>
      <c r="B5" s="32"/>
      <c r="C5" s="32"/>
      <c r="D5" s="32"/>
      <c r="E5" s="32"/>
      <c r="F5" s="32"/>
      <c r="G5" s="2">
        <v>37</v>
      </c>
      <c r="H5" s="21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21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21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21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21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21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21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21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21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21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21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21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21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21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21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21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21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21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21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21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21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21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21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21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21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21" t="s">
        <v>99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21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21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21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21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21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21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21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21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21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21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21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s="18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  <pageSetup paperSize="9" orientation="portrait" horizontalDpi="180" verticalDpi="180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6"/>
  <dimension ref="A3:M44"/>
  <sheetViews>
    <sheetView topLeftCell="A22" workbookViewId="0">
      <selection activeCell="N7" sqref="N7"/>
    </sheetView>
  </sheetViews>
  <sheetFormatPr defaultRowHeight="13.15" customHeight="1"/>
  <cols>
    <col min="1" max="1" width="4.85546875" style="17" customWidth="1"/>
    <col min="2" max="2" width="28.85546875" customWidth="1"/>
    <col min="3" max="4" width="7" customWidth="1"/>
    <col min="5" max="5" width="8.5703125" customWidth="1"/>
    <col min="6" max="6" width="8.42578125" style="17" customWidth="1"/>
    <col min="7" max="7" width="4.85546875" style="17" customWidth="1"/>
    <col min="8" max="8" width="23.42578125" style="18" customWidth="1"/>
    <col min="9" max="9" width="6.28515625" customWidth="1"/>
    <col min="10" max="10" width="6.7109375" customWidth="1"/>
    <col min="11" max="11" width="8.28515625" customWidth="1"/>
    <col min="12" max="12" width="8.28515625" style="17" customWidth="1"/>
  </cols>
  <sheetData>
    <row r="3" spans="1:12" ht="13.15" customHeight="1">
      <c r="A3" s="30" t="s">
        <v>86</v>
      </c>
      <c r="B3" s="30"/>
      <c r="C3" s="30"/>
      <c r="D3" s="30" t="s">
        <v>87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21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/>
      <c r="B5" s="32"/>
      <c r="C5" s="32"/>
      <c r="D5" s="32"/>
      <c r="E5" s="32"/>
      <c r="F5" s="32"/>
      <c r="G5" s="2">
        <v>37</v>
      </c>
      <c r="H5" s="21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21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21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21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21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21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21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21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21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21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21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21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21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21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21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21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21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21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21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21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21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21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21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21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21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21" t="s">
        <v>99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21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21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21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21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21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21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21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21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21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21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21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s="18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  <pageSetup paperSize="9" orientation="portrait" horizontalDpi="180" verticalDpi="180"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7"/>
  <dimension ref="A3:M44"/>
  <sheetViews>
    <sheetView topLeftCell="A22" workbookViewId="0">
      <selection activeCell="N7" sqref="N7"/>
    </sheetView>
  </sheetViews>
  <sheetFormatPr defaultRowHeight="13.15" customHeight="1"/>
  <cols>
    <col min="1" max="1" width="4.85546875" style="17" customWidth="1"/>
    <col min="2" max="2" width="28.85546875" customWidth="1"/>
    <col min="3" max="4" width="7" customWidth="1"/>
    <col min="5" max="5" width="8.5703125" customWidth="1"/>
    <col min="6" max="6" width="8.42578125" style="17" customWidth="1"/>
    <col min="7" max="7" width="4.85546875" style="17" customWidth="1"/>
    <col min="8" max="8" width="23.42578125" style="18" customWidth="1"/>
    <col min="9" max="9" width="6.28515625" customWidth="1"/>
    <col min="10" max="10" width="6.7109375" customWidth="1"/>
    <col min="11" max="11" width="8.28515625" customWidth="1"/>
    <col min="12" max="12" width="8.28515625" style="17" customWidth="1"/>
  </cols>
  <sheetData>
    <row r="3" spans="1:12" ht="13.15" customHeight="1">
      <c r="A3" s="30" t="s">
        <v>86</v>
      </c>
      <c r="B3" s="30"/>
      <c r="C3" s="30"/>
      <c r="D3" s="30" t="s">
        <v>87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21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/>
      <c r="B5" s="32"/>
      <c r="C5" s="32"/>
      <c r="D5" s="32"/>
      <c r="E5" s="32"/>
      <c r="F5" s="32"/>
      <c r="G5" s="2">
        <v>37</v>
      </c>
      <c r="H5" s="21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21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21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21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21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21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21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21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21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21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21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21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21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21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21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21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21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21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21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21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21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21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21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21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21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21" t="s">
        <v>99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21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21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21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21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21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21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21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21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21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21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21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s="18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  <pageSetup paperSize="9" orientation="portrait" horizontalDpi="180" verticalDpi="180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8"/>
  <dimension ref="A3:M44"/>
  <sheetViews>
    <sheetView topLeftCell="A22" workbookViewId="0">
      <selection activeCell="N7" sqref="N7"/>
    </sheetView>
  </sheetViews>
  <sheetFormatPr defaultRowHeight="13.15" customHeight="1"/>
  <cols>
    <col min="1" max="1" width="4.85546875" style="17" customWidth="1"/>
    <col min="2" max="2" width="28.85546875" customWidth="1"/>
    <col min="3" max="4" width="7" customWidth="1"/>
    <col min="5" max="5" width="8.5703125" customWidth="1"/>
    <col min="6" max="6" width="8.42578125" style="17" customWidth="1"/>
    <col min="7" max="7" width="4.85546875" style="17" customWidth="1"/>
    <col min="8" max="8" width="23.42578125" style="18" customWidth="1"/>
    <col min="9" max="9" width="6.28515625" customWidth="1"/>
    <col min="10" max="10" width="6.7109375" customWidth="1"/>
    <col min="11" max="11" width="8.28515625" customWidth="1"/>
    <col min="12" max="12" width="8.28515625" style="17" customWidth="1"/>
  </cols>
  <sheetData>
    <row r="3" spans="1:12" ht="13.15" customHeight="1">
      <c r="A3" s="30" t="s">
        <v>86</v>
      </c>
      <c r="B3" s="30"/>
      <c r="C3" s="30"/>
      <c r="D3" s="30" t="s">
        <v>87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21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/>
      <c r="B5" s="32"/>
      <c r="C5" s="32"/>
      <c r="D5" s="32"/>
      <c r="E5" s="32"/>
      <c r="F5" s="32"/>
      <c r="G5" s="2">
        <v>37</v>
      </c>
      <c r="H5" s="21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21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21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21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21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21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21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21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21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21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21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21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21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21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21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21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21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21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21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21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21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21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21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21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21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21" t="s">
        <v>99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21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21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21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21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21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21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21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21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21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21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21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s="18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  <pageSetup paperSize="9" orientation="portrait" horizontalDpi="180" verticalDpi="180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9"/>
  <dimension ref="A3:M44"/>
  <sheetViews>
    <sheetView topLeftCell="B22" workbookViewId="0">
      <selection activeCell="D40" sqref="D40"/>
    </sheetView>
  </sheetViews>
  <sheetFormatPr defaultRowHeight="13.15" customHeight="1"/>
  <cols>
    <col min="1" max="1" width="4.85546875" style="17" customWidth="1"/>
    <col min="2" max="2" width="28.85546875" customWidth="1"/>
    <col min="3" max="4" width="7" customWidth="1"/>
    <col min="5" max="5" width="8.5703125" customWidth="1"/>
    <col min="6" max="6" width="8.42578125" style="17" customWidth="1"/>
    <col min="7" max="7" width="4.85546875" style="17" customWidth="1"/>
    <col min="8" max="8" width="23.42578125" style="18" customWidth="1"/>
    <col min="9" max="9" width="6.28515625" customWidth="1"/>
    <col min="10" max="10" width="6.7109375" customWidth="1"/>
    <col min="11" max="11" width="8.28515625" customWidth="1"/>
    <col min="12" max="12" width="8.28515625" style="17" customWidth="1"/>
  </cols>
  <sheetData>
    <row r="3" spans="1:12" ht="13.15" customHeight="1">
      <c r="A3" s="30" t="s">
        <v>86</v>
      </c>
      <c r="B3" s="30"/>
      <c r="C3" s="30"/>
      <c r="D3" s="30" t="s">
        <v>87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21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/>
      <c r="B5" s="32"/>
      <c r="C5" s="32"/>
      <c r="D5" s="32"/>
      <c r="E5" s="32"/>
      <c r="F5" s="32"/>
      <c r="G5" s="2">
        <v>37</v>
      </c>
      <c r="H5" s="21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21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21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21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21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21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21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21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21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21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21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21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21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21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21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21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21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21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21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21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21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21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21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21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21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21" t="s">
        <v>99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21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21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21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21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21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21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21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21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21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>
        <v>75</v>
      </c>
      <c r="E40" s="2">
        <v>6.75</v>
      </c>
      <c r="F40" s="20">
        <f t="shared" si="1"/>
        <v>506.25</v>
      </c>
      <c r="G40" s="2">
        <v>72</v>
      </c>
      <c r="H40" s="21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21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506.25</v>
      </c>
    </row>
    <row r="44" spans="1:13" ht="13.15" customHeight="1">
      <c r="H44" s="18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  <pageSetup paperSize="9" orientation="portrait" horizontalDpi="180" verticalDpi="180"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20"/>
  <dimension ref="A3:M44"/>
  <sheetViews>
    <sheetView topLeftCell="B22" workbookViewId="0">
      <selection activeCell="N7" sqref="N7"/>
    </sheetView>
  </sheetViews>
  <sheetFormatPr defaultRowHeight="13.15" customHeight="1"/>
  <cols>
    <col min="1" max="1" width="4.85546875" style="17" customWidth="1"/>
    <col min="2" max="2" width="28.85546875" customWidth="1"/>
    <col min="3" max="4" width="7" customWidth="1"/>
    <col min="5" max="5" width="8.5703125" customWidth="1"/>
    <col min="6" max="6" width="8.42578125" style="17" customWidth="1"/>
    <col min="7" max="7" width="4.85546875" style="17" customWidth="1"/>
    <col min="8" max="8" width="23.42578125" style="18" customWidth="1"/>
    <col min="9" max="9" width="6.28515625" customWidth="1"/>
    <col min="10" max="10" width="6.7109375" customWidth="1"/>
    <col min="11" max="11" width="8.28515625" customWidth="1"/>
    <col min="12" max="12" width="8.28515625" style="17" customWidth="1"/>
  </cols>
  <sheetData>
    <row r="3" spans="1:12" ht="13.15" customHeight="1">
      <c r="A3" s="30" t="s">
        <v>86</v>
      </c>
      <c r="B3" s="30"/>
      <c r="C3" s="30"/>
      <c r="D3" s="30" t="s">
        <v>87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21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/>
      <c r="B5" s="32"/>
      <c r="C5" s="32"/>
      <c r="D5" s="32"/>
      <c r="E5" s="32"/>
      <c r="F5" s="32"/>
      <c r="G5" s="2">
        <v>37</v>
      </c>
      <c r="H5" s="21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21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21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21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21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21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21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21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21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21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21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21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21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21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21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21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21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21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21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21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21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21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21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21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21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21" t="s">
        <v>99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21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21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21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21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21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21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21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21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21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21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21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s="18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  <pageSetup paperSize="9" orientation="portrait" horizontalDpi="180" verticalDpi="180"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1"/>
  <dimension ref="A3:M44"/>
  <sheetViews>
    <sheetView topLeftCell="B22" workbookViewId="0">
      <selection activeCell="N7" sqref="N7"/>
    </sheetView>
  </sheetViews>
  <sheetFormatPr defaultRowHeight="13.15" customHeight="1"/>
  <cols>
    <col min="1" max="1" width="4.85546875" style="17" customWidth="1"/>
    <col min="2" max="2" width="28.85546875" customWidth="1"/>
    <col min="3" max="4" width="7" customWidth="1"/>
    <col min="5" max="5" width="8.5703125" customWidth="1"/>
    <col min="6" max="6" width="8.42578125" style="17" customWidth="1"/>
    <col min="7" max="7" width="4.85546875" style="17" customWidth="1"/>
    <col min="8" max="8" width="23.42578125" style="18" customWidth="1"/>
    <col min="9" max="9" width="6.28515625" customWidth="1"/>
    <col min="10" max="10" width="6.7109375" customWidth="1"/>
    <col min="11" max="11" width="8.28515625" customWidth="1"/>
    <col min="12" max="12" width="8.28515625" style="17" customWidth="1"/>
  </cols>
  <sheetData>
    <row r="3" spans="1:12" ht="13.15" customHeight="1">
      <c r="A3" s="30" t="s">
        <v>86</v>
      </c>
      <c r="B3" s="30"/>
      <c r="C3" s="30"/>
      <c r="D3" s="30" t="s">
        <v>87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21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/>
      <c r="B5" s="32"/>
      <c r="C5" s="32"/>
      <c r="D5" s="32"/>
      <c r="E5" s="32"/>
      <c r="F5" s="32"/>
      <c r="G5" s="2">
        <v>37</v>
      </c>
      <c r="H5" s="21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21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21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21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21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21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21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21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21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21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21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21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21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21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21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21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21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21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21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21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21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21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21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21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21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21" t="s">
        <v>99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21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21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21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21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21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21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21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21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21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21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21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s="18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  <pageSetup paperSize="9" orientation="portrait" horizontalDpi="180" verticalDpi="180"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2"/>
  <dimension ref="A3:M44"/>
  <sheetViews>
    <sheetView topLeftCell="B22" workbookViewId="0">
      <selection activeCell="N7" sqref="N7"/>
    </sheetView>
  </sheetViews>
  <sheetFormatPr defaultRowHeight="13.15" customHeight="1"/>
  <cols>
    <col min="1" max="1" width="4.85546875" style="17" customWidth="1"/>
    <col min="2" max="2" width="28.85546875" customWidth="1"/>
    <col min="3" max="4" width="7" customWidth="1"/>
    <col min="5" max="5" width="8.5703125" customWidth="1"/>
    <col min="6" max="6" width="8.42578125" style="17" customWidth="1"/>
    <col min="7" max="7" width="4.85546875" style="17" customWidth="1"/>
    <col min="8" max="8" width="23.42578125" style="18" customWidth="1"/>
    <col min="9" max="9" width="6.28515625" customWidth="1"/>
    <col min="10" max="10" width="6.7109375" customWidth="1"/>
    <col min="11" max="11" width="8.28515625" customWidth="1"/>
    <col min="12" max="12" width="8.28515625" style="17" customWidth="1"/>
  </cols>
  <sheetData>
    <row r="3" spans="1:12" ht="13.15" customHeight="1">
      <c r="A3" s="30" t="s">
        <v>86</v>
      </c>
      <c r="B3" s="30"/>
      <c r="C3" s="30"/>
      <c r="D3" s="30" t="s">
        <v>87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21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/>
      <c r="B5" s="32"/>
      <c r="C5" s="32"/>
      <c r="D5" s="32"/>
      <c r="E5" s="32"/>
      <c r="F5" s="32"/>
      <c r="G5" s="2">
        <v>37</v>
      </c>
      <c r="H5" s="21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21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21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21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21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21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21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21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21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21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21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21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21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21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21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21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21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21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21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21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21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21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21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21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21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21" t="s">
        <v>99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21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21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21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21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21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21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21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21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21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21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21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s="18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  <pageSetup paperSize="9" orientation="portrait" horizontalDpi="180" verticalDpi="180"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3"/>
  <dimension ref="A3:M44"/>
  <sheetViews>
    <sheetView topLeftCell="B22" workbookViewId="0">
      <selection activeCell="N7" sqref="N7"/>
    </sheetView>
  </sheetViews>
  <sheetFormatPr defaultRowHeight="13.15" customHeight="1"/>
  <cols>
    <col min="1" max="1" width="4.85546875" style="17" customWidth="1"/>
    <col min="2" max="2" width="28.85546875" customWidth="1"/>
    <col min="3" max="4" width="7" customWidth="1"/>
    <col min="5" max="5" width="8.5703125" customWidth="1"/>
    <col min="6" max="6" width="8.42578125" style="17" customWidth="1"/>
    <col min="7" max="7" width="4.85546875" style="17" customWidth="1"/>
    <col min="8" max="8" width="23.42578125" style="18" customWidth="1"/>
    <col min="9" max="9" width="6.28515625" customWidth="1"/>
    <col min="10" max="10" width="6.7109375" customWidth="1"/>
    <col min="11" max="11" width="8.28515625" customWidth="1"/>
    <col min="12" max="12" width="8.28515625" style="17" customWidth="1"/>
  </cols>
  <sheetData>
    <row r="3" spans="1:12" ht="13.15" customHeight="1">
      <c r="A3" s="30" t="s">
        <v>86</v>
      </c>
      <c r="B3" s="30"/>
      <c r="C3" s="30"/>
      <c r="D3" s="30" t="s">
        <v>87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21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/>
      <c r="B5" s="32"/>
      <c r="C5" s="32"/>
      <c r="D5" s="32"/>
      <c r="E5" s="32"/>
      <c r="F5" s="32"/>
      <c r="G5" s="2">
        <v>37</v>
      </c>
      <c r="H5" s="21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21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21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21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21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21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21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21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21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21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21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21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21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21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21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21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21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21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21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21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21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21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21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21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21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21" t="s">
        <v>99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21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21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21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21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21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21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21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21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21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21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21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s="18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  <pageSetup paperSize="9" orientation="portrait" horizontalDpi="180" verticalDpi="180"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4"/>
  <dimension ref="A3:M44"/>
  <sheetViews>
    <sheetView topLeftCell="B22" workbookViewId="0">
      <selection activeCell="N7" sqref="N7"/>
    </sheetView>
  </sheetViews>
  <sheetFormatPr defaultRowHeight="13.15" customHeight="1"/>
  <cols>
    <col min="1" max="1" width="4.85546875" style="17" customWidth="1"/>
    <col min="2" max="2" width="28.85546875" customWidth="1"/>
    <col min="3" max="4" width="7" customWidth="1"/>
    <col min="5" max="5" width="8.5703125" customWidth="1"/>
    <col min="6" max="6" width="8.42578125" style="17" customWidth="1"/>
    <col min="7" max="7" width="4.85546875" style="17" customWidth="1"/>
    <col min="8" max="8" width="23.42578125" style="18" customWidth="1"/>
    <col min="9" max="9" width="6.28515625" customWidth="1"/>
    <col min="10" max="10" width="6.7109375" customWidth="1"/>
    <col min="11" max="11" width="8.28515625" customWidth="1"/>
    <col min="12" max="12" width="8.28515625" style="17" customWidth="1"/>
  </cols>
  <sheetData>
    <row r="3" spans="1:12" ht="13.15" customHeight="1">
      <c r="A3" s="30" t="s">
        <v>86</v>
      </c>
      <c r="B3" s="30"/>
      <c r="C3" s="30"/>
      <c r="D3" s="30" t="s">
        <v>87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21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/>
      <c r="B5" s="32"/>
      <c r="C5" s="32"/>
      <c r="D5" s="32"/>
      <c r="E5" s="32"/>
      <c r="F5" s="32"/>
      <c r="G5" s="2">
        <v>37</v>
      </c>
      <c r="H5" s="21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21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21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21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21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21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21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21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21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21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21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21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21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21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21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21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21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21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21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21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21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21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21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21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21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21" t="s">
        <v>99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21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21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21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21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21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21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21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21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21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21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21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s="18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  <pageSetup paperSize="9" orientation="portrait" horizontalDpi="180" verticalDpi="180"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5"/>
  <dimension ref="A3:M44"/>
  <sheetViews>
    <sheetView topLeftCell="B1" workbookViewId="0">
      <selection activeCell="N7" sqref="N7"/>
    </sheetView>
  </sheetViews>
  <sheetFormatPr defaultRowHeight="13.15" customHeight="1"/>
  <cols>
    <col min="1" max="1" width="4.85546875" style="17" customWidth="1"/>
    <col min="2" max="2" width="28.85546875" customWidth="1"/>
    <col min="3" max="4" width="7" customWidth="1"/>
    <col min="5" max="5" width="8.5703125" customWidth="1"/>
    <col min="6" max="6" width="8.42578125" style="17" customWidth="1"/>
    <col min="7" max="7" width="4.85546875" style="17" customWidth="1"/>
    <col min="8" max="8" width="23.42578125" style="18" customWidth="1"/>
    <col min="9" max="9" width="6.28515625" customWidth="1"/>
    <col min="10" max="10" width="6.7109375" customWidth="1"/>
    <col min="11" max="11" width="8.28515625" customWidth="1"/>
    <col min="12" max="12" width="8.28515625" style="17" customWidth="1"/>
  </cols>
  <sheetData>
    <row r="3" spans="1:12" ht="13.15" customHeight="1">
      <c r="A3" s="30" t="s">
        <v>86</v>
      </c>
      <c r="B3" s="30"/>
      <c r="C3" s="30"/>
      <c r="D3" s="30" t="s">
        <v>87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21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/>
      <c r="B5" s="32"/>
      <c r="C5" s="32"/>
      <c r="D5" s="32"/>
      <c r="E5" s="32"/>
      <c r="F5" s="32"/>
      <c r="G5" s="2">
        <v>37</v>
      </c>
      <c r="H5" s="21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21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21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21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21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21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21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21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21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21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21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21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21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21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21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21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21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21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21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21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21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21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21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21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21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21" t="s">
        <v>99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21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21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21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21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21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21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21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21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21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21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21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s="18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  <pageSetup paperSize="9" orientation="portrait" horizontalDpi="180" verticalDpi="180"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6"/>
  <dimension ref="A3:N44"/>
  <sheetViews>
    <sheetView topLeftCell="B1" workbookViewId="0">
      <selection activeCell="N7" sqref="N7"/>
    </sheetView>
  </sheetViews>
  <sheetFormatPr defaultRowHeight="13.15" customHeight="1"/>
  <cols>
    <col min="1" max="1" width="4.85546875" style="17" customWidth="1"/>
    <col min="2" max="2" width="28.85546875" customWidth="1"/>
    <col min="3" max="4" width="7" customWidth="1"/>
    <col min="5" max="5" width="8.5703125" customWidth="1"/>
    <col min="6" max="6" width="8.42578125" style="17" customWidth="1"/>
    <col min="7" max="7" width="4.85546875" style="17" customWidth="1"/>
    <col min="8" max="8" width="23.42578125" style="18" customWidth="1"/>
    <col min="9" max="9" width="6.28515625" customWidth="1"/>
    <col min="10" max="10" width="6.7109375" customWidth="1"/>
    <col min="11" max="11" width="8.28515625" customWidth="1"/>
    <col min="12" max="12" width="8.28515625" style="17" customWidth="1"/>
    <col min="14" max="14" width="10.140625" bestFit="1" customWidth="1"/>
  </cols>
  <sheetData>
    <row r="3" spans="1:14" ht="13.15" customHeight="1">
      <c r="A3" s="30" t="s">
        <v>86</v>
      </c>
      <c r="B3" s="30"/>
      <c r="C3" s="30"/>
      <c r="D3" s="30" t="s">
        <v>87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4" ht="13.15" customHeight="1">
      <c r="A4" s="32"/>
      <c r="B4" s="32"/>
      <c r="C4" s="32"/>
      <c r="D4" s="32"/>
      <c r="E4" s="32"/>
      <c r="F4" s="32"/>
      <c r="G4" s="2">
        <v>36</v>
      </c>
      <c r="H4" s="21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4" ht="13.15" customHeight="1">
      <c r="A5" s="32"/>
      <c r="B5" s="32"/>
      <c r="C5" s="32"/>
      <c r="D5" s="32"/>
      <c r="E5" s="32"/>
      <c r="F5" s="32"/>
      <c r="G5" s="2">
        <v>37</v>
      </c>
      <c r="H5" s="21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4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21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4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21" t="s">
        <v>13</v>
      </c>
      <c r="I7" s="2" t="s">
        <v>9</v>
      </c>
      <c r="J7" s="2"/>
      <c r="K7" s="5">
        <v>2</v>
      </c>
      <c r="L7" s="5">
        <f t="shared" si="0"/>
        <v>0</v>
      </c>
      <c r="N7" s="22"/>
    </row>
    <row r="8" spans="1:14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21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4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21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4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21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4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21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4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21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4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21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4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21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4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21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4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21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21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21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21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21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21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21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21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21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21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21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21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21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21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21" t="s">
        <v>99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21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21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21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21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21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21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21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21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21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21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21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s="18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  <pageSetup paperSize="9" orientation="portrait" horizontalDpi="180" verticalDpi="180"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27">
    <tabColor rgb="FFFF0000"/>
  </sheetPr>
  <dimension ref="A3:M44"/>
  <sheetViews>
    <sheetView workbookViewId="0">
      <selection activeCell="D7" sqref="D7"/>
    </sheetView>
  </sheetViews>
  <sheetFormatPr defaultRowHeight="13.15" customHeight="1"/>
  <cols>
    <col min="1" max="1" width="4.85546875" style="17" customWidth="1"/>
    <col min="2" max="2" width="28.85546875" customWidth="1"/>
    <col min="3" max="3" width="7" customWidth="1"/>
    <col min="4" max="4" width="7" style="17" customWidth="1"/>
    <col min="5" max="5" width="8.5703125" customWidth="1"/>
    <col min="6" max="6" width="8.42578125" style="17" customWidth="1"/>
    <col min="7" max="7" width="4.85546875" style="17" customWidth="1"/>
    <col min="8" max="8" width="23.42578125" style="18" customWidth="1"/>
    <col min="9" max="9" width="6.28515625" customWidth="1"/>
    <col min="10" max="10" width="6.7109375" customWidth="1"/>
    <col min="11" max="11" width="8.28515625" customWidth="1"/>
    <col min="12" max="12" width="8.28515625" style="17" customWidth="1"/>
  </cols>
  <sheetData>
    <row r="3" spans="1:12" ht="13.15" customHeight="1">
      <c r="A3" s="30" t="s">
        <v>86</v>
      </c>
      <c r="B3" s="30"/>
      <c r="C3" s="30"/>
      <c r="D3" s="30" t="s">
        <v>87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21" t="s">
        <v>88</v>
      </c>
      <c r="I4" s="2" t="s">
        <v>9</v>
      </c>
      <c r="J4" s="2">
        <f>'1.1'!J4+'1.2'!J4+'1.3'!J4+'1.4'!J4+'1.5'!J4+'1.6'!J4+'1.7'!J4+'1.8'!J4+'1.9'!J4+'1.10'!J4+'1.11'!J4+'1.12'!J4+'1.13'!J4+'1.14'!J4+'1.15'!J4</f>
        <v>0</v>
      </c>
      <c r="K4" s="5">
        <v>1.4</v>
      </c>
      <c r="L4" s="5">
        <f>J4*K4</f>
        <v>0</v>
      </c>
    </row>
    <row r="5" spans="1:12" ht="13.15" customHeight="1">
      <c r="A5" s="32"/>
      <c r="B5" s="32"/>
      <c r="C5" s="32"/>
      <c r="D5" s="32"/>
      <c r="E5" s="32"/>
      <c r="F5" s="32"/>
      <c r="G5" s="2">
        <v>37</v>
      </c>
      <c r="H5" s="21" t="s">
        <v>10</v>
      </c>
      <c r="I5" s="2" t="s">
        <v>9</v>
      </c>
      <c r="J5" s="2">
        <f>'1.1'!J5+'1.2'!J5+'1.3'!J5+'1.4'!J5+'1.5'!J5+'1.6'!J5+'1.7'!J5+'1.8'!J5+'1.9'!J5+'1.10'!J5+'1.11'!J5+'1.12'!J5+'1.13'!J5+'1.14'!J5+'1.15'!J5</f>
        <v>0</v>
      </c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21" t="s">
        <v>11</v>
      </c>
      <c r="I6" s="2" t="s">
        <v>9</v>
      </c>
      <c r="J6" s="2">
        <f>'1.1'!J6+'1.2'!J6+'1.3'!J6+'1.4'!J6+'1.5'!J6+'1.6'!J6+'1.7'!J6+'1.8'!J6+'1.9'!J6+'1.10'!J6+'1.11'!J6+'1.12'!J6+'1.13'!J6+'1.14'!J6+'1.15'!J6</f>
        <v>0</v>
      </c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>
        <f>'1.1'!D7+'1.2'!D7+'1.3'!D7+'1.4'!D7+'1.5'!D7+'1.6'!D7+'1.7'!D7+'1.8'!D7+'1.9'!D7+'1.10'!D7+'1.11'!D7+'1.12'!D7+'1.13'!D7+'1.14'!D7+'1.15'!D7</f>
        <v>3</v>
      </c>
      <c r="E7" s="5">
        <v>6.85</v>
      </c>
      <c r="F7" s="20">
        <f>D7*E7</f>
        <v>20.549999999999997</v>
      </c>
      <c r="G7" s="2">
        <v>39</v>
      </c>
      <c r="H7" s="21" t="s">
        <v>13</v>
      </c>
      <c r="I7" s="2" t="s">
        <v>9</v>
      </c>
      <c r="J7" s="2">
        <f>'1.1'!J7+'1.2'!J7+'1.3'!J7+'1.4'!J7+'1.5'!J7+'1.6'!J7+'1.7'!J7+'1.8'!J7+'1.9'!J7+'1.10'!J7+'1.11'!J7+'1.12'!J7+'1.13'!J7+'1.14'!J7+'1.15'!J7</f>
        <v>0</v>
      </c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>
        <f>'1.1'!D8+'1.2'!D8+'1.3'!D8+'1.4'!D8+'1.5'!D8+'1.6'!D8+'1.7'!D8+'1.8'!D8+'1.9'!D8+'1.10'!D8+'1.11'!D8+'1.12'!D8+'1.13'!D8+'1.14'!D8+'1.15'!D8</f>
        <v>0</v>
      </c>
      <c r="E8" s="5">
        <v>5</v>
      </c>
      <c r="F8" s="20">
        <f t="shared" ref="F8:F41" si="1">D8*E8</f>
        <v>0</v>
      </c>
      <c r="G8" s="2">
        <v>40</v>
      </c>
      <c r="H8" s="21" t="s">
        <v>15</v>
      </c>
      <c r="I8" s="2" t="s">
        <v>9</v>
      </c>
      <c r="J8" s="2">
        <f>'1.1'!J8+'1.2'!J8+'1.3'!J8+'1.4'!J8+'1.5'!J8+'1.6'!J8+'1.7'!J8+'1.8'!J8+'1.9'!J8+'1.10'!J8+'1.11'!J8+'1.12'!J8+'1.13'!J8+'1.14'!J8+'1.15'!J8</f>
        <v>0</v>
      </c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>
        <f>'1.1'!D9+'1.2'!D9+'1.3'!D9+'1.4'!D9+'1.5'!D9+'1.6'!D9+'1.7'!D9+'1.8'!D9+'1.9'!D9+'1.10'!D9+'1.11'!D9+'1.12'!D9+'1.13'!D9+'1.14'!D9+'1.15'!D9</f>
        <v>0</v>
      </c>
      <c r="E9" s="5">
        <v>5.6</v>
      </c>
      <c r="F9" s="20">
        <f t="shared" si="1"/>
        <v>0</v>
      </c>
      <c r="G9" s="2">
        <v>41</v>
      </c>
      <c r="H9" s="21" t="s">
        <v>17</v>
      </c>
      <c r="I9" s="2" t="s">
        <v>9</v>
      </c>
      <c r="J9" s="2">
        <f>'1.1'!J9+'1.2'!J9+'1.3'!J9+'1.4'!J9+'1.5'!J9+'1.6'!J9+'1.7'!J9+'1.8'!J9+'1.9'!J9+'1.10'!J9+'1.11'!J9+'1.12'!J9+'1.13'!J9+'1.14'!J9+'1.15'!J9</f>
        <v>0</v>
      </c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>
        <f>'1.1'!D10+'1.2'!D10+'1.3'!D10+'1.4'!D10+'1.5'!D10+'1.6'!D10+'1.7'!D10+'1.8'!D10+'1.9'!D10+'1.10'!D10+'1.11'!D10+'1.12'!D10+'1.13'!D10+'1.14'!D10+'1.15'!D10</f>
        <v>0</v>
      </c>
      <c r="E10" s="5">
        <v>7.35</v>
      </c>
      <c r="F10" s="20">
        <f t="shared" si="1"/>
        <v>0</v>
      </c>
      <c r="G10" s="2">
        <v>42</v>
      </c>
      <c r="H10" s="21" t="s">
        <v>19</v>
      </c>
      <c r="I10" s="2" t="s">
        <v>9</v>
      </c>
      <c r="J10" s="2">
        <f>'1.1'!J10+'1.2'!J10+'1.3'!J10+'1.4'!J10+'1.5'!J10+'1.6'!J10+'1.7'!J10+'1.8'!J10+'1.9'!J10+'1.10'!J10+'1.11'!J10+'1.12'!J10+'1.13'!J10+'1.14'!J10+'1.15'!J10</f>
        <v>0</v>
      </c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>
        <f>'1.1'!D11+'1.2'!D11+'1.3'!D11+'1.4'!D11+'1.5'!D11+'1.6'!D11+'1.7'!D11+'1.8'!D11+'1.9'!D11+'1.10'!D11+'1.11'!D11+'1.12'!D11+'1.13'!D11+'1.14'!D11+'1.15'!D11</f>
        <v>0</v>
      </c>
      <c r="E11" s="5">
        <v>5.25</v>
      </c>
      <c r="F11" s="20">
        <f t="shared" si="1"/>
        <v>0</v>
      </c>
      <c r="G11" s="2">
        <v>43</v>
      </c>
      <c r="H11" s="21" t="s">
        <v>21</v>
      </c>
      <c r="I11" s="2" t="s">
        <v>9</v>
      </c>
      <c r="J11" s="2">
        <f>'1.1'!J11+'1.2'!J11+'1.3'!J11+'1.4'!J11+'1.5'!J11+'1.6'!J11+'1.7'!J11+'1.8'!J11+'1.9'!J11+'1.10'!J11+'1.11'!J11+'1.12'!J11+'1.13'!J11+'1.14'!J11+'1.15'!J11</f>
        <v>0</v>
      </c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>
        <f>'1.1'!D12+'1.2'!D12+'1.3'!D12+'1.4'!D12+'1.5'!D12+'1.6'!D12+'1.7'!D12+'1.8'!D12+'1.9'!D12+'1.10'!D12+'1.11'!D12+'1.12'!D12+'1.13'!D12+'1.14'!D12+'1.15'!D12</f>
        <v>0</v>
      </c>
      <c r="E12" s="5">
        <v>6</v>
      </c>
      <c r="F12" s="20">
        <f t="shared" si="1"/>
        <v>0</v>
      </c>
      <c r="G12" s="2">
        <v>44</v>
      </c>
      <c r="H12" s="21" t="s">
        <v>23</v>
      </c>
      <c r="I12" s="2" t="s">
        <v>9</v>
      </c>
      <c r="J12" s="2">
        <f>'1.1'!J12+'1.2'!J12+'1.3'!J12+'1.4'!J12+'1.5'!J12+'1.6'!J12+'1.7'!J12+'1.8'!J12+'1.9'!J12+'1.10'!J12+'1.11'!J12+'1.12'!J12+'1.13'!J12+'1.14'!J12+'1.15'!J12</f>
        <v>0</v>
      </c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>
        <f>'1.1'!D13+'1.2'!D13+'1.3'!D13+'1.4'!D13+'1.5'!D13+'1.6'!D13+'1.7'!D13+'1.8'!D13+'1.9'!D13+'1.10'!D13+'1.11'!D13+'1.12'!D13+'1.13'!D13+'1.14'!D13+'1.15'!D13</f>
        <v>0</v>
      </c>
      <c r="E13" s="5">
        <v>5.75</v>
      </c>
      <c r="F13" s="20">
        <f t="shared" si="1"/>
        <v>0</v>
      </c>
      <c r="G13" s="2">
        <v>45</v>
      </c>
      <c r="H13" s="21" t="s">
        <v>25</v>
      </c>
      <c r="I13" s="2" t="s">
        <v>9</v>
      </c>
      <c r="J13" s="2">
        <f>'1.1'!J13+'1.2'!J13+'1.3'!J13+'1.4'!J13+'1.5'!J13+'1.6'!J13+'1.7'!J13+'1.8'!J13+'1.9'!J13+'1.10'!J13+'1.11'!J13+'1.12'!J13+'1.13'!J13+'1.14'!J13+'1.15'!J13</f>
        <v>0</v>
      </c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>
        <f>'1.1'!D14+'1.2'!D14+'1.3'!D14+'1.4'!D14+'1.5'!D14+'1.6'!D14+'1.7'!D14+'1.8'!D14+'1.9'!D14+'1.10'!D14+'1.11'!D14+'1.12'!D14+'1.13'!D14+'1.14'!D14+'1.15'!D14</f>
        <v>0</v>
      </c>
      <c r="E14" s="5">
        <v>6.2</v>
      </c>
      <c r="F14" s="20">
        <f t="shared" si="1"/>
        <v>0</v>
      </c>
      <c r="G14" s="2">
        <v>46</v>
      </c>
      <c r="H14" s="21" t="s">
        <v>90</v>
      </c>
      <c r="I14" s="2" t="s">
        <v>9</v>
      </c>
      <c r="J14" s="2">
        <f>'1.1'!J14+'1.2'!J14+'1.3'!J14+'1.4'!J14+'1.5'!J14+'1.6'!J14+'1.7'!J14+'1.8'!J14+'1.9'!J14+'1.10'!J14+'1.11'!J14+'1.12'!J14+'1.13'!J14+'1.14'!J14+'1.15'!J14</f>
        <v>0</v>
      </c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>
        <f>'1.1'!D15+'1.2'!D15+'1.3'!D15+'1.4'!D15+'1.5'!D15+'1.6'!D15+'1.7'!D15+'1.8'!D15+'1.9'!D15+'1.10'!D15+'1.11'!D15+'1.12'!D15+'1.13'!D15+'1.14'!D15+'1.15'!D15</f>
        <v>0</v>
      </c>
      <c r="E15" s="5">
        <v>4</v>
      </c>
      <c r="F15" s="20">
        <f t="shared" si="1"/>
        <v>0</v>
      </c>
      <c r="G15" s="2">
        <v>47</v>
      </c>
      <c r="H15" s="21" t="s">
        <v>29</v>
      </c>
      <c r="I15" s="2" t="s">
        <v>9</v>
      </c>
      <c r="J15" s="2">
        <f>'1.1'!J15+'1.2'!J15+'1.3'!J15+'1.4'!J15+'1.5'!J15+'1.6'!J15+'1.7'!J15+'1.8'!J15+'1.9'!J15+'1.10'!J15+'1.11'!J15+'1.12'!J15+'1.13'!J15+'1.14'!J15+'1.15'!J15</f>
        <v>0</v>
      </c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>
        <f>'1.1'!D16+'1.2'!D16+'1.3'!D16+'1.4'!D16+'1.5'!D16+'1.6'!D16+'1.7'!D16+'1.8'!D16+'1.9'!D16+'1.10'!D16+'1.11'!D16+'1.12'!D16+'1.13'!D16+'1.14'!D16+'1.15'!D16</f>
        <v>0</v>
      </c>
      <c r="E16" s="5">
        <v>6.15</v>
      </c>
      <c r="F16" s="20">
        <f t="shared" si="1"/>
        <v>0</v>
      </c>
      <c r="G16" s="2">
        <v>48</v>
      </c>
      <c r="H16" s="21" t="s">
        <v>31</v>
      </c>
      <c r="I16" s="2" t="s">
        <v>9</v>
      </c>
      <c r="J16" s="2">
        <f>'1.1'!J16+'1.2'!J16+'1.3'!J16+'1.4'!J16+'1.5'!J16+'1.6'!J16+'1.7'!J16+'1.8'!J16+'1.9'!J16+'1.10'!J16+'1.11'!J16+'1.12'!J16+'1.13'!J16+'1.14'!J16+'1.15'!J16</f>
        <v>0</v>
      </c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>
        <f>'1.1'!D17+'1.2'!D17+'1.3'!D17+'1.4'!D17+'1.5'!D17+'1.6'!D17+'1.7'!D17+'1.8'!D17+'1.9'!D17+'1.10'!D17+'1.11'!D17+'1.12'!D17+'1.13'!D17+'1.14'!D17+'1.15'!D17</f>
        <v>0</v>
      </c>
      <c r="E17" s="5">
        <v>6.3</v>
      </c>
      <c r="F17" s="20">
        <f t="shared" si="1"/>
        <v>0</v>
      </c>
      <c r="G17" s="2">
        <v>49</v>
      </c>
      <c r="H17" s="21" t="s">
        <v>33</v>
      </c>
      <c r="I17" s="2" t="s">
        <v>9</v>
      </c>
      <c r="J17" s="2">
        <f>'1.1'!J17+'1.2'!J17+'1.3'!J17+'1.4'!J17+'1.5'!J17+'1.6'!J17+'1.7'!J17+'1.8'!J17+'1.9'!J17+'1.10'!J17+'1.11'!J17+'1.12'!J17+'1.13'!J17+'1.14'!J17+'1.15'!J17</f>
        <v>0</v>
      </c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>
        <f>'1.1'!D18+'1.2'!D18+'1.3'!D18+'1.4'!D18+'1.5'!D18+'1.6'!D18+'1.7'!D18+'1.8'!D18+'1.9'!D18+'1.10'!D18+'1.11'!D18+'1.12'!D18+'1.13'!D18+'1.14'!D18+'1.15'!D18</f>
        <v>0</v>
      </c>
      <c r="E18" s="5">
        <v>6.3</v>
      </c>
      <c r="F18" s="20">
        <f t="shared" si="1"/>
        <v>0</v>
      </c>
      <c r="G18" s="2">
        <v>50</v>
      </c>
      <c r="H18" s="21" t="s">
        <v>92</v>
      </c>
      <c r="I18" s="2" t="s">
        <v>9</v>
      </c>
      <c r="J18" s="2">
        <f>'1.1'!J18+'1.2'!J18+'1.3'!J18+'1.4'!J18+'1.5'!J18+'1.6'!J18+'1.7'!J18+'1.8'!J18+'1.9'!J18+'1.10'!J18+'1.11'!J18+'1.12'!J18+'1.13'!J18+'1.14'!J18+'1.15'!J18</f>
        <v>0</v>
      </c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>
        <f>'1.1'!D19+'1.2'!D19+'1.3'!D19+'1.4'!D19+'1.5'!D19+'1.6'!D19+'1.7'!D19+'1.8'!D19+'1.9'!D19+'1.10'!D19+'1.11'!D19+'1.12'!D19+'1.13'!D19+'1.14'!D19+'1.15'!D19</f>
        <v>0</v>
      </c>
      <c r="E19" s="5">
        <v>6.8</v>
      </c>
      <c r="F19" s="20">
        <f t="shared" si="1"/>
        <v>0</v>
      </c>
      <c r="G19" s="2">
        <v>51</v>
      </c>
      <c r="H19" s="21" t="s">
        <v>93</v>
      </c>
      <c r="I19" s="2" t="s">
        <v>9</v>
      </c>
      <c r="J19" s="2">
        <f>'1.1'!J19+'1.2'!J19+'1.3'!J19+'1.4'!J19+'1.5'!J19+'1.6'!J19+'1.7'!J19+'1.8'!J19+'1.9'!J19+'1.10'!J19+'1.11'!J19+'1.12'!J19+'1.13'!J19+'1.14'!J19+'1.15'!J19</f>
        <v>0</v>
      </c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>
        <f>'1.1'!D20+'1.2'!D20+'1.3'!D20+'1.4'!D20+'1.5'!D20+'1.6'!D20+'1.7'!D20+'1.8'!D20+'1.9'!D20+'1.10'!D20+'1.11'!D20+'1.12'!D20+'1.13'!D20+'1.14'!D20+'1.15'!D20</f>
        <v>0</v>
      </c>
      <c r="E20" s="5">
        <v>5.0999999999999996</v>
      </c>
      <c r="F20" s="20">
        <f t="shared" si="1"/>
        <v>0</v>
      </c>
      <c r="G20" s="2">
        <v>52</v>
      </c>
      <c r="H20" s="21" t="s">
        <v>39</v>
      </c>
      <c r="I20" s="2" t="s">
        <v>9</v>
      </c>
      <c r="J20" s="2">
        <f>'1.1'!J20+'1.2'!J20+'1.3'!J20+'1.4'!J20+'1.5'!J20+'1.6'!J20+'1.7'!J20+'1.8'!J20+'1.9'!J20+'1.10'!J20+'1.11'!J20+'1.12'!J20+'1.13'!J20+'1.14'!J20+'1.15'!J20</f>
        <v>0</v>
      </c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>
        <f>'1.1'!D21+'1.2'!D21+'1.3'!D21+'1.4'!D21+'1.5'!D21+'1.6'!D21+'1.7'!D21+'1.8'!D21+'1.9'!D21+'1.10'!D21+'1.11'!D21+'1.12'!D21+'1.13'!D21+'1.14'!D21+'1.15'!D21</f>
        <v>0</v>
      </c>
      <c r="E21" s="5">
        <v>5.6</v>
      </c>
      <c r="F21" s="20">
        <f t="shared" si="1"/>
        <v>0</v>
      </c>
      <c r="G21" s="2">
        <v>53</v>
      </c>
      <c r="H21" s="21" t="s">
        <v>94</v>
      </c>
      <c r="I21" s="2" t="s">
        <v>9</v>
      </c>
      <c r="J21" s="2">
        <f>'1.1'!J21+'1.2'!J21+'1.3'!J21+'1.4'!J21+'1.5'!J21+'1.6'!J21+'1.7'!J21+'1.8'!J21+'1.9'!J21+'1.10'!J21+'1.11'!J21+'1.12'!J21+'1.13'!J21+'1.14'!J21+'1.15'!J21</f>
        <v>0</v>
      </c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>
        <f>'1.1'!D22+'1.2'!D22+'1.3'!D22+'1.4'!D22+'1.5'!D22+'1.6'!D22+'1.7'!D22+'1.8'!D22+'1.9'!D22+'1.10'!D22+'1.11'!D22+'1.12'!D22+'1.13'!D22+'1.14'!D22+'1.15'!D22</f>
        <v>0</v>
      </c>
      <c r="E22" s="5">
        <v>2.4</v>
      </c>
      <c r="F22" s="20">
        <f t="shared" si="1"/>
        <v>0</v>
      </c>
      <c r="G22" s="2">
        <v>54</v>
      </c>
      <c r="H22" s="21" t="s">
        <v>95</v>
      </c>
      <c r="I22" s="2" t="s">
        <v>9</v>
      </c>
      <c r="J22" s="2">
        <f>'1.1'!J22+'1.2'!J22+'1.3'!J22+'1.4'!J22+'1.5'!J22+'1.6'!J22+'1.7'!J22+'1.8'!J22+'1.9'!J22+'1.10'!J22+'1.11'!J22+'1.12'!J22+'1.13'!J22+'1.14'!J22+'1.15'!J22</f>
        <v>0</v>
      </c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>
        <f>'1.1'!D23+'1.2'!D23+'1.3'!D23+'1.4'!D23+'1.5'!D23+'1.6'!D23+'1.7'!D23+'1.8'!D23+'1.9'!D23+'1.10'!D23+'1.11'!D23+'1.12'!D23+'1.13'!D23+'1.14'!D23+'1.15'!D23</f>
        <v>0</v>
      </c>
      <c r="E23" s="5">
        <v>1.3</v>
      </c>
      <c r="F23" s="20">
        <f t="shared" si="1"/>
        <v>0</v>
      </c>
      <c r="G23" s="2">
        <v>55</v>
      </c>
      <c r="H23" s="21" t="s">
        <v>41</v>
      </c>
      <c r="I23" s="2" t="s">
        <v>9</v>
      </c>
      <c r="J23" s="2">
        <f>'1.1'!J23+'1.2'!J23+'1.3'!J23+'1.4'!J23+'1.5'!J23+'1.6'!J23+'1.7'!J23+'1.8'!J23+'1.9'!J23+'1.10'!J23+'1.11'!J23+'1.12'!J23+'1.13'!J23+'1.14'!J23+'1.15'!J23</f>
        <v>0</v>
      </c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>
        <f>'1.1'!D24+'1.2'!D24+'1.3'!D24+'1.4'!D24+'1.5'!D24+'1.6'!D24+'1.7'!D24+'1.8'!D24+'1.9'!D24+'1.10'!D24+'1.11'!D24+'1.12'!D24+'1.13'!D24+'1.14'!D24+'1.15'!D24</f>
        <v>0</v>
      </c>
      <c r="E24" s="5">
        <v>6</v>
      </c>
      <c r="F24" s="20">
        <f t="shared" si="1"/>
        <v>0</v>
      </c>
      <c r="G24" s="2">
        <v>56</v>
      </c>
      <c r="H24" s="21" t="s">
        <v>47</v>
      </c>
      <c r="I24" s="2" t="s">
        <v>9</v>
      </c>
      <c r="J24" s="2">
        <f>'1.1'!J24+'1.2'!J24+'1.3'!J24+'1.4'!J24+'1.5'!J24+'1.6'!J24+'1.7'!J24+'1.8'!J24+'1.9'!J24+'1.10'!J24+'1.11'!J24+'1.12'!J24+'1.13'!J24+'1.14'!J24+'1.15'!J24</f>
        <v>0</v>
      </c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>
        <f>'1.1'!D25+'1.2'!D25+'1.3'!D25+'1.4'!D25+'1.5'!D25+'1.6'!D25+'1.7'!D25+'1.8'!D25+'1.9'!D25+'1.10'!D25+'1.11'!D25+'1.12'!D25+'1.13'!D25+'1.14'!D25+'1.15'!D25</f>
        <v>0</v>
      </c>
      <c r="E25" s="5">
        <v>6.75</v>
      </c>
      <c r="F25" s="20">
        <f t="shared" si="1"/>
        <v>0</v>
      </c>
      <c r="G25" s="2">
        <v>57</v>
      </c>
      <c r="H25" s="21" t="s">
        <v>49</v>
      </c>
      <c r="I25" s="2" t="s">
        <v>9</v>
      </c>
      <c r="J25" s="2">
        <f>'1.1'!J25+'1.2'!J25+'1.3'!J25+'1.4'!J25+'1.5'!J25+'1.6'!J25+'1.7'!J25+'1.8'!J25+'1.9'!J25+'1.10'!J25+'1.11'!J25+'1.12'!J25+'1.13'!J25+'1.14'!J25+'1.15'!J25</f>
        <v>0</v>
      </c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>
        <f>'1.1'!D26+'1.2'!D26+'1.3'!D26+'1.4'!D26+'1.5'!D26+'1.6'!D26+'1.7'!D26+'1.8'!D26+'1.9'!D26+'1.10'!D26+'1.11'!D26+'1.12'!D26+'1.13'!D26+'1.14'!D26+'1.15'!D26</f>
        <v>0</v>
      </c>
      <c r="E26" s="5">
        <v>6.4</v>
      </c>
      <c r="F26" s="20">
        <f t="shared" si="1"/>
        <v>0</v>
      </c>
      <c r="G26" s="2">
        <v>58</v>
      </c>
      <c r="H26" s="21" t="s">
        <v>51</v>
      </c>
      <c r="I26" s="2" t="s">
        <v>9</v>
      </c>
      <c r="J26" s="2">
        <f>'1.1'!J26+'1.2'!J26+'1.3'!J26+'1.4'!J26+'1.5'!J26+'1.6'!J26+'1.7'!J26+'1.8'!J26+'1.9'!J26+'1.10'!J26+'1.11'!J26+'1.12'!J26+'1.13'!J26+'1.14'!J26+'1.15'!J26</f>
        <v>0</v>
      </c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>
        <f>'1.1'!D27+'1.2'!D27+'1.3'!D27+'1.4'!D27+'1.5'!D27+'1.6'!D27+'1.7'!D27+'1.8'!D27+'1.9'!D27+'1.10'!D27+'1.11'!D27+'1.12'!D27+'1.13'!D27+'1.14'!D27+'1.15'!D27</f>
        <v>0</v>
      </c>
      <c r="E27" s="5">
        <v>7.1</v>
      </c>
      <c r="F27" s="20">
        <f t="shared" si="1"/>
        <v>0</v>
      </c>
      <c r="G27" s="2">
        <v>59</v>
      </c>
      <c r="H27" s="21" t="s">
        <v>97</v>
      </c>
      <c r="I27" s="2" t="s">
        <v>9</v>
      </c>
      <c r="J27" s="2">
        <f>'1.1'!J27+'1.2'!J27+'1.3'!J27+'1.4'!J27+'1.5'!J27+'1.6'!J27+'1.7'!J27+'1.8'!J27+'1.9'!J27+'1.10'!J27+'1.11'!J27+'1.12'!J27+'1.13'!J27+'1.14'!J27+'1.15'!J27</f>
        <v>0</v>
      </c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>
        <f>'1.1'!D28+'1.2'!D28+'1.3'!D28+'1.4'!D28+'1.5'!D28+'1.6'!D28+'1.7'!D28+'1.8'!D28+'1.9'!D28+'1.10'!D28+'1.11'!D28+'1.12'!D28+'1.13'!D28+'1.14'!D28+'1.15'!D28</f>
        <v>0</v>
      </c>
      <c r="E28" s="5">
        <v>5.7</v>
      </c>
      <c r="F28" s="20">
        <f t="shared" si="1"/>
        <v>0</v>
      </c>
      <c r="G28" s="2">
        <v>60</v>
      </c>
      <c r="H28" s="21" t="s">
        <v>55</v>
      </c>
      <c r="I28" s="2" t="s">
        <v>9</v>
      </c>
      <c r="J28" s="2">
        <f>'1.1'!J28+'1.2'!J28+'1.3'!J28+'1.4'!J28+'1.5'!J28+'1.6'!J28+'1.7'!J28+'1.8'!J28+'1.9'!J28+'1.10'!J28+'1.11'!J28+'1.12'!J28+'1.13'!J28+'1.14'!J28+'1.15'!J28</f>
        <v>0</v>
      </c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>
        <f>'1.1'!D29+'1.2'!D29+'1.3'!D29+'1.4'!D29+'1.5'!D29+'1.6'!D29+'1.7'!D29+'1.8'!D29+'1.9'!D29+'1.10'!D29+'1.11'!D29+'1.12'!D29+'1.13'!D29+'1.14'!D29+'1.15'!D29</f>
        <v>0</v>
      </c>
      <c r="E29" s="5">
        <v>4.75</v>
      </c>
      <c r="F29" s="20">
        <f t="shared" si="1"/>
        <v>0</v>
      </c>
      <c r="G29" s="2">
        <v>61</v>
      </c>
      <c r="H29" s="21" t="s">
        <v>98</v>
      </c>
      <c r="I29" s="2" t="s">
        <v>9</v>
      </c>
      <c r="J29" s="2">
        <f>'1.1'!J29+'1.2'!J29+'1.3'!J29+'1.4'!J29+'1.5'!J29+'1.6'!J29+'1.7'!J29+'1.8'!J29+'1.9'!J29+'1.10'!J29+'1.11'!J29+'1.12'!J29+'1.13'!J29+'1.14'!J29+'1.15'!J29</f>
        <v>0</v>
      </c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>
        <f>'1.1'!D30+'1.2'!D30+'1.3'!D30+'1.4'!D30+'1.5'!D30+'1.6'!D30+'1.7'!D30+'1.8'!D30+'1.9'!D30+'1.10'!D30+'1.11'!D30+'1.12'!D30+'1.13'!D30+'1.14'!D30+'1.15'!D30</f>
        <v>0</v>
      </c>
      <c r="E30" s="5">
        <v>5.25</v>
      </c>
      <c r="F30" s="20">
        <f t="shared" si="1"/>
        <v>0</v>
      </c>
      <c r="G30" s="2">
        <v>62</v>
      </c>
      <c r="H30" s="21" t="s">
        <v>99</v>
      </c>
      <c r="I30" s="2" t="s">
        <v>9</v>
      </c>
      <c r="J30" s="2">
        <f>'1.1'!J30+'1.2'!J30+'1.3'!J30+'1.4'!J30+'1.5'!J30+'1.6'!J30+'1.7'!J30+'1.8'!J30+'1.9'!J30+'1.10'!J30+'1.11'!J30+'1.12'!J30+'1.13'!J30+'1.14'!J30+'1.15'!J30</f>
        <v>0</v>
      </c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>
        <f>'1.1'!D31+'1.2'!D31+'1.3'!D31+'1.4'!D31+'1.5'!D31+'1.6'!D31+'1.7'!D31+'1.8'!D31+'1.9'!D31+'1.10'!D31+'1.11'!D31+'1.12'!D31+'1.13'!D31+'1.14'!D31+'1.15'!D31</f>
        <v>0</v>
      </c>
      <c r="E31" s="5">
        <v>6</v>
      </c>
      <c r="F31" s="20">
        <f t="shared" si="1"/>
        <v>0</v>
      </c>
      <c r="G31" s="2">
        <v>63</v>
      </c>
      <c r="H31" s="21" t="s">
        <v>100</v>
      </c>
      <c r="I31" s="2" t="s">
        <v>9</v>
      </c>
      <c r="J31" s="2">
        <f>'1.1'!J31+'1.2'!J31+'1.3'!J31+'1.4'!J31+'1.5'!J31+'1.6'!J31+'1.7'!J31+'1.8'!J31+'1.9'!J31+'1.10'!J31+'1.11'!J31+'1.12'!J31+'1.13'!J31+'1.14'!J31+'1.15'!J31</f>
        <v>0</v>
      </c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>
        <f>'1.1'!D32+'1.2'!D32+'1.3'!D32+'1.4'!D32+'1.5'!D32+'1.6'!D32+'1.7'!D32+'1.8'!D32+'1.9'!D32+'1.10'!D32+'1.11'!D32+'1.12'!D32+'1.13'!D32+'1.14'!D32+'1.15'!D32</f>
        <v>0</v>
      </c>
      <c r="E32" s="5">
        <v>4.8</v>
      </c>
      <c r="F32" s="5">
        <f t="shared" si="1"/>
        <v>0</v>
      </c>
      <c r="G32" s="2">
        <v>64</v>
      </c>
      <c r="H32" s="21" t="s">
        <v>101</v>
      </c>
      <c r="I32" s="2" t="s">
        <v>9</v>
      </c>
      <c r="J32" s="2">
        <f>'1.1'!J32+'1.2'!J32+'1.3'!J32+'1.4'!J32+'1.5'!J32+'1.6'!J32+'1.7'!J32+'1.8'!J32+'1.9'!J32+'1.10'!J32+'1.11'!J32+'1.12'!J32+'1.13'!J32+'1.14'!J32+'1.15'!J32</f>
        <v>0</v>
      </c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>
        <f>'1.1'!D33+'1.2'!D33+'1.3'!D33+'1.4'!D33+'1.5'!D33+'1.6'!D33+'1.7'!D33+'1.8'!D33+'1.9'!D33+'1.10'!D33+'1.11'!D33+'1.12'!D33+'1.13'!D33+'1.14'!D33+'1.15'!D33</f>
        <v>0</v>
      </c>
      <c r="E33" s="5">
        <v>6.25</v>
      </c>
      <c r="F33" s="5">
        <f t="shared" si="1"/>
        <v>0</v>
      </c>
      <c r="G33" s="2">
        <v>65</v>
      </c>
      <c r="H33" s="21" t="s">
        <v>103</v>
      </c>
      <c r="I33" s="2" t="s">
        <v>9</v>
      </c>
      <c r="J33" s="2">
        <f>'1.1'!J33+'1.2'!J33+'1.3'!J33+'1.4'!J33+'1.5'!J33+'1.6'!J33+'1.7'!J33+'1.8'!J33+'1.9'!J33+'1.10'!J33+'1.11'!J33+'1.12'!J33+'1.13'!J33+'1.14'!J33+'1.15'!J33</f>
        <v>0</v>
      </c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>
        <f>'1.1'!D34+'1.2'!D34+'1.3'!D34+'1.4'!D34+'1.5'!D34+'1.6'!D34+'1.7'!D34+'1.8'!D34+'1.9'!D34+'1.10'!D34+'1.11'!D34+'1.12'!D34+'1.13'!D34+'1.14'!D34+'1.15'!D34</f>
        <v>0</v>
      </c>
      <c r="E34" s="5">
        <v>8</v>
      </c>
      <c r="F34" s="20">
        <f t="shared" si="1"/>
        <v>0</v>
      </c>
      <c r="G34" s="2">
        <v>66</v>
      </c>
      <c r="H34" s="21" t="s">
        <v>105</v>
      </c>
      <c r="I34" s="2" t="s">
        <v>9</v>
      </c>
      <c r="J34" s="2">
        <f>'1.1'!J34+'1.2'!J34+'1.3'!J34+'1.4'!J34+'1.5'!J34+'1.6'!J34+'1.7'!J34+'1.8'!J34+'1.9'!J34+'1.10'!J34+'1.11'!J34+'1.12'!J34+'1.13'!J34+'1.14'!J34+'1.15'!J34</f>
        <v>0</v>
      </c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>
        <f>'1.1'!D35+'1.2'!D35+'1.3'!D35+'1.4'!D35+'1.5'!D35+'1.6'!D35+'1.7'!D35+'1.8'!D35+'1.9'!D35+'1.10'!D35+'1.11'!D35+'1.12'!D35+'1.13'!D35+'1.14'!D35+'1.15'!D35</f>
        <v>0</v>
      </c>
      <c r="E35" s="5">
        <v>5.8</v>
      </c>
      <c r="F35" s="5">
        <f t="shared" si="1"/>
        <v>0</v>
      </c>
      <c r="G35" s="2">
        <v>67</v>
      </c>
      <c r="H35" s="21" t="s">
        <v>65</v>
      </c>
      <c r="I35" s="2" t="s">
        <v>9</v>
      </c>
      <c r="J35" s="2">
        <f>'1.1'!J35+'1.2'!J35+'1.3'!J35+'1.4'!J35+'1.5'!J35+'1.6'!J35+'1.7'!J35+'1.8'!J35+'1.9'!J35+'1.10'!J35+'1.11'!J35+'1.12'!J35+'1.13'!J35+'1.14'!J35+'1.15'!J35</f>
        <v>0</v>
      </c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>
        <f>'1.1'!D36+'1.2'!D36+'1.3'!D36+'1.4'!D36+'1.5'!D36+'1.6'!D36+'1.7'!D36+'1.8'!D36+'1.9'!D36+'1.10'!D36+'1.11'!D36+'1.12'!D36+'1.13'!D36+'1.14'!D36+'1.15'!D36</f>
        <v>0</v>
      </c>
      <c r="E36" s="5">
        <v>6.25</v>
      </c>
      <c r="F36" s="5">
        <f t="shared" si="1"/>
        <v>0</v>
      </c>
      <c r="G36" s="2">
        <v>68</v>
      </c>
      <c r="H36" s="21" t="s">
        <v>106</v>
      </c>
      <c r="I36" s="2" t="s">
        <v>9</v>
      </c>
      <c r="J36" s="2">
        <f>'1.1'!J36+'1.2'!J36+'1.3'!J36+'1.4'!J36+'1.5'!J36+'1.6'!J36+'1.7'!J36+'1.8'!J36+'1.9'!J36+'1.10'!J36+'1.11'!J36+'1.12'!J36+'1.13'!J36+'1.14'!J36+'1.15'!J36</f>
        <v>0</v>
      </c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>
        <f>'1.1'!D37+'1.2'!D37+'1.3'!D37+'1.4'!D37+'1.5'!D37+'1.6'!D37+'1.7'!D37+'1.8'!D37+'1.9'!D37+'1.10'!D37+'1.11'!D37+'1.12'!D37+'1.13'!D37+'1.14'!D37+'1.15'!D37</f>
        <v>0</v>
      </c>
      <c r="E37" s="5">
        <v>5.8</v>
      </c>
      <c r="F37" s="20">
        <f t="shared" si="1"/>
        <v>0</v>
      </c>
      <c r="G37" s="2">
        <v>69</v>
      </c>
      <c r="H37" s="21" t="s">
        <v>107</v>
      </c>
      <c r="I37" s="2" t="s">
        <v>9</v>
      </c>
      <c r="J37" s="2">
        <f>'1.1'!J37+'1.2'!J37+'1.3'!J37+'1.4'!J37+'1.5'!J37+'1.6'!J37+'1.7'!J37+'1.8'!J37+'1.9'!J37+'1.10'!J37+'1.11'!J37+'1.12'!J37+'1.13'!J37+'1.14'!J37+'1.15'!J37</f>
        <v>0</v>
      </c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>
        <f>'1.1'!D38+'1.2'!D38+'1.3'!D38+'1.4'!D38+'1.5'!D38+'1.6'!D38+'1.7'!D38+'1.8'!D38+'1.9'!D38+'1.10'!D38+'1.11'!D38+'1.12'!D38+'1.13'!D38+'1.14'!D38+'1.15'!D38</f>
        <v>0</v>
      </c>
      <c r="E38" s="2">
        <v>2.35</v>
      </c>
      <c r="F38" s="20">
        <f t="shared" si="1"/>
        <v>0</v>
      </c>
      <c r="G38" s="2">
        <v>70</v>
      </c>
      <c r="H38" s="21" t="s">
        <v>108</v>
      </c>
      <c r="I38" s="2" t="s">
        <v>9</v>
      </c>
      <c r="J38" s="2">
        <f>'1.1'!J38+'1.2'!J38+'1.3'!J38+'1.4'!J38+'1.5'!J38+'1.6'!J38+'1.7'!J38+'1.8'!J38+'1.9'!J38+'1.10'!J38+'1.11'!J38+'1.12'!J38+'1.13'!J38+'1.14'!J38+'1.15'!J38</f>
        <v>0</v>
      </c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>
        <f>'1.1'!D39+'1.2'!D39+'1.3'!D39+'1.4'!D39+'1.5'!D39+'1.6'!D39+'1.7'!D39+'1.8'!D39+'1.9'!D39+'1.10'!D39+'1.11'!D39+'1.12'!D39+'1.13'!D39+'1.14'!D39+'1.15'!D39</f>
        <v>0</v>
      </c>
      <c r="E39" s="2">
        <v>3.7</v>
      </c>
      <c r="F39" s="20">
        <f t="shared" si="1"/>
        <v>0</v>
      </c>
      <c r="G39" s="2">
        <v>71</v>
      </c>
      <c r="H39" s="21" t="s">
        <v>109</v>
      </c>
      <c r="I39" s="2" t="s">
        <v>9</v>
      </c>
      <c r="J39" s="2">
        <f>'1.1'!J39+'1.2'!J39+'1.3'!J39+'1.4'!J39+'1.5'!J39+'1.6'!J39+'1.7'!J39+'1.8'!J39+'1.9'!J39+'1.10'!J39+'1.11'!J39+'1.12'!J39+'1.13'!J39+'1.14'!J39+'1.15'!J39</f>
        <v>0</v>
      </c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>
        <f>'1.1'!D40+'1.2'!D40+'1.3'!D40+'1.4'!D40+'1.5'!D40+'1.6'!D40+'1.7'!D40+'1.8'!D40+'1.9'!D40+'1.10'!D40+'1.11'!D40+'1.12'!D40+'1.13'!D40+'1.14'!D40+'1.15'!D40</f>
        <v>75</v>
      </c>
      <c r="E40" s="2">
        <v>6.75</v>
      </c>
      <c r="F40" s="20">
        <f t="shared" si="1"/>
        <v>506.25</v>
      </c>
      <c r="G40" s="2">
        <v>72</v>
      </c>
      <c r="H40" s="21" t="s">
        <v>110</v>
      </c>
      <c r="I40" s="2" t="s">
        <v>9</v>
      </c>
      <c r="J40" s="2">
        <f>'1.1'!J40+'1.2'!J40+'1.3'!J40+'1.4'!J40+'1.5'!J40+'1.6'!J40+'1.7'!J40+'1.8'!J40+'1.9'!J40+'1.10'!J40+'1.11'!J40+'1.12'!J40+'1.13'!J40+'1.14'!J40+'1.15'!J40</f>
        <v>0</v>
      </c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>
        <f>'1.1'!D41+'1.2'!D41+'1.3'!D41+'1.4'!D41+'1.5'!D41+'1.6'!D41+'1.7'!D41+'1.8'!D41+'1.9'!D41+'1.10'!D41+'1.11'!D41+'1.12'!D41+'1.13'!D41+'1.14'!D41+'1.15'!D41</f>
        <v>0</v>
      </c>
      <c r="E41" s="2">
        <v>4</v>
      </c>
      <c r="F41" s="20">
        <f t="shared" si="1"/>
        <v>0</v>
      </c>
      <c r="G41" s="2">
        <v>73</v>
      </c>
      <c r="H41" s="21" t="s">
        <v>111</v>
      </c>
      <c r="I41" s="2" t="s">
        <v>9</v>
      </c>
      <c r="J41" s="2">
        <f>'1.1'!J41+'1.2'!J41+'1.3'!J41+'1.4'!J41+'1.5'!J41+'1.6'!J41+'1.7'!J41+'1.8'!J41+'1.9'!J41+'1.10'!J41+'1.11'!J41+'1.12'!J41+'1.13'!J41+'1.14'!J41+'1.15'!J41</f>
        <v>0</v>
      </c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526.79999999999995</v>
      </c>
    </row>
    <row r="44" spans="1:13" ht="13.15" customHeight="1">
      <c r="H44" s="18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  <pageSetup paperSize="9" orientation="portrait" horizontalDpi="180" verticalDpi="180" r:id="rId1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8"/>
  <dimension ref="A3:M44"/>
  <sheetViews>
    <sheetView workbookViewId="0">
      <selection activeCell="D7" sqref="D7"/>
    </sheetView>
  </sheetViews>
  <sheetFormatPr defaultColWidth="8.28515625" defaultRowHeight="13.15" customHeight="1"/>
  <cols>
    <col min="1" max="1" width="4.7109375" style="17" customWidth="1"/>
    <col min="2" max="2" width="30.7109375" customWidth="1"/>
    <col min="3" max="3" width="6.28515625" customWidth="1"/>
    <col min="4" max="4" width="7.140625" customWidth="1"/>
    <col min="5" max="5" width="7.85546875" customWidth="1"/>
    <col min="6" max="6" width="8.28515625" style="17"/>
    <col min="7" max="7" width="4.7109375" style="17" customWidth="1"/>
    <col min="8" max="8" width="23.28515625" customWidth="1"/>
    <col min="9" max="9" width="6.42578125" customWidth="1"/>
    <col min="10" max="10" width="6.28515625" customWidth="1"/>
    <col min="12" max="12" width="8.28515625" style="17"/>
  </cols>
  <sheetData>
    <row r="3" spans="1:12" ht="13.15" customHeight="1">
      <c r="A3" s="30" t="s">
        <v>86</v>
      </c>
      <c r="B3" s="30"/>
      <c r="C3" s="30"/>
      <c r="D3" s="30" t="s">
        <v>112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4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 t="s">
        <v>113</v>
      </c>
      <c r="B5" s="32"/>
      <c r="C5" s="32"/>
      <c r="D5" s="32"/>
      <c r="E5" s="32"/>
      <c r="F5" s="32"/>
      <c r="G5" s="2">
        <v>37</v>
      </c>
      <c r="H5" s="4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4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>
        <v>100</v>
      </c>
      <c r="E7" s="5">
        <v>6.85</v>
      </c>
      <c r="F7" s="20">
        <f>D7*E7</f>
        <v>685</v>
      </c>
      <c r="G7" s="2">
        <v>39</v>
      </c>
      <c r="H7" s="4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4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4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4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4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4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4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4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4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4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4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4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4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4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4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4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4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4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4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4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4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4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4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4" t="s">
        <v>114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4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4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4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4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4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4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4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4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4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4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4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685</v>
      </c>
    </row>
    <row r="44" spans="1:13" ht="13.15" customHeight="1">
      <c r="H44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29"/>
  <dimension ref="A3:M44"/>
  <sheetViews>
    <sheetView topLeftCell="A4" workbookViewId="0">
      <selection activeCell="I48" sqref="I48"/>
    </sheetView>
  </sheetViews>
  <sheetFormatPr defaultColWidth="8.28515625" defaultRowHeight="13.15" customHeight="1"/>
  <cols>
    <col min="1" max="1" width="4.7109375" style="17" customWidth="1"/>
    <col min="2" max="2" width="30.7109375" customWidth="1"/>
    <col min="3" max="3" width="6.28515625" customWidth="1"/>
    <col min="4" max="4" width="7.140625" customWidth="1"/>
    <col min="5" max="5" width="7.85546875" customWidth="1"/>
    <col min="6" max="6" width="8.28515625" style="17"/>
    <col min="7" max="7" width="4.7109375" style="17" customWidth="1"/>
    <col min="8" max="8" width="23.28515625" customWidth="1"/>
    <col min="9" max="9" width="6.42578125" customWidth="1"/>
    <col min="10" max="10" width="6.28515625" customWidth="1"/>
    <col min="12" max="12" width="8.28515625" style="17"/>
  </cols>
  <sheetData>
    <row r="3" spans="1:12" ht="13.15" customHeight="1">
      <c r="A3" s="30" t="s">
        <v>86</v>
      </c>
      <c r="B3" s="30"/>
      <c r="C3" s="30"/>
      <c r="D3" s="30" t="s">
        <v>112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4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 t="s">
        <v>113</v>
      </c>
      <c r="B5" s="32"/>
      <c r="C5" s="32"/>
      <c r="D5" s="32"/>
      <c r="E5" s="32"/>
      <c r="F5" s="32"/>
      <c r="G5" s="2">
        <v>37</v>
      </c>
      <c r="H5" s="4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4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4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4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4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4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4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4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4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4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4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4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4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4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4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4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4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4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4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4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4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4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4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4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4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4" t="s">
        <v>114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4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4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4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4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4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4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4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4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4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4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4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30"/>
  <dimension ref="A3:M44"/>
  <sheetViews>
    <sheetView topLeftCell="A4" workbookViewId="0">
      <selection activeCell="I48" sqref="I48"/>
    </sheetView>
  </sheetViews>
  <sheetFormatPr defaultColWidth="8.28515625" defaultRowHeight="13.15" customHeight="1"/>
  <cols>
    <col min="1" max="1" width="4.7109375" style="17" customWidth="1"/>
    <col min="2" max="2" width="30.7109375" customWidth="1"/>
    <col min="3" max="3" width="6.28515625" customWidth="1"/>
    <col min="4" max="4" width="7.140625" customWidth="1"/>
    <col min="5" max="5" width="7.85546875" customWidth="1"/>
    <col min="6" max="6" width="8.28515625" style="17"/>
    <col min="7" max="7" width="4.7109375" style="17" customWidth="1"/>
    <col min="8" max="8" width="23.28515625" customWidth="1"/>
    <col min="9" max="9" width="6.42578125" customWidth="1"/>
    <col min="10" max="10" width="6.28515625" customWidth="1"/>
    <col min="12" max="12" width="8.28515625" style="17"/>
  </cols>
  <sheetData>
    <row r="3" spans="1:12" ht="13.15" customHeight="1">
      <c r="A3" s="30" t="s">
        <v>86</v>
      </c>
      <c r="B3" s="30"/>
      <c r="C3" s="30"/>
      <c r="D3" s="30" t="s">
        <v>112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4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 t="s">
        <v>113</v>
      </c>
      <c r="B5" s="32"/>
      <c r="C5" s="32"/>
      <c r="D5" s="32"/>
      <c r="E5" s="32"/>
      <c r="F5" s="32"/>
      <c r="G5" s="2">
        <v>37</v>
      </c>
      <c r="H5" s="4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4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4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4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4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4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4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4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4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4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4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4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4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4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4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4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4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4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4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4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4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4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4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4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4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4" t="s">
        <v>114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4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4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4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4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4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4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4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4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4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4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4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31"/>
  <dimension ref="A3:M44"/>
  <sheetViews>
    <sheetView topLeftCell="A4" workbookViewId="0">
      <selection activeCell="I48" sqref="I48"/>
    </sheetView>
  </sheetViews>
  <sheetFormatPr defaultColWidth="8.28515625" defaultRowHeight="13.15" customHeight="1"/>
  <cols>
    <col min="1" max="1" width="4.7109375" style="17" customWidth="1"/>
    <col min="2" max="2" width="30.7109375" customWidth="1"/>
    <col min="3" max="3" width="6.28515625" customWidth="1"/>
    <col min="4" max="4" width="7.140625" customWidth="1"/>
    <col min="5" max="5" width="7.85546875" customWidth="1"/>
    <col min="6" max="6" width="8.28515625" style="17"/>
    <col min="7" max="7" width="4.7109375" style="17" customWidth="1"/>
    <col min="8" max="8" width="23.28515625" customWidth="1"/>
    <col min="9" max="9" width="6.42578125" customWidth="1"/>
    <col min="10" max="10" width="6.28515625" customWidth="1"/>
    <col min="12" max="12" width="8.28515625" style="17"/>
  </cols>
  <sheetData>
    <row r="3" spans="1:12" ht="13.15" customHeight="1">
      <c r="A3" s="30" t="s">
        <v>86</v>
      </c>
      <c r="B3" s="30"/>
      <c r="C3" s="30"/>
      <c r="D3" s="30" t="s">
        <v>112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4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 t="s">
        <v>113</v>
      </c>
      <c r="B5" s="32"/>
      <c r="C5" s="32"/>
      <c r="D5" s="32"/>
      <c r="E5" s="32"/>
      <c r="F5" s="32"/>
      <c r="G5" s="2">
        <v>37</v>
      </c>
      <c r="H5" s="4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4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4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4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4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4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4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4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4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4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4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4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4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4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4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4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4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4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4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4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4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4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4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4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4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4" t="s">
        <v>114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4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4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4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4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4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4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4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4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4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4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4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>
  <sheetPr codeName="Лист32"/>
  <dimension ref="A3:M44"/>
  <sheetViews>
    <sheetView topLeftCell="A10" workbookViewId="0">
      <selection activeCell="I48" sqref="I48"/>
    </sheetView>
  </sheetViews>
  <sheetFormatPr defaultColWidth="8.28515625" defaultRowHeight="13.15" customHeight="1"/>
  <cols>
    <col min="1" max="1" width="4.7109375" style="17" customWidth="1"/>
    <col min="2" max="2" width="30.7109375" customWidth="1"/>
    <col min="3" max="3" width="6.28515625" customWidth="1"/>
    <col min="4" max="4" width="7.140625" customWidth="1"/>
    <col min="5" max="5" width="7.85546875" customWidth="1"/>
    <col min="6" max="6" width="8.28515625" style="17"/>
    <col min="7" max="7" width="4.7109375" style="17" customWidth="1"/>
    <col min="8" max="8" width="23.28515625" customWidth="1"/>
    <col min="9" max="9" width="6.42578125" customWidth="1"/>
    <col min="10" max="10" width="6.28515625" customWidth="1"/>
    <col min="12" max="12" width="8.28515625" style="17"/>
  </cols>
  <sheetData>
    <row r="3" spans="1:12" ht="13.15" customHeight="1">
      <c r="A3" s="30" t="s">
        <v>86</v>
      </c>
      <c r="B3" s="30"/>
      <c r="C3" s="30"/>
      <c r="D3" s="30" t="s">
        <v>112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4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 t="s">
        <v>113</v>
      </c>
      <c r="B5" s="32"/>
      <c r="C5" s="32"/>
      <c r="D5" s="32"/>
      <c r="E5" s="32"/>
      <c r="F5" s="32"/>
      <c r="G5" s="2">
        <v>37</v>
      </c>
      <c r="H5" s="4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4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4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4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4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4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4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4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4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4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4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4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4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4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4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4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4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4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4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4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4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4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4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4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4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4" t="s">
        <v>114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4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4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4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4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4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4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4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4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4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4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4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sheetPr codeName="Лист33"/>
  <dimension ref="A3:M44"/>
  <sheetViews>
    <sheetView topLeftCell="A7" workbookViewId="0">
      <selection activeCell="S40" sqref="S40"/>
    </sheetView>
  </sheetViews>
  <sheetFormatPr defaultColWidth="8.28515625" defaultRowHeight="13.15" customHeight="1"/>
  <cols>
    <col min="1" max="1" width="4.7109375" style="17" customWidth="1"/>
    <col min="2" max="2" width="30.7109375" customWidth="1"/>
    <col min="3" max="3" width="6.28515625" customWidth="1"/>
    <col min="4" max="4" width="7.140625" customWidth="1"/>
    <col min="5" max="5" width="7.85546875" customWidth="1"/>
    <col min="6" max="6" width="8.28515625" style="17"/>
    <col min="7" max="7" width="4.7109375" style="17" customWidth="1"/>
    <col min="8" max="8" width="23.28515625" customWidth="1"/>
    <col min="9" max="9" width="6.42578125" customWidth="1"/>
    <col min="10" max="10" width="6.28515625" customWidth="1"/>
    <col min="12" max="12" width="8.28515625" style="17"/>
  </cols>
  <sheetData>
    <row r="3" spans="1:12" ht="13.15" customHeight="1">
      <c r="A3" s="30" t="s">
        <v>86</v>
      </c>
      <c r="B3" s="30"/>
      <c r="C3" s="30"/>
      <c r="D3" s="30" t="s">
        <v>112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4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 t="s">
        <v>113</v>
      </c>
      <c r="B5" s="32"/>
      <c r="C5" s="32"/>
      <c r="D5" s="32"/>
      <c r="E5" s="32"/>
      <c r="F5" s="32"/>
      <c r="G5" s="2">
        <v>37</v>
      </c>
      <c r="H5" s="4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4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4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4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4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4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4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4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4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4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4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4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4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4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4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4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4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4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4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4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4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4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4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4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4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4" t="s">
        <v>114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4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4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4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4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4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4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4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4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4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4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4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>
  <sheetPr codeName="Лист34"/>
  <dimension ref="A3:M44"/>
  <sheetViews>
    <sheetView topLeftCell="A4" workbookViewId="0">
      <selection activeCell="I48" sqref="I48"/>
    </sheetView>
  </sheetViews>
  <sheetFormatPr defaultColWidth="8.28515625" defaultRowHeight="13.15" customHeight="1"/>
  <cols>
    <col min="1" max="1" width="4.7109375" style="17" customWidth="1"/>
    <col min="2" max="2" width="30.7109375" customWidth="1"/>
    <col min="3" max="3" width="6.28515625" customWidth="1"/>
    <col min="4" max="4" width="7.140625" customWidth="1"/>
    <col min="5" max="5" width="7.85546875" customWidth="1"/>
    <col min="6" max="6" width="8.28515625" style="17"/>
    <col min="7" max="7" width="4.7109375" style="17" customWidth="1"/>
    <col min="8" max="8" width="23.28515625" customWidth="1"/>
    <col min="9" max="9" width="6.42578125" customWidth="1"/>
    <col min="10" max="10" width="6.28515625" customWidth="1"/>
    <col min="12" max="12" width="8.28515625" style="17"/>
  </cols>
  <sheetData>
    <row r="3" spans="1:12" ht="13.15" customHeight="1">
      <c r="A3" s="30" t="s">
        <v>86</v>
      </c>
      <c r="B3" s="30"/>
      <c r="C3" s="30"/>
      <c r="D3" s="30" t="s">
        <v>112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4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 t="s">
        <v>113</v>
      </c>
      <c r="B5" s="32"/>
      <c r="C5" s="32"/>
      <c r="D5" s="32"/>
      <c r="E5" s="32"/>
      <c r="F5" s="32"/>
      <c r="G5" s="2">
        <v>37</v>
      </c>
      <c r="H5" s="4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4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4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4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4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4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4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4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4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4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4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4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4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4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4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4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4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4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4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4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4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4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4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4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4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4" t="s">
        <v>114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4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4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4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4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4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4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4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4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4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4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4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>
  <sheetPr codeName="Лист35"/>
  <dimension ref="A3:M44"/>
  <sheetViews>
    <sheetView topLeftCell="A4" workbookViewId="0">
      <selection activeCell="I48" sqref="I48"/>
    </sheetView>
  </sheetViews>
  <sheetFormatPr defaultColWidth="8.28515625" defaultRowHeight="13.15" customHeight="1"/>
  <cols>
    <col min="1" max="1" width="4.7109375" style="17" customWidth="1"/>
    <col min="2" max="2" width="30.7109375" customWidth="1"/>
    <col min="3" max="3" width="6.28515625" customWidth="1"/>
    <col min="4" max="4" width="7.140625" customWidth="1"/>
    <col min="5" max="5" width="7.85546875" customWidth="1"/>
    <col min="6" max="6" width="8.28515625" style="17"/>
    <col min="7" max="7" width="4.7109375" style="17" customWidth="1"/>
    <col min="8" max="8" width="23.28515625" customWidth="1"/>
    <col min="9" max="9" width="6.42578125" customWidth="1"/>
    <col min="10" max="10" width="6.28515625" customWidth="1"/>
    <col min="12" max="12" width="8.28515625" style="17"/>
  </cols>
  <sheetData>
    <row r="3" spans="1:12" ht="13.15" customHeight="1">
      <c r="A3" s="30" t="s">
        <v>86</v>
      </c>
      <c r="B3" s="30"/>
      <c r="C3" s="30"/>
      <c r="D3" s="30" t="s">
        <v>112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4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 t="s">
        <v>113</v>
      </c>
      <c r="B5" s="32"/>
      <c r="C5" s="32"/>
      <c r="D5" s="32"/>
      <c r="E5" s="32"/>
      <c r="F5" s="32"/>
      <c r="G5" s="2">
        <v>37</v>
      </c>
      <c r="H5" s="4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4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4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4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4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4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4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4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4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4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4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4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4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4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4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4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4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4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4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4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4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4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4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4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4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4" t="s">
        <v>114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4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4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4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4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4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4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4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4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4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4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4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>
  <sheetPr codeName="Лист36"/>
  <dimension ref="A3:M44"/>
  <sheetViews>
    <sheetView topLeftCell="A4" workbookViewId="0">
      <selection activeCell="I48" sqref="I48"/>
    </sheetView>
  </sheetViews>
  <sheetFormatPr defaultColWidth="8.28515625" defaultRowHeight="13.15" customHeight="1"/>
  <cols>
    <col min="1" max="1" width="4.7109375" style="17" customWidth="1"/>
    <col min="2" max="2" width="30.7109375" customWidth="1"/>
    <col min="3" max="3" width="6.28515625" customWidth="1"/>
    <col min="4" max="4" width="7.140625" customWidth="1"/>
    <col min="5" max="5" width="7.85546875" customWidth="1"/>
    <col min="6" max="6" width="8.28515625" style="17"/>
    <col min="7" max="7" width="4.7109375" style="17" customWidth="1"/>
    <col min="8" max="8" width="23.28515625" customWidth="1"/>
    <col min="9" max="9" width="6.42578125" customWidth="1"/>
    <col min="10" max="10" width="6.28515625" customWidth="1"/>
    <col min="12" max="12" width="8.28515625" style="17"/>
  </cols>
  <sheetData>
    <row r="3" spans="1:12" ht="13.15" customHeight="1">
      <c r="A3" s="30" t="s">
        <v>86</v>
      </c>
      <c r="B3" s="30"/>
      <c r="C3" s="30"/>
      <c r="D3" s="30" t="s">
        <v>112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4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 t="s">
        <v>113</v>
      </c>
      <c r="B5" s="32"/>
      <c r="C5" s="32"/>
      <c r="D5" s="32"/>
      <c r="E5" s="32"/>
      <c r="F5" s="32"/>
      <c r="G5" s="2">
        <v>37</v>
      </c>
      <c r="H5" s="4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4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4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4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4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4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4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4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4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4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4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4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4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4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4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4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4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4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4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4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4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4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4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4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4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4" t="s">
        <v>114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4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4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4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4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4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4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4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4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4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4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4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>
  <sheetPr codeName="Лист37"/>
  <dimension ref="A3:M44"/>
  <sheetViews>
    <sheetView topLeftCell="A4" workbookViewId="0">
      <selection activeCell="D27" sqref="D27"/>
    </sheetView>
  </sheetViews>
  <sheetFormatPr defaultColWidth="8.28515625" defaultRowHeight="13.15" customHeight="1"/>
  <cols>
    <col min="1" max="1" width="4.7109375" style="17" customWidth="1"/>
    <col min="2" max="2" width="30.7109375" customWidth="1"/>
    <col min="3" max="3" width="6.28515625" customWidth="1"/>
    <col min="4" max="4" width="7.140625" customWidth="1"/>
    <col min="5" max="5" width="7.85546875" customWidth="1"/>
    <col min="6" max="6" width="8.28515625" style="17"/>
    <col min="7" max="7" width="4.7109375" style="17" customWidth="1"/>
    <col min="8" max="8" width="23.28515625" customWidth="1"/>
    <col min="9" max="9" width="6.42578125" customWidth="1"/>
    <col min="10" max="10" width="6.28515625" customWidth="1"/>
    <col min="12" max="12" width="8.28515625" style="17"/>
  </cols>
  <sheetData>
    <row r="3" spans="1:12" ht="13.15" customHeight="1">
      <c r="A3" s="30" t="s">
        <v>86</v>
      </c>
      <c r="B3" s="30"/>
      <c r="C3" s="30"/>
      <c r="D3" s="30" t="s">
        <v>112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4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 t="s">
        <v>113</v>
      </c>
      <c r="B5" s="32"/>
      <c r="C5" s="32"/>
      <c r="D5" s="32"/>
      <c r="E5" s="32"/>
      <c r="F5" s="32"/>
      <c r="G5" s="2">
        <v>37</v>
      </c>
      <c r="H5" s="4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4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>
        <v>1</v>
      </c>
      <c r="E7" s="5">
        <v>6.85</v>
      </c>
      <c r="F7" s="20">
        <f>D7*E7</f>
        <v>6.85</v>
      </c>
      <c r="G7" s="2">
        <v>39</v>
      </c>
      <c r="H7" s="4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4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4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4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4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4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4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4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4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4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4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4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4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4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4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4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4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4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4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>
        <v>99</v>
      </c>
      <c r="E26" s="5">
        <v>6.4</v>
      </c>
      <c r="F26" s="20">
        <f t="shared" si="1"/>
        <v>633.6</v>
      </c>
      <c r="G26" s="2">
        <v>58</v>
      </c>
      <c r="H26" s="4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4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4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4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4" t="s">
        <v>114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4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4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4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4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4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4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4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4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4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4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4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640.45000000000005</v>
      </c>
    </row>
    <row r="44" spans="1:13" ht="13.15" customHeight="1">
      <c r="H44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>
  <sheetPr codeName="Лист38"/>
  <dimension ref="A3:M44"/>
  <sheetViews>
    <sheetView topLeftCell="A4" workbookViewId="0">
      <selection activeCell="I48" sqref="I48"/>
    </sheetView>
  </sheetViews>
  <sheetFormatPr defaultColWidth="8.28515625" defaultRowHeight="13.15" customHeight="1"/>
  <cols>
    <col min="1" max="1" width="4.7109375" style="17" customWidth="1"/>
    <col min="2" max="2" width="30.7109375" customWidth="1"/>
    <col min="3" max="3" width="6.28515625" customWidth="1"/>
    <col min="4" max="4" width="7.140625" customWidth="1"/>
    <col min="5" max="5" width="7.85546875" customWidth="1"/>
    <col min="6" max="6" width="8.28515625" style="17"/>
    <col min="7" max="7" width="4.7109375" style="17" customWidth="1"/>
    <col min="8" max="8" width="23.28515625" customWidth="1"/>
    <col min="9" max="9" width="6.42578125" customWidth="1"/>
    <col min="10" max="10" width="6.28515625" customWidth="1"/>
    <col min="12" max="12" width="8.28515625" style="17"/>
  </cols>
  <sheetData>
    <row r="3" spans="1:12" ht="13.15" customHeight="1">
      <c r="A3" s="30" t="s">
        <v>86</v>
      </c>
      <c r="B3" s="30"/>
      <c r="C3" s="30"/>
      <c r="D3" s="30" t="s">
        <v>112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4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 t="s">
        <v>113</v>
      </c>
      <c r="B5" s="32"/>
      <c r="C5" s="32"/>
      <c r="D5" s="32"/>
      <c r="E5" s="32"/>
      <c r="F5" s="32"/>
      <c r="G5" s="2">
        <v>37</v>
      </c>
      <c r="H5" s="4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4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4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4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4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4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4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4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4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4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4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4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4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4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4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4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4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4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4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4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4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4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4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4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4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4" t="s">
        <v>114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4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4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4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4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4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4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4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4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4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4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4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>
  <sheetPr codeName="Лист39"/>
  <dimension ref="A3:M44"/>
  <sheetViews>
    <sheetView topLeftCell="A4" workbookViewId="0">
      <selection activeCell="I48" sqref="I48"/>
    </sheetView>
  </sheetViews>
  <sheetFormatPr defaultColWidth="8.28515625" defaultRowHeight="13.15" customHeight="1"/>
  <cols>
    <col min="1" max="1" width="4.7109375" style="17" customWidth="1"/>
    <col min="2" max="2" width="30.7109375" customWidth="1"/>
    <col min="3" max="3" width="6.28515625" customWidth="1"/>
    <col min="4" max="4" width="7.140625" customWidth="1"/>
    <col min="5" max="5" width="7.85546875" customWidth="1"/>
    <col min="6" max="6" width="8.28515625" style="17"/>
    <col min="7" max="7" width="4.7109375" style="17" customWidth="1"/>
    <col min="8" max="8" width="23.28515625" customWidth="1"/>
    <col min="9" max="9" width="6.42578125" customWidth="1"/>
    <col min="10" max="10" width="6.28515625" customWidth="1"/>
    <col min="12" max="12" width="8.28515625" style="17"/>
  </cols>
  <sheetData>
    <row r="3" spans="1:12" ht="13.15" customHeight="1">
      <c r="A3" s="30" t="s">
        <v>86</v>
      </c>
      <c r="B3" s="30"/>
      <c r="C3" s="30"/>
      <c r="D3" s="30" t="s">
        <v>112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4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 t="s">
        <v>113</v>
      </c>
      <c r="B5" s="32"/>
      <c r="C5" s="32"/>
      <c r="D5" s="32"/>
      <c r="E5" s="32"/>
      <c r="F5" s="32"/>
      <c r="G5" s="2">
        <v>37</v>
      </c>
      <c r="H5" s="4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4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4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4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4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4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4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4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4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4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4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4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4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4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4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4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4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4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4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4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4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4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4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4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4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4" t="s">
        <v>114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4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4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4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4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4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4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4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4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4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4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4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>
  <sheetPr codeName="Лист40"/>
  <dimension ref="A3:M44"/>
  <sheetViews>
    <sheetView topLeftCell="A4" workbookViewId="0">
      <selection activeCell="D18" sqref="D18"/>
    </sheetView>
  </sheetViews>
  <sheetFormatPr defaultColWidth="8.28515625" defaultRowHeight="13.15" customHeight="1"/>
  <cols>
    <col min="1" max="1" width="4.7109375" style="17" customWidth="1"/>
    <col min="2" max="2" width="30.7109375" customWidth="1"/>
    <col min="3" max="3" width="6.28515625" customWidth="1"/>
    <col min="4" max="4" width="7.140625" customWidth="1"/>
    <col min="5" max="5" width="7.85546875" customWidth="1"/>
    <col min="6" max="6" width="8.28515625" style="17"/>
    <col min="7" max="7" width="4.7109375" style="17" customWidth="1"/>
    <col min="8" max="8" width="23.28515625" customWidth="1"/>
    <col min="9" max="9" width="6.42578125" customWidth="1"/>
    <col min="10" max="10" width="6.28515625" customWidth="1"/>
    <col min="12" max="12" width="8.28515625" style="17"/>
  </cols>
  <sheetData>
    <row r="3" spans="1:12" ht="13.15" customHeight="1">
      <c r="A3" s="30" t="s">
        <v>86</v>
      </c>
      <c r="B3" s="30"/>
      <c r="C3" s="30"/>
      <c r="D3" s="30" t="s">
        <v>112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4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 t="s">
        <v>113</v>
      </c>
      <c r="B5" s="32"/>
      <c r="C5" s="32"/>
      <c r="D5" s="32"/>
      <c r="E5" s="32"/>
      <c r="F5" s="32"/>
      <c r="G5" s="2">
        <v>37</v>
      </c>
      <c r="H5" s="4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4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4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4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4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4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4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4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4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4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4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4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>
        <v>880</v>
      </c>
      <c r="E17" s="5">
        <v>6.3</v>
      </c>
      <c r="F17" s="20">
        <f t="shared" si="1"/>
        <v>5544</v>
      </c>
      <c r="G17" s="2">
        <v>49</v>
      </c>
      <c r="H17" s="4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4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4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4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4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4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4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4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4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4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4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4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4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4" t="s">
        <v>114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4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4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4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4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4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4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4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4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4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4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4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5544</v>
      </c>
    </row>
    <row r="44" spans="1:13" ht="13.15" customHeight="1">
      <c r="H44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>
  <sheetPr codeName="Лист41"/>
  <dimension ref="A3:M44"/>
  <sheetViews>
    <sheetView topLeftCell="A4" workbookViewId="0">
      <selection activeCell="I48" sqref="I48"/>
    </sheetView>
  </sheetViews>
  <sheetFormatPr defaultColWidth="8.28515625" defaultRowHeight="13.15" customHeight="1"/>
  <cols>
    <col min="1" max="1" width="4.7109375" style="17" customWidth="1"/>
    <col min="2" max="2" width="30.7109375" customWidth="1"/>
    <col min="3" max="3" width="6.28515625" customWidth="1"/>
    <col min="4" max="4" width="7.140625" customWidth="1"/>
    <col min="5" max="5" width="7.85546875" customWidth="1"/>
    <col min="6" max="6" width="8.28515625" style="17"/>
    <col min="7" max="7" width="4.7109375" style="17" customWidth="1"/>
    <col min="8" max="8" width="23.28515625" customWidth="1"/>
    <col min="9" max="9" width="6.42578125" customWidth="1"/>
    <col min="10" max="10" width="6.28515625" customWidth="1"/>
    <col min="12" max="12" width="8.28515625" style="17"/>
  </cols>
  <sheetData>
    <row r="3" spans="1:12" ht="13.15" customHeight="1">
      <c r="A3" s="30" t="s">
        <v>86</v>
      </c>
      <c r="B3" s="30"/>
      <c r="C3" s="30"/>
      <c r="D3" s="30" t="s">
        <v>112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4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 t="s">
        <v>113</v>
      </c>
      <c r="B5" s="32"/>
      <c r="C5" s="32"/>
      <c r="D5" s="32"/>
      <c r="E5" s="32"/>
      <c r="F5" s="32"/>
      <c r="G5" s="2">
        <v>37</v>
      </c>
      <c r="H5" s="4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4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4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4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4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4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4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4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4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4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4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4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4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4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4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4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4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4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4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4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4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4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4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4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4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4" t="s">
        <v>114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4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4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4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4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4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4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4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4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4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4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4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>
  <sheetPr codeName="Лист42"/>
  <dimension ref="A3:M44"/>
  <sheetViews>
    <sheetView topLeftCell="A4" workbookViewId="0">
      <selection activeCell="I48" sqref="I48"/>
    </sheetView>
  </sheetViews>
  <sheetFormatPr defaultColWidth="8.28515625" defaultRowHeight="13.15" customHeight="1"/>
  <cols>
    <col min="1" max="1" width="4.7109375" style="17" customWidth="1"/>
    <col min="2" max="2" width="30.7109375" customWidth="1"/>
    <col min="3" max="3" width="6.28515625" customWidth="1"/>
    <col min="4" max="4" width="7.140625" customWidth="1"/>
    <col min="5" max="5" width="7.85546875" customWidth="1"/>
    <col min="6" max="6" width="8.28515625" style="17"/>
    <col min="7" max="7" width="4.7109375" style="17" customWidth="1"/>
    <col min="8" max="8" width="23.28515625" customWidth="1"/>
    <col min="9" max="9" width="6.42578125" customWidth="1"/>
    <col min="10" max="10" width="6.28515625" customWidth="1"/>
    <col min="12" max="12" width="8.28515625" style="17"/>
  </cols>
  <sheetData>
    <row r="3" spans="1:12" ht="13.15" customHeight="1">
      <c r="A3" s="30" t="s">
        <v>86</v>
      </c>
      <c r="B3" s="30"/>
      <c r="C3" s="30"/>
      <c r="D3" s="30" t="s">
        <v>112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4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 t="s">
        <v>113</v>
      </c>
      <c r="B5" s="32"/>
      <c r="C5" s="32"/>
      <c r="D5" s="32"/>
      <c r="E5" s="32"/>
      <c r="F5" s="32"/>
      <c r="G5" s="2">
        <v>37</v>
      </c>
      <c r="H5" s="4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4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4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4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4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4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4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4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4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4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4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4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4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4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4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4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4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4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4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4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4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4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4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4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4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4" t="s">
        <v>114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4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4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4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4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4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4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4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4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4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4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4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>
  <sheetPr codeName="Лист43"/>
  <dimension ref="A3:M44"/>
  <sheetViews>
    <sheetView topLeftCell="A4" workbookViewId="0">
      <selection activeCell="I48" sqref="I48"/>
    </sheetView>
  </sheetViews>
  <sheetFormatPr defaultColWidth="8.28515625" defaultRowHeight="13.15" customHeight="1"/>
  <cols>
    <col min="1" max="1" width="4.7109375" style="17" customWidth="1"/>
    <col min="2" max="2" width="30.7109375" customWidth="1"/>
    <col min="3" max="3" width="6.28515625" customWidth="1"/>
    <col min="4" max="4" width="7.140625" customWidth="1"/>
    <col min="5" max="5" width="7.85546875" customWidth="1"/>
    <col min="6" max="6" width="8.28515625" style="17"/>
    <col min="7" max="7" width="4.7109375" style="17" customWidth="1"/>
    <col min="8" max="8" width="23.28515625" customWidth="1"/>
    <col min="9" max="9" width="6.42578125" customWidth="1"/>
    <col min="10" max="10" width="6.28515625" customWidth="1"/>
    <col min="12" max="12" width="8.28515625" style="17"/>
  </cols>
  <sheetData>
    <row r="3" spans="1:12" ht="13.15" customHeight="1">
      <c r="A3" s="30" t="s">
        <v>86</v>
      </c>
      <c r="B3" s="30"/>
      <c r="C3" s="30"/>
      <c r="D3" s="30" t="s">
        <v>112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4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 t="s">
        <v>113</v>
      </c>
      <c r="B5" s="32"/>
      <c r="C5" s="32"/>
      <c r="D5" s="32"/>
      <c r="E5" s="32"/>
      <c r="F5" s="32"/>
      <c r="G5" s="2">
        <v>37</v>
      </c>
      <c r="H5" s="4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4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4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4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4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4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4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4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4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4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4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4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4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4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4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4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4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4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4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4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4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4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4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4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4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4" t="s">
        <v>114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4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4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4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4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4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4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4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4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4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4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4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>
  <sheetPr codeName="Лист44"/>
  <dimension ref="A3:M44"/>
  <sheetViews>
    <sheetView topLeftCell="A4" workbookViewId="0">
      <selection activeCell="I48" sqref="I48"/>
    </sheetView>
  </sheetViews>
  <sheetFormatPr defaultColWidth="8.28515625" defaultRowHeight="13.15" customHeight="1"/>
  <cols>
    <col min="1" max="1" width="4.7109375" style="17" customWidth="1"/>
    <col min="2" max="2" width="30.7109375" customWidth="1"/>
    <col min="3" max="3" width="6.28515625" customWidth="1"/>
    <col min="4" max="4" width="7.140625" customWidth="1"/>
    <col min="5" max="5" width="7.85546875" customWidth="1"/>
    <col min="6" max="6" width="8.28515625" style="17"/>
    <col min="7" max="7" width="4.7109375" style="17" customWidth="1"/>
    <col min="8" max="8" width="23.28515625" customWidth="1"/>
    <col min="9" max="9" width="6.42578125" customWidth="1"/>
    <col min="10" max="10" width="6.28515625" customWidth="1"/>
    <col min="12" max="12" width="8.28515625" style="17"/>
  </cols>
  <sheetData>
    <row r="3" spans="1:12" ht="13.15" customHeight="1">
      <c r="A3" s="30" t="s">
        <v>86</v>
      </c>
      <c r="B3" s="30"/>
      <c r="C3" s="30"/>
      <c r="D3" s="30" t="s">
        <v>112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4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 t="s">
        <v>113</v>
      </c>
      <c r="B5" s="32"/>
      <c r="C5" s="32"/>
      <c r="D5" s="32"/>
      <c r="E5" s="32"/>
      <c r="F5" s="32"/>
      <c r="G5" s="2">
        <v>37</v>
      </c>
      <c r="H5" s="4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4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4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4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4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4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4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4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4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4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4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4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4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4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4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4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4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4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4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4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4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4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4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4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4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4" t="s">
        <v>114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4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4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4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4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4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4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4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4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4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4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4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>
  <sheetPr codeName="Лист45"/>
  <dimension ref="A3:M44"/>
  <sheetViews>
    <sheetView topLeftCell="A4" workbookViewId="0">
      <selection activeCell="I48" sqref="I48"/>
    </sheetView>
  </sheetViews>
  <sheetFormatPr defaultColWidth="8.28515625" defaultRowHeight="13.15" customHeight="1"/>
  <cols>
    <col min="1" max="1" width="4.7109375" style="17" customWidth="1"/>
    <col min="2" max="2" width="30.7109375" customWidth="1"/>
    <col min="3" max="3" width="6.28515625" customWidth="1"/>
    <col min="4" max="4" width="7.140625" customWidth="1"/>
    <col min="5" max="5" width="7.85546875" customWidth="1"/>
    <col min="6" max="6" width="8.28515625" style="17"/>
    <col min="7" max="7" width="4.7109375" style="17" customWidth="1"/>
    <col min="8" max="8" width="23.28515625" customWidth="1"/>
    <col min="9" max="9" width="6.42578125" customWidth="1"/>
    <col min="10" max="10" width="6.28515625" customWidth="1"/>
    <col min="12" max="12" width="8.28515625" style="17"/>
  </cols>
  <sheetData>
    <row r="3" spans="1:12" ht="13.15" customHeight="1">
      <c r="A3" s="30" t="s">
        <v>86</v>
      </c>
      <c r="B3" s="30"/>
      <c r="C3" s="30"/>
      <c r="D3" s="30" t="s">
        <v>112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4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 t="s">
        <v>113</v>
      </c>
      <c r="B5" s="32"/>
      <c r="C5" s="32"/>
      <c r="D5" s="32"/>
      <c r="E5" s="32"/>
      <c r="F5" s="32"/>
      <c r="G5" s="2">
        <v>37</v>
      </c>
      <c r="H5" s="4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4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4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4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4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4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4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4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4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4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4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4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4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4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4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4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4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4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4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4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4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4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4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4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4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4" t="s">
        <v>114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4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4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4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4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4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4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4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4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4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4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4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>
  <sheetPr codeName="Лист46"/>
  <dimension ref="A3:M44"/>
  <sheetViews>
    <sheetView topLeftCell="A4" workbookViewId="0">
      <selection activeCell="I48" sqref="I48"/>
    </sheetView>
  </sheetViews>
  <sheetFormatPr defaultColWidth="8.28515625" defaultRowHeight="13.15" customHeight="1"/>
  <cols>
    <col min="1" max="1" width="4.7109375" style="17" customWidth="1"/>
    <col min="2" max="2" width="30.7109375" customWidth="1"/>
    <col min="3" max="3" width="6.28515625" customWidth="1"/>
    <col min="4" max="4" width="7.140625" customWidth="1"/>
    <col min="5" max="5" width="7.85546875" customWidth="1"/>
    <col min="6" max="6" width="8.28515625" style="17"/>
    <col min="7" max="7" width="4.7109375" style="17" customWidth="1"/>
    <col min="8" max="8" width="23.28515625" customWidth="1"/>
    <col min="9" max="9" width="6.42578125" customWidth="1"/>
    <col min="10" max="10" width="6.28515625" customWidth="1"/>
    <col min="12" max="12" width="8.28515625" style="17"/>
  </cols>
  <sheetData>
    <row r="3" spans="1:12" ht="13.15" customHeight="1">
      <c r="A3" s="30" t="s">
        <v>86</v>
      </c>
      <c r="B3" s="30"/>
      <c r="C3" s="30"/>
      <c r="D3" s="30" t="s">
        <v>112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4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 t="s">
        <v>113</v>
      </c>
      <c r="B5" s="32"/>
      <c r="C5" s="32"/>
      <c r="D5" s="32"/>
      <c r="E5" s="32"/>
      <c r="F5" s="32"/>
      <c r="G5" s="2">
        <v>37</v>
      </c>
      <c r="H5" s="4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4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4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4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4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4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4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4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4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4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4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4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4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4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4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4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4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4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4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4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4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4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4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4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4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4" t="s">
        <v>114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4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4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4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4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4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4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4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4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4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4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4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>
  <sheetPr codeName="Лист47"/>
  <dimension ref="A3:M44"/>
  <sheetViews>
    <sheetView topLeftCell="A4" workbookViewId="0">
      <selection activeCell="I48" sqref="I48"/>
    </sheetView>
  </sheetViews>
  <sheetFormatPr defaultColWidth="8.28515625" defaultRowHeight="13.15" customHeight="1"/>
  <cols>
    <col min="1" max="1" width="4.7109375" style="17" customWidth="1"/>
    <col min="2" max="2" width="30.7109375" customWidth="1"/>
    <col min="3" max="3" width="6.28515625" customWidth="1"/>
    <col min="4" max="4" width="7.140625" customWidth="1"/>
    <col min="5" max="5" width="7.85546875" customWidth="1"/>
    <col min="6" max="6" width="8.28515625" style="17"/>
    <col min="7" max="7" width="4.7109375" style="17" customWidth="1"/>
    <col min="8" max="8" width="23.28515625" customWidth="1"/>
    <col min="9" max="9" width="6.42578125" customWidth="1"/>
    <col min="10" max="10" width="6.28515625" customWidth="1"/>
    <col min="12" max="12" width="8.28515625" style="17"/>
  </cols>
  <sheetData>
    <row r="3" spans="1:12" ht="13.15" customHeight="1">
      <c r="A3" s="30" t="s">
        <v>86</v>
      </c>
      <c r="B3" s="30"/>
      <c r="C3" s="30"/>
      <c r="D3" s="30" t="s">
        <v>112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4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 t="s">
        <v>113</v>
      </c>
      <c r="B5" s="32"/>
      <c r="C5" s="32"/>
      <c r="D5" s="32"/>
      <c r="E5" s="32"/>
      <c r="F5" s="32"/>
      <c r="G5" s="2">
        <v>37</v>
      </c>
      <c r="H5" s="4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4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4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4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4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4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4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4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4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4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4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4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4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4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4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4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4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4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4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4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4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4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4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4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4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4" t="s">
        <v>114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4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4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4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4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4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4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4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4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4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4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4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>
  <sheetPr codeName="Лист48"/>
  <dimension ref="A3:M44"/>
  <sheetViews>
    <sheetView topLeftCell="A4" workbookViewId="0">
      <selection activeCell="I48" sqref="I48"/>
    </sheetView>
  </sheetViews>
  <sheetFormatPr defaultColWidth="8.28515625" defaultRowHeight="13.15" customHeight="1"/>
  <cols>
    <col min="1" max="1" width="4.7109375" style="17" customWidth="1"/>
    <col min="2" max="2" width="30.7109375" customWidth="1"/>
    <col min="3" max="3" width="6.28515625" customWidth="1"/>
    <col min="4" max="4" width="7.140625" customWidth="1"/>
    <col min="5" max="5" width="7.85546875" customWidth="1"/>
    <col min="6" max="6" width="8.28515625" style="17"/>
    <col min="7" max="7" width="4.7109375" style="17" customWidth="1"/>
    <col min="8" max="8" width="23.28515625" customWidth="1"/>
    <col min="9" max="9" width="6.42578125" customWidth="1"/>
    <col min="10" max="10" width="6.28515625" customWidth="1"/>
    <col min="12" max="12" width="8.28515625" style="17"/>
  </cols>
  <sheetData>
    <row r="3" spans="1:12" ht="13.15" customHeight="1">
      <c r="A3" s="30" t="s">
        <v>86</v>
      </c>
      <c r="B3" s="30"/>
      <c r="C3" s="30"/>
      <c r="D3" s="30" t="s">
        <v>112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4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 t="s">
        <v>113</v>
      </c>
      <c r="B5" s="32"/>
      <c r="C5" s="32"/>
      <c r="D5" s="32"/>
      <c r="E5" s="32"/>
      <c r="F5" s="32"/>
      <c r="G5" s="2">
        <v>37</v>
      </c>
      <c r="H5" s="4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4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4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4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4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4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4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4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4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4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4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4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4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4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4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4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4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4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4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4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4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4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4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4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4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4" t="s">
        <v>114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4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4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4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4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4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4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4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4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4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4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4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>
  <sheetPr codeName="Лист49"/>
  <dimension ref="A3:M44"/>
  <sheetViews>
    <sheetView topLeftCell="A4" workbookViewId="0">
      <selection activeCell="I48" sqref="I48"/>
    </sheetView>
  </sheetViews>
  <sheetFormatPr defaultColWidth="8.28515625" defaultRowHeight="13.15" customHeight="1"/>
  <cols>
    <col min="1" max="1" width="4.7109375" style="17" customWidth="1"/>
    <col min="2" max="2" width="30.7109375" customWidth="1"/>
    <col min="3" max="3" width="6.28515625" customWidth="1"/>
    <col min="4" max="4" width="7.140625" customWidth="1"/>
    <col min="5" max="5" width="7.85546875" customWidth="1"/>
    <col min="6" max="6" width="8.28515625" style="17"/>
    <col min="7" max="7" width="4.7109375" style="17" customWidth="1"/>
    <col min="8" max="8" width="23.28515625" customWidth="1"/>
    <col min="9" max="9" width="6.42578125" customWidth="1"/>
    <col min="10" max="10" width="6.28515625" customWidth="1"/>
    <col min="12" max="12" width="8.28515625" style="17"/>
  </cols>
  <sheetData>
    <row r="3" spans="1:12" ht="13.15" customHeight="1">
      <c r="A3" s="30" t="s">
        <v>86</v>
      </c>
      <c r="B3" s="30"/>
      <c r="C3" s="30"/>
      <c r="D3" s="30" t="s">
        <v>112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4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 t="s">
        <v>113</v>
      </c>
      <c r="B5" s="32"/>
      <c r="C5" s="32"/>
      <c r="D5" s="32"/>
      <c r="E5" s="32"/>
      <c r="F5" s="32"/>
      <c r="G5" s="2">
        <v>37</v>
      </c>
      <c r="H5" s="4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4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4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4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4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4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4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4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4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4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4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4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4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4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4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4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4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4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4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4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4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4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4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4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4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4" t="s">
        <v>114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4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4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4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4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4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4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4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4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4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4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4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>
  <sheetPr codeName="Лист50"/>
  <dimension ref="A3:M44"/>
  <sheetViews>
    <sheetView topLeftCell="A4" workbookViewId="0">
      <selection activeCell="I48" sqref="I48"/>
    </sheetView>
  </sheetViews>
  <sheetFormatPr defaultColWidth="8.28515625" defaultRowHeight="13.15" customHeight="1"/>
  <cols>
    <col min="1" max="1" width="4.7109375" style="17" customWidth="1"/>
    <col min="2" max="2" width="30.7109375" customWidth="1"/>
    <col min="3" max="3" width="6.28515625" customWidth="1"/>
    <col min="4" max="4" width="7.140625" customWidth="1"/>
    <col min="5" max="5" width="7.85546875" customWidth="1"/>
    <col min="6" max="6" width="8.28515625" style="17"/>
    <col min="7" max="7" width="4.7109375" style="17" customWidth="1"/>
    <col min="8" max="8" width="23.28515625" customWidth="1"/>
    <col min="9" max="9" width="6.42578125" customWidth="1"/>
    <col min="10" max="10" width="6.28515625" customWidth="1"/>
    <col min="12" max="12" width="8.28515625" style="17"/>
  </cols>
  <sheetData>
    <row r="3" spans="1:12" ht="13.15" customHeight="1">
      <c r="A3" s="30" t="s">
        <v>86</v>
      </c>
      <c r="B3" s="30"/>
      <c r="C3" s="30"/>
      <c r="D3" s="30" t="s">
        <v>112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4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 t="s">
        <v>113</v>
      </c>
      <c r="B5" s="32"/>
      <c r="C5" s="32"/>
      <c r="D5" s="32"/>
      <c r="E5" s="32"/>
      <c r="F5" s="32"/>
      <c r="G5" s="2">
        <v>37</v>
      </c>
      <c r="H5" s="4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4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4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4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4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4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4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4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4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4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4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4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4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4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4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4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4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4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4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4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4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4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4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4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4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4" t="s">
        <v>114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4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4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4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4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4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4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4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4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4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4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4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>
  <sheetPr codeName="Лист51"/>
  <dimension ref="A3:M44"/>
  <sheetViews>
    <sheetView workbookViewId="0">
      <selection activeCell="N34" sqref="N34"/>
    </sheetView>
  </sheetViews>
  <sheetFormatPr defaultColWidth="8.28515625" defaultRowHeight="13.15" customHeight="1"/>
  <cols>
    <col min="1" max="1" width="4.7109375" style="17" customWidth="1"/>
    <col min="2" max="2" width="30.7109375" customWidth="1"/>
    <col min="3" max="3" width="6.28515625" customWidth="1"/>
    <col min="4" max="4" width="7.140625" customWidth="1"/>
    <col min="5" max="5" width="7.85546875" customWidth="1"/>
    <col min="6" max="6" width="8.28515625" style="17"/>
    <col min="7" max="7" width="4.7109375" style="17" customWidth="1"/>
    <col min="8" max="8" width="23.28515625" customWidth="1"/>
    <col min="9" max="9" width="6.42578125" customWidth="1"/>
    <col min="10" max="10" width="6.28515625" customWidth="1"/>
    <col min="12" max="12" width="8.28515625" style="17"/>
  </cols>
  <sheetData>
    <row r="3" spans="1:12" ht="13.15" customHeight="1">
      <c r="A3" s="30" t="s">
        <v>86</v>
      </c>
      <c r="B3" s="30"/>
      <c r="C3" s="30"/>
      <c r="D3" s="30" t="s">
        <v>112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4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 t="s">
        <v>113</v>
      </c>
      <c r="B5" s="32"/>
      <c r="C5" s="32"/>
      <c r="D5" s="32"/>
      <c r="E5" s="32"/>
      <c r="F5" s="32"/>
      <c r="G5" s="2">
        <v>37</v>
      </c>
      <c r="H5" s="4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4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4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4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4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4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4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4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4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4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4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4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4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4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4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4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4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4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4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4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4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4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4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4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4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4" t="s">
        <v>114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4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4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4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4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4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4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4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4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4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4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4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>
  <sheetPr codeName="Лист52">
    <tabColor rgb="FFFF0000"/>
  </sheetPr>
  <dimension ref="A3:M44"/>
  <sheetViews>
    <sheetView workbookViewId="0">
      <selection activeCell="D7" sqref="D7"/>
    </sheetView>
  </sheetViews>
  <sheetFormatPr defaultColWidth="8.28515625" defaultRowHeight="13.15" customHeight="1"/>
  <cols>
    <col min="1" max="1" width="4.7109375" style="17" customWidth="1"/>
    <col min="2" max="2" width="30.7109375" customWidth="1"/>
    <col min="3" max="3" width="6.28515625" customWidth="1"/>
    <col min="4" max="4" width="7.140625" customWidth="1"/>
    <col min="5" max="5" width="7.85546875" customWidth="1"/>
    <col min="6" max="6" width="8.28515625" style="17"/>
    <col min="7" max="7" width="4.7109375" style="17" customWidth="1"/>
    <col min="8" max="8" width="23.28515625" customWidth="1"/>
    <col min="9" max="9" width="6.42578125" customWidth="1"/>
    <col min="10" max="10" width="6.28515625" style="17" customWidth="1"/>
    <col min="12" max="12" width="8.28515625" style="17"/>
  </cols>
  <sheetData>
    <row r="3" spans="1:12" ht="13.15" customHeight="1">
      <c r="A3" s="30" t="s">
        <v>86</v>
      </c>
      <c r="B3" s="30"/>
      <c r="C3" s="30"/>
      <c r="D3" s="30" t="s">
        <v>112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4" t="s">
        <v>88</v>
      </c>
      <c r="I4" s="2" t="s">
        <v>9</v>
      </c>
      <c r="J4" s="2">
        <f>'bcd1'!J4+'bcd2'!J4+'bcd3'!J4+'bcd4'!J4+'bcd5'!J4+'bcd6'!J4+'bcd7'!J4+'bcd8'!J4+'bcd9'!J4+'bcd10'!J4+'bcd11'!J4+'bcd12'!J4+'bcd13'!J4+'bcd14'!J4+'bcd15'!J4+'bcd16'!J4+'bcd17'!J4+'bcd18'!J4+'bcd19'!J4+'bcd20'!J4+'bcd21'!J4+'bcd22'!J4+'bcd23'!J4+'bcd24'!J4</f>
        <v>0</v>
      </c>
      <c r="K4" s="5">
        <v>1.4</v>
      </c>
      <c r="L4" s="5">
        <f>J4*K4</f>
        <v>0</v>
      </c>
    </row>
    <row r="5" spans="1:12" ht="13.15" customHeight="1">
      <c r="A5" s="32" t="s">
        <v>113</v>
      </c>
      <c r="B5" s="32"/>
      <c r="C5" s="32"/>
      <c r="D5" s="32"/>
      <c r="E5" s="32"/>
      <c r="F5" s="32"/>
      <c r="G5" s="2">
        <v>37</v>
      </c>
      <c r="H5" s="4" t="s">
        <v>10</v>
      </c>
      <c r="I5" s="2" t="s">
        <v>9</v>
      </c>
      <c r="J5" s="2">
        <f>'bcd1'!J5+'bcd2'!J5+'bcd3'!J5+'bcd4'!J5+'bcd5'!J5+'bcd6'!J5+'bcd7'!J5+'bcd8'!J5+'bcd9'!J5+'bcd10'!J5+'bcd11'!J5+'bcd12'!J5+'bcd13'!J5+'bcd14'!J5+'bcd15'!J5+'bcd16'!J5+'bcd17'!J5+'bcd18'!J5+'bcd19'!J5+'bcd20'!J5+'bcd21'!J5+'bcd22'!J5+'bcd23'!J5+'bcd24'!J5</f>
        <v>0</v>
      </c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4" t="s">
        <v>11</v>
      </c>
      <c r="I6" s="2" t="s">
        <v>9</v>
      </c>
      <c r="J6" s="2">
        <f>'bcd1'!J6+'bcd2'!J6+'bcd3'!J6+'bcd4'!J6+'bcd5'!J6+'bcd6'!J6+'bcd7'!J6+'bcd8'!J6+'bcd9'!J6+'bcd10'!J6+'bcd11'!J6+'bcd12'!J6+'bcd13'!J6+'bcd14'!J6+'bcd15'!J6+'bcd16'!J6+'bcd17'!J6+'bcd18'!J6+'bcd19'!J6+'bcd20'!J6+'bcd21'!J6+'bcd22'!J6+'bcd23'!J6+'bcd24'!J6</f>
        <v>0</v>
      </c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>
        <f>'bcd1'!D7+'bcd2'!D7+'bcd3'!D7+'bcd4'!D7+'bcd5'!D7+'bcd6'!D7+'bcd7'!D7+'bcd8'!D7+'bcd9'!D7+'bcd10'!D7+'bcd11'!D7+'bcd12'!D7+'bcd13'!D7+'bcd14'!D7+'bcd15'!D7+'bcd16'!D7+'bcd17'!D7+'bcd18'!D7+'bcd19'!D7+'bcd20'!D7+'bcd21'!D7+'bcd22'!D7+'bcd23'!D7+'bcd24'!D7</f>
        <v>101</v>
      </c>
      <c r="E7" s="5">
        <v>6.85</v>
      </c>
      <c r="F7" s="20">
        <f>D7*E7</f>
        <v>691.84999999999991</v>
      </c>
      <c r="G7" s="2">
        <v>39</v>
      </c>
      <c r="H7" s="4" t="s">
        <v>13</v>
      </c>
      <c r="I7" s="2" t="s">
        <v>9</v>
      </c>
      <c r="J7" s="2">
        <f>'bcd1'!J7+'bcd2'!J7+'bcd3'!J7+'bcd4'!J7+'bcd5'!J7+'bcd6'!J7+'bcd7'!J7+'bcd8'!J7+'bcd9'!J7+'bcd10'!J7+'bcd11'!J7+'bcd12'!J7+'bcd13'!J7+'bcd14'!J7+'bcd15'!J7+'bcd16'!J7+'bcd17'!J7+'bcd18'!J7+'bcd19'!J7+'bcd20'!J7+'bcd21'!J7+'bcd22'!J7+'bcd23'!J7+'bcd24'!J7</f>
        <v>0</v>
      </c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>
        <f>'bcd1'!D8+'bcd2'!D8+'bcd3'!D8+'bcd4'!D8+'bcd5'!D8+'bcd6'!D8+'bcd7'!D8+'bcd8'!D8+'bcd9'!D8+'bcd10'!D8+'bcd11'!D8+'bcd12'!D8+'bcd13'!D8+'bcd14'!D8+'bcd15'!D8+'bcd16'!D8+'bcd17'!D8+'bcd18'!D8+'bcd19'!D8+'bcd20'!D8+'bcd21'!D8+'bcd22'!D8+'bcd23'!D8+'bcd24'!D8</f>
        <v>0</v>
      </c>
      <c r="E8" s="5">
        <v>5</v>
      </c>
      <c r="F8" s="20">
        <f t="shared" ref="F8:F41" si="1">D8*E8</f>
        <v>0</v>
      </c>
      <c r="G8" s="2">
        <v>40</v>
      </c>
      <c r="H8" s="4" t="s">
        <v>15</v>
      </c>
      <c r="I8" s="2" t="s">
        <v>9</v>
      </c>
      <c r="J8" s="2">
        <f>'bcd1'!J8+'bcd2'!J8+'bcd3'!J8+'bcd4'!J8+'bcd5'!J8+'bcd6'!J8+'bcd7'!J8+'bcd8'!J8+'bcd9'!J8+'bcd10'!J8+'bcd11'!J8+'bcd12'!J8+'bcd13'!J8+'bcd14'!J8+'bcd15'!J8+'bcd16'!J8+'bcd17'!J8+'bcd18'!J8+'bcd19'!J8+'bcd20'!J8+'bcd21'!J8+'bcd22'!J8+'bcd23'!J8+'bcd24'!J8</f>
        <v>0</v>
      </c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>
        <f>'bcd1'!D9+'bcd2'!D9+'bcd3'!D9+'bcd4'!D9+'bcd5'!D9+'bcd6'!D9+'bcd7'!D9+'bcd8'!D9+'bcd9'!D9+'bcd10'!D9+'bcd11'!D9+'bcd12'!D9+'bcd13'!D9+'bcd14'!D9+'bcd15'!D9+'bcd16'!D9+'bcd17'!D9+'bcd18'!D9+'bcd19'!D9+'bcd20'!D9+'bcd21'!D9+'bcd22'!D9+'bcd23'!D9+'bcd24'!D9</f>
        <v>0</v>
      </c>
      <c r="E9" s="5">
        <v>5.6</v>
      </c>
      <c r="F9" s="20">
        <f t="shared" si="1"/>
        <v>0</v>
      </c>
      <c r="G9" s="2">
        <v>41</v>
      </c>
      <c r="H9" s="4" t="s">
        <v>17</v>
      </c>
      <c r="I9" s="2" t="s">
        <v>9</v>
      </c>
      <c r="J9" s="2">
        <f>'bcd1'!J9+'bcd2'!J9+'bcd3'!J9+'bcd4'!J9+'bcd5'!J9+'bcd6'!J9+'bcd7'!J9+'bcd8'!J9+'bcd9'!J9+'bcd10'!J9+'bcd11'!J9+'bcd12'!J9+'bcd13'!J9+'bcd14'!J9+'bcd15'!J9+'bcd16'!J9+'bcd17'!J9+'bcd18'!J9+'bcd19'!J9+'bcd20'!J9+'bcd21'!J9+'bcd22'!J9+'bcd23'!J9+'bcd24'!J9</f>
        <v>0</v>
      </c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>
        <f>'bcd1'!D10+'bcd2'!D10+'bcd3'!D10+'bcd4'!D10+'bcd5'!D10+'bcd6'!D10+'bcd7'!D10+'bcd8'!D10+'bcd9'!D10+'bcd10'!D10+'bcd11'!D10+'bcd12'!D10+'bcd13'!D10+'bcd14'!D10+'bcd15'!D10+'bcd16'!D10+'bcd17'!D10+'bcd18'!D10+'bcd19'!D10+'bcd20'!D10+'bcd21'!D10+'bcd22'!D10+'bcd23'!D10+'bcd24'!D10</f>
        <v>0</v>
      </c>
      <c r="E10" s="5">
        <v>7.35</v>
      </c>
      <c r="F10" s="20">
        <f t="shared" si="1"/>
        <v>0</v>
      </c>
      <c r="G10" s="2">
        <v>42</v>
      </c>
      <c r="H10" s="4" t="s">
        <v>19</v>
      </c>
      <c r="I10" s="2" t="s">
        <v>9</v>
      </c>
      <c r="J10" s="2">
        <f>'bcd1'!J10+'bcd2'!J10+'bcd3'!J10+'bcd4'!J10+'bcd5'!J10+'bcd6'!J10+'bcd7'!J10+'bcd8'!J10+'bcd9'!J10+'bcd10'!J10+'bcd11'!J10+'bcd12'!J10+'bcd13'!J10+'bcd14'!J10+'bcd15'!J10+'bcd16'!J10+'bcd17'!J10+'bcd18'!J10+'bcd19'!J10+'bcd20'!J10+'bcd21'!J10+'bcd22'!J10+'bcd23'!J10+'bcd24'!J10</f>
        <v>0</v>
      </c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>
        <f>'bcd1'!D11+'bcd2'!D11+'bcd3'!D11+'bcd4'!D11+'bcd5'!D11+'bcd6'!D11+'bcd7'!D11+'bcd8'!D11+'bcd9'!D11+'bcd10'!D11+'bcd11'!D11+'bcd12'!D11+'bcd13'!D11+'bcd14'!D11+'bcd15'!D11+'bcd16'!D11+'bcd17'!D11+'bcd18'!D11+'bcd19'!D11+'bcd20'!D11+'bcd21'!D11+'bcd22'!D11+'bcd23'!D11+'bcd24'!D11</f>
        <v>0</v>
      </c>
      <c r="E11" s="5">
        <v>5.25</v>
      </c>
      <c r="F11" s="20">
        <f t="shared" si="1"/>
        <v>0</v>
      </c>
      <c r="G11" s="2">
        <v>43</v>
      </c>
      <c r="H11" s="4" t="s">
        <v>21</v>
      </c>
      <c r="I11" s="2" t="s">
        <v>9</v>
      </c>
      <c r="J11" s="2">
        <f>'bcd1'!J11+'bcd2'!J11+'bcd3'!J11+'bcd4'!J11+'bcd5'!J11+'bcd6'!J11+'bcd7'!J11+'bcd8'!J11+'bcd9'!J11+'bcd10'!J11+'bcd11'!J11+'bcd12'!J11+'bcd13'!J11+'bcd14'!J11+'bcd15'!J11+'bcd16'!J11+'bcd17'!J11+'bcd18'!J11+'bcd19'!J11+'bcd20'!J11+'bcd21'!J11+'bcd22'!J11+'bcd23'!J11+'bcd24'!J11</f>
        <v>0</v>
      </c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>
        <f>'bcd1'!D12+'bcd2'!D12+'bcd3'!D12+'bcd4'!D12+'bcd5'!D12+'bcd6'!D12+'bcd7'!D12+'bcd8'!D12+'bcd9'!D12+'bcd10'!D12+'bcd11'!D12+'bcd12'!D12+'bcd13'!D12+'bcd14'!D12+'bcd15'!D12+'bcd16'!D12+'bcd17'!D12+'bcd18'!D12+'bcd19'!D12+'bcd20'!D12+'bcd21'!D12+'bcd22'!D12+'bcd23'!D12+'bcd24'!D12</f>
        <v>0</v>
      </c>
      <c r="E12" s="5">
        <v>6</v>
      </c>
      <c r="F12" s="20">
        <f t="shared" si="1"/>
        <v>0</v>
      </c>
      <c r="G12" s="2">
        <v>44</v>
      </c>
      <c r="H12" s="4" t="s">
        <v>23</v>
      </c>
      <c r="I12" s="2" t="s">
        <v>9</v>
      </c>
      <c r="J12" s="2">
        <f>'bcd1'!J12+'bcd2'!J12+'bcd3'!J12+'bcd4'!J12+'bcd5'!J12+'bcd6'!J12+'bcd7'!J12+'bcd8'!J12+'bcd9'!J12+'bcd10'!J12+'bcd11'!J12+'bcd12'!J12+'bcd13'!J12+'bcd14'!J12+'bcd15'!J12+'bcd16'!J12+'bcd17'!J12+'bcd18'!J12+'bcd19'!J12+'bcd20'!J12+'bcd21'!J12+'bcd22'!J12+'bcd23'!J12+'bcd24'!J12</f>
        <v>0</v>
      </c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>
        <f>'bcd1'!D13+'bcd2'!D13+'bcd3'!D13+'bcd4'!D13+'bcd5'!D13+'bcd6'!D13+'bcd7'!D13+'bcd8'!D13+'bcd9'!D13+'bcd10'!D13+'bcd11'!D13+'bcd12'!D13+'bcd13'!D13+'bcd14'!D13+'bcd15'!D13+'bcd16'!D13+'bcd17'!D13+'bcd18'!D13+'bcd19'!D13+'bcd20'!D13+'bcd21'!D13+'bcd22'!D13+'bcd23'!D13+'bcd24'!D13</f>
        <v>0</v>
      </c>
      <c r="E13" s="5">
        <v>5.75</v>
      </c>
      <c r="F13" s="20">
        <f t="shared" si="1"/>
        <v>0</v>
      </c>
      <c r="G13" s="2">
        <v>45</v>
      </c>
      <c r="H13" s="4" t="s">
        <v>25</v>
      </c>
      <c r="I13" s="2" t="s">
        <v>9</v>
      </c>
      <c r="J13" s="2">
        <f>'bcd1'!J13+'bcd2'!J13+'bcd3'!J13+'bcd4'!J13+'bcd5'!J13+'bcd6'!J13+'bcd7'!J13+'bcd8'!J13+'bcd9'!J13+'bcd10'!J13+'bcd11'!J13+'bcd12'!J13+'bcd13'!J13+'bcd14'!J13+'bcd15'!J13+'bcd16'!J13+'bcd17'!J13+'bcd18'!J13+'bcd19'!J13+'bcd20'!J13+'bcd21'!J13+'bcd22'!J13+'bcd23'!J13+'bcd24'!J13</f>
        <v>0</v>
      </c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>
        <f>'bcd1'!D14+'bcd2'!D14+'bcd3'!D14+'bcd4'!D14+'bcd5'!D14+'bcd6'!D14+'bcd7'!D14+'bcd8'!D14+'bcd9'!D14+'bcd10'!D14+'bcd11'!D14+'bcd12'!D14+'bcd13'!D14+'bcd14'!D14+'bcd15'!D14+'bcd16'!D14+'bcd17'!D14+'bcd18'!D14+'bcd19'!D14+'bcd20'!D14+'bcd21'!D14+'bcd22'!D14+'bcd23'!D14+'bcd24'!D14</f>
        <v>0</v>
      </c>
      <c r="E14" s="5">
        <v>6.2</v>
      </c>
      <c r="F14" s="20">
        <f t="shared" si="1"/>
        <v>0</v>
      </c>
      <c r="G14" s="2">
        <v>46</v>
      </c>
      <c r="H14" s="4" t="s">
        <v>90</v>
      </c>
      <c r="I14" s="2" t="s">
        <v>9</v>
      </c>
      <c r="J14" s="2">
        <f>'bcd1'!J14+'bcd2'!J14+'bcd3'!J14+'bcd4'!J14+'bcd5'!J14+'bcd6'!J14+'bcd7'!J14+'bcd8'!J14+'bcd9'!J14+'bcd10'!J14+'bcd11'!J14+'bcd12'!J14+'bcd13'!J14+'bcd14'!J14+'bcd15'!J14+'bcd16'!J14+'bcd17'!J14+'bcd18'!J14+'bcd19'!J14+'bcd20'!J14+'bcd21'!J14+'bcd22'!J14+'bcd23'!J14+'bcd24'!J14</f>
        <v>0</v>
      </c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>
        <f>'bcd1'!D15+'bcd2'!D15+'bcd3'!D15+'bcd4'!D15+'bcd5'!D15+'bcd6'!D15+'bcd7'!D15+'bcd8'!D15+'bcd9'!D15+'bcd10'!D15+'bcd11'!D15+'bcd12'!D15+'bcd13'!D15+'bcd14'!D15+'bcd15'!D15+'bcd16'!D15+'bcd17'!D15+'bcd18'!D15+'bcd19'!D15+'bcd20'!D15+'bcd21'!D15+'bcd22'!D15+'bcd23'!D15+'bcd24'!D15</f>
        <v>0</v>
      </c>
      <c r="E15" s="5">
        <v>4</v>
      </c>
      <c r="F15" s="20">
        <f t="shared" si="1"/>
        <v>0</v>
      </c>
      <c r="G15" s="2">
        <v>47</v>
      </c>
      <c r="H15" s="4" t="s">
        <v>29</v>
      </c>
      <c r="I15" s="2" t="s">
        <v>9</v>
      </c>
      <c r="J15" s="2">
        <f>'bcd1'!J15+'bcd2'!J15+'bcd3'!J15+'bcd4'!J15+'bcd5'!J15+'bcd6'!J15+'bcd7'!J15+'bcd8'!J15+'bcd9'!J15+'bcd10'!J15+'bcd11'!J15+'bcd12'!J15+'bcd13'!J15+'bcd14'!J15+'bcd15'!J15+'bcd16'!J15+'bcd17'!J15+'bcd18'!J15+'bcd19'!J15+'bcd20'!J15+'bcd21'!J15+'bcd22'!J15+'bcd23'!J15+'bcd24'!J15</f>
        <v>0</v>
      </c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>
        <f>'bcd1'!D16+'bcd2'!D16+'bcd3'!D16+'bcd4'!D16+'bcd5'!D16+'bcd6'!D16+'bcd7'!D16+'bcd8'!D16+'bcd9'!D16+'bcd10'!D16+'bcd11'!D16+'bcd12'!D16+'bcd13'!D16+'bcd14'!D16+'bcd15'!D16+'bcd16'!D16+'bcd17'!D16+'bcd18'!D16+'bcd19'!D16+'bcd20'!D16+'bcd21'!D16+'bcd22'!D16+'bcd23'!D16+'bcd24'!D16</f>
        <v>0</v>
      </c>
      <c r="E16" s="5">
        <v>6.15</v>
      </c>
      <c r="F16" s="20">
        <f t="shared" si="1"/>
        <v>0</v>
      </c>
      <c r="G16" s="2">
        <v>48</v>
      </c>
      <c r="H16" s="4" t="s">
        <v>31</v>
      </c>
      <c r="I16" s="2" t="s">
        <v>9</v>
      </c>
      <c r="J16" s="2">
        <f>'bcd1'!J16+'bcd2'!J16+'bcd3'!J16+'bcd4'!J16+'bcd5'!J16+'bcd6'!J16+'bcd7'!J16+'bcd8'!J16+'bcd9'!J16+'bcd10'!J16+'bcd11'!J16+'bcd12'!J16+'bcd13'!J16+'bcd14'!J16+'bcd15'!J16+'bcd16'!J16+'bcd17'!J16+'bcd18'!J16+'bcd19'!J16+'bcd20'!J16+'bcd21'!J16+'bcd22'!J16+'bcd23'!J16+'bcd24'!J16</f>
        <v>0</v>
      </c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>
        <f>'bcd1'!D17+'bcd2'!D17+'bcd3'!D17+'bcd4'!D17+'bcd5'!D17+'bcd6'!D17+'bcd7'!D17+'bcd8'!D17+'bcd9'!D17+'bcd10'!D17+'bcd11'!D17+'bcd12'!D17+'bcd13'!D17+'bcd14'!D17+'bcd15'!D17+'bcd16'!D17+'bcd17'!D17+'bcd18'!D17+'bcd19'!D17+'bcd20'!D17+'bcd21'!D17+'bcd22'!D17+'bcd23'!D17+'bcd24'!D17</f>
        <v>880</v>
      </c>
      <c r="E17" s="5">
        <v>6.3</v>
      </c>
      <c r="F17" s="20">
        <f t="shared" si="1"/>
        <v>5544</v>
      </c>
      <c r="G17" s="2">
        <v>49</v>
      </c>
      <c r="H17" s="4" t="s">
        <v>33</v>
      </c>
      <c r="I17" s="2" t="s">
        <v>9</v>
      </c>
      <c r="J17" s="2">
        <f>'bcd1'!J17+'bcd2'!J17+'bcd3'!J17+'bcd4'!J17+'bcd5'!J17+'bcd6'!J17+'bcd7'!J17+'bcd8'!J17+'bcd9'!J17+'bcd10'!J17+'bcd11'!J17+'bcd12'!J17+'bcd13'!J17+'bcd14'!J17+'bcd15'!J17+'bcd16'!J17+'bcd17'!J17+'bcd18'!J17+'bcd19'!J17+'bcd20'!J17+'bcd21'!J17+'bcd22'!J17+'bcd23'!J17+'bcd24'!J17</f>
        <v>0</v>
      </c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>
        <f>'bcd1'!D18+'bcd2'!D18+'bcd3'!D18+'bcd4'!D18+'bcd5'!D18+'bcd6'!D18+'bcd7'!D18+'bcd8'!D18+'bcd9'!D18+'bcd10'!D18+'bcd11'!D18+'bcd12'!D18+'bcd13'!D18+'bcd14'!D18+'bcd15'!D18+'bcd16'!D18+'bcd17'!D18+'bcd18'!D18+'bcd19'!D18+'bcd20'!D18+'bcd21'!D18+'bcd22'!D18+'bcd23'!D18+'bcd24'!D18</f>
        <v>0</v>
      </c>
      <c r="E18" s="5">
        <v>6.3</v>
      </c>
      <c r="F18" s="20">
        <f t="shared" si="1"/>
        <v>0</v>
      </c>
      <c r="G18" s="2">
        <v>50</v>
      </c>
      <c r="H18" s="4" t="s">
        <v>92</v>
      </c>
      <c r="I18" s="2" t="s">
        <v>9</v>
      </c>
      <c r="J18" s="2">
        <f>'bcd1'!J18+'bcd2'!J18+'bcd3'!J18+'bcd4'!J18+'bcd5'!J18+'bcd6'!J18+'bcd7'!J18+'bcd8'!J18+'bcd9'!J18+'bcd10'!J18+'bcd11'!J18+'bcd12'!J18+'bcd13'!J18+'bcd14'!J18+'bcd15'!J18+'bcd16'!J18+'bcd17'!J18+'bcd18'!J18+'bcd19'!J18+'bcd20'!J18+'bcd21'!J18+'bcd22'!J18+'bcd23'!J18+'bcd24'!J18</f>
        <v>0</v>
      </c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>
        <f>'bcd1'!D19+'bcd2'!D19+'bcd3'!D19+'bcd4'!D19+'bcd5'!D19+'bcd6'!D19+'bcd7'!D19+'bcd8'!D19+'bcd9'!D19+'bcd10'!D19+'bcd11'!D19+'bcd12'!D19+'bcd13'!D19+'bcd14'!D19+'bcd15'!D19+'bcd16'!D19+'bcd17'!D19+'bcd18'!D19+'bcd19'!D19+'bcd20'!D19+'bcd21'!D19+'bcd22'!D19+'bcd23'!D19+'bcd24'!D19</f>
        <v>0</v>
      </c>
      <c r="E19" s="5">
        <v>6.8</v>
      </c>
      <c r="F19" s="20">
        <f t="shared" si="1"/>
        <v>0</v>
      </c>
      <c r="G19" s="2">
        <v>51</v>
      </c>
      <c r="H19" s="4" t="s">
        <v>93</v>
      </c>
      <c r="I19" s="2" t="s">
        <v>9</v>
      </c>
      <c r="J19" s="2">
        <f>'bcd1'!J19+'bcd2'!J19+'bcd3'!J19+'bcd4'!J19+'bcd5'!J19+'bcd6'!J19+'bcd7'!J19+'bcd8'!J19+'bcd9'!J19+'bcd10'!J19+'bcd11'!J19+'bcd12'!J19+'bcd13'!J19+'bcd14'!J19+'bcd15'!J19+'bcd16'!J19+'bcd17'!J19+'bcd18'!J19+'bcd19'!J19+'bcd20'!J19+'bcd21'!J19+'bcd22'!J19+'bcd23'!J19+'bcd24'!J19</f>
        <v>0</v>
      </c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>
        <f>'bcd1'!D20+'bcd2'!D20+'bcd3'!D20+'bcd4'!D20+'bcd5'!D20+'bcd6'!D20+'bcd7'!D20+'bcd8'!D20+'bcd9'!D20+'bcd10'!D20+'bcd11'!D20+'bcd12'!D20+'bcd13'!D20+'bcd14'!D20+'bcd15'!D20+'bcd16'!D20+'bcd17'!D20+'bcd18'!D20+'bcd19'!D20+'bcd20'!D20+'bcd21'!D20+'bcd22'!D20+'bcd23'!D20+'bcd24'!D20</f>
        <v>0</v>
      </c>
      <c r="E20" s="5">
        <v>5.0999999999999996</v>
      </c>
      <c r="F20" s="20">
        <f t="shared" si="1"/>
        <v>0</v>
      </c>
      <c r="G20" s="2">
        <v>52</v>
      </c>
      <c r="H20" s="4" t="s">
        <v>39</v>
      </c>
      <c r="I20" s="2" t="s">
        <v>9</v>
      </c>
      <c r="J20" s="2">
        <f>'bcd1'!J20+'bcd2'!J20+'bcd3'!J20+'bcd4'!J20+'bcd5'!J20+'bcd6'!J20+'bcd7'!J20+'bcd8'!J20+'bcd9'!J20+'bcd10'!J20+'bcd11'!J20+'bcd12'!J20+'bcd13'!J20+'bcd14'!J20+'bcd15'!J20+'bcd16'!J20+'bcd17'!J20+'bcd18'!J20+'bcd19'!J20+'bcd20'!J20+'bcd21'!J20+'bcd22'!J20+'bcd23'!J20+'bcd24'!J20</f>
        <v>0</v>
      </c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>
        <f>'bcd1'!D21+'bcd2'!D21+'bcd3'!D21+'bcd4'!D21+'bcd5'!D21+'bcd6'!D21+'bcd7'!D21+'bcd8'!D21+'bcd9'!D21+'bcd10'!D21+'bcd11'!D21+'bcd12'!D21+'bcd13'!D21+'bcd14'!D21+'bcd15'!D21+'bcd16'!D21+'bcd17'!D21+'bcd18'!D21+'bcd19'!D21+'bcd20'!D21+'bcd21'!D21+'bcd22'!D21+'bcd23'!D21+'bcd24'!D21</f>
        <v>0</v>
      </c>
      <c r="E21" s="5">
        <v>5.6</v>
      </c>
      <c r="F21" s="20">
        <f t="shared" si="1"/>
        <v>0</v>
      </c>
      <c r="G21" s="2">
        <v>53</v>
      </c>
      <c r="H21" s="4" t="s">
        <v>94</v>
      </c>
      <c r="I21" s="2" t="s">
        <v>9</v>
      </c>
      <c r="J21" s="2">
        <f>'bcd1'!J21+'bcd2'!J21+'bcd3'!J21+'bcd4'!J21+'bcd5'!J21+'bcd6'!J21+'bcd7'!J21+'bcd8'!J21+'bcd9'!J21+'bcd10'!J21+'bcd11'!J21+'bcd12'!J21+'bcd13'!J21+'bcd14'!J21+'bcd15'!J21+'bcd16'!J21+'bcd17'!J21+'bcd18'!J21+'bcd19'!J21+'bcd20'!J21+'bcd21'!J21+'bcd22'!J21+'bcd23'!J21+'bcd24'!J21</f>
        <v>0</v>
      </c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>
        <f>'bcd1'!D22+'bcd2'!D22+'bcd3'!D22+'bcd4'!D22+'bcd5'!D22+'bcd6'!D22+'bcd7'!D22+'bcd8'!D22+'bcd9'!D22+'bcd10'!D22+'bcd11'!D22+'bcd12'!D22+'bcd13'!D22+'bcd14'!D22+'bcd15'!D22+'bcd16'!D22+'bcd17'!D22+'bcd18'!D22+'bcd19'!D22+'bcd20'!D22+'bcd21'!D22+'bcd22'!D22+'bcd23'!D22+'bcd24'!D22</f>
        <v>0</v>
      </c>
      <c r="E22" s="5">
        <v>2.4</v>
      </c>
      <c r="F22" s="20">
        <f t="shared" si="1"/>
        <v>0</v>
      </c>
      <c r="G22" s="2">
        <v>54</v>
      </c>
      <c r="H22" s="4" t="s">
        <v>95</v>
      </c>
      <c r="I22" s="2" t="s">
        <v>9</v>
      </c>
      <c r="J22" s="2">
        <f>'bcd1'!J22+'bcd2'!J22+'bcd3'!J22+'bcd4'!J22+'bcd5'!J22+'bcd6'!J22+'bcd7'!J22+'bcd8'!J22+'bcd9'!J22+'bcd10'!J22+'bcd11'!J22+'bcd12'!J22+'bcd13'!J22+'bcd14'!J22+'bcd15'!J22+'bcd16'!J22+'bcd17'!J22+'bcd18'!J22+'bcd19'!J22+'bcd20'!J22+'bcd21'!J22+'bcd22'!J22+'bcd23'!J22+'bcd24'!J22</f>
        <v>0</v>
      </c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>
        <f>'bcd1'!D23+'bcd2'!D23+'bcd3'!D23+'bcd4'!D23+'bcd5'!D23+'bcd6'!D23+'bcd7'!D23+'bcd8'!D23+'bcd9'!D23+'bcd10'!D23+'bcd11'!D23+'bcd12'!D23+'bcd13'!D23+'bcd14'!D23+'bcd15'!D23+'bcd16'!D23+'bcd17'!D23+'bcd18'!D23+'bcd19'!D23+'bcd20'!D23+'bcd21'!D23+'bcd22'!D23+'bcd23'!D23+'bcd24'!D23</f>
        <v>0</v>
      </c>
      <c r="E23" s="5">
        <v>1.3</v>
      </c>
      <c r="F23" s="20">
        <f t="shared" si="1"/>
        <v>0</v>
      </c>
      <c r="G23" s="2">
        <v>55</v>
      </c>
      <c r="H23" s="4" t="s">
        <v>41</v>
      </c>
      <c r="I23" s="2" t="s">
        <v>9</v>
      </c>
      <c r="J23" s="2">
        <f>'bcd1'!J23+'bcd2'!J23+'bcd3'!J23+'bcd4'!J23+'bcd5'!J23+'bcd6'!J23+'bcd7'!J23+'bcd8'!J23+'bcd9'!J23+'bcd10'!J23+'bcd11'!J23+'bcd12'!J23+'bcd13'!J23+'bcd14'!J23+'bcd15'!J23+'bcd16'!J23+'bcd17'!J23+'bcd18'!J23+'bcd19'!J23+'bcd20'!J23+'bcd21'!J23+'bcd22'!J23+'bcd23'!J23+'bcd24'!J23</f>
        <v>0</v>
      </c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>
        <f>'bcd1'!D24+'bcd2'!D24+'bcd3'!D24+'bcd4'!D24+'bcd5'!D24+'bcd6'!D24+'bcd7'!D24+'bcd8'!D24+'bcd9'!D24+'bcd10'!D24+'bcd11'!D24+'bcd12'!D24+'bcd13'!D24+'bcd14'!D24+'bcd15'!D24+'bcd16'!D24+'bcd17'!D24+'bcd18'!D24+'bcd19'!D24+'bcd20'!D24+'bcd21'!D24+'bcd22'!D24+'bcd23'!D24+'bcd24'!D24</f>
        <v>0</v>
      </c>
      <c r="E24" s="5">
        <v>6</v>
      </c>
      <c r="F24" s="20">
        <f t="shared" si="1"/>
        <v>0</v>
      </c>
      <c r="G24" s="2">
        <v>56</v>
      </c>
      <c r="H24" s="4" t="s">
        <v>47</v>
      </c>
      <c r="I24" s="2" t="s">
        <v>9</v>
      </c>
      <c r="J24" s="2">
        <f>'bcd1'!J24+'bcd2'!J24+'bcd3'!J24+'bcd4'!J24+'bcd5'!J24+'bcd6'!J24+'bcd7'!J24+'bcd8'!J24+'bcd9'!J24+'bcd10'!J24+'bcd11'!J24+'bcd12'!J24+'bcd13'!J24+'bcd14'!J24+'bcd15'!J24+'bcd16'!J24+'bcd17'!J24+'bcd18'!J24+'bcd19'!J24+'bcd20'!J24+'bcd21'!J24+'bcd22'!J24+'bcd23'!J24+'bcd24'!J24</f>
        <v>0</v>
      </c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>
        <f>'bcd1'!D25+'bcd2'!D25+'bcd3'!D25+'bcd4'!D25+'bcd5'!D25+'bcd6'!D25+'bcd7'!D25+'bcd8'!D25+'bcd9'!D25+'bcd10'!D25+'bcd11'!D25+'bcd12'!D25+'bcd13'!D25+'bcd14'!D25+'bcd15'!D25+'bcd16'!D25+'bcd17'!D25+'bcd18'!D25+'bcd19'!D25+'bcd20'!D25+'bcd21'!D25+'bcd22'!D25+'bcd23'!D25+'bcd24'!D25</f>
        <v>0</v>
      </c>
      <c r="E25" s="5">
        <v>6.75</v>
      </c>
      <c r="F25" s="20">
        <f t="shared" si="1"/>
        <v>0</v>
      </c>
      <c r="G25" s="2">
        <v>57</v>
      </c>
      <c r="H25" s="4" t="s">
        <v>49</v>
      </c>
      <c r="I25" s="2" t="s">
        <v>9</v>
      </c>
      <c r="J25" s="2">
        <f>'bcd1'!J25+'bcd2'!J25+'bcd3'!J25+'bcd4'!J25+'bcd5'!J25+'bcd6'!J25+'bcd7'!J25+'bcd8'!J25+'bcd9'!J25+'bcd10'!J25+'bcd11'!J25+'bcd12'!J25+'bcd13'!J25+'bcd14'!J25+'bcd15'!J25+'bcd16'!J25+'bcd17'!J25+'bcd18'!J25+'bcd19'!J25+'bcd20'!J25+'bcd21'!J25+'bcd22'!J25+'bcd23'!J25+'bcd24'!J25</f>
        <v>0</v>
      </c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>
        <f>'bcd1'!D26+'bcd2'!D26+'bcd3'!D26+'bcd4'!D26+'bcd5'!D26+'bcd6'!D26+'bcd7'!D26+'bcd8'!D26+'bcd9'!D26+'bcd10'!D26+'bcd11'!D26+'bcd12'!D26+'bcd13'!D26+'bcd14'!D26+'bcd15'!D26+'bcd16'!D26+'bcd17'!D26+'bcd18'!D26+'bcd19'!D26+'bcd20'!D26+'bcd21'!D26+'bcd22'!D26+'bcd23'!D26+'bcd24'!D26</f>
        <v>99</v>
      </c>
      <c r="E26" s="5">
        <v>6.4</v>
      </c>
      <c r="F26" s="20">
        <f t="shared" si="1"/>
        <v>633.6</v>
      </c>
      <c r="G26" s="2">
        <v>58</v>
      </c>
      <c r="H26" s="4" t="s">
        <v>51</v>
      </c>
      <c r="I26" s="2" t="s">
        <v>9</v>
      </c>
      <c r="J26" s="2">
        <f>'bcd1'!J26+'bcd2'!J26+'bcd3'!J26+'bcd4'!J26+'bcd5'!J26+'bcd6'!J26+'bcd7'!J26+'bcd8'!J26+'bcd9'!J26+'bcd10'!J26+'bcd11'!J26+'bcd12'!J26+'bcd13'!J26+'bcd14'!J26+'bcd15'!J26+'bcd16'!J26+'bcd17'!J26+'bcd18'!J26+'bcd19'!J26+'bcd20'!J26+'bcd21'!J26+'bcd22'!J26+'bcd23'!J26+'bcd24'!J26</f>
        <v>0</v>
      </c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>
        <f>'bcd1'!D27+'bcd2'!D27+'bcd3'!D27+'bcd4'!D27+'bcd5'!D27+'bcd6'!D27+'bcd7'!D27+'bcd8'!D27+'bcd9'!D27+'bcd10'!D27+'bcd11'!D27+'bcd12'!D27+'bcd13'!D27+'bcd14'!D27+'bcd15'!D27+'bcd16'!D27+'bcd17'!D27+'bcd18'!D27+'bcd19'!D27+'bcd20'!D27+'bcd21'!D27+'bcd22'!D27+'bcd23'!D27+'bcd24'!D27</f>
        <v>0</v>
      </c>
      <c r="E27" s="5">
        <v>7.1</v>
      </c>
      <c r="F27" s="20">
        <f t="shared" si="1"/>
        <v>0</v>
      </c>
      <c r="G27" s="2">
        <v>59</v>
      </c>
      <c r="H27" s="4" t="s">
        <v>97</v>
      </c>
      <c r="I27" s="2" t="s">
        <v>9</v>
      </c>
      <c r="J27" s="2">
        <f>'bcd1'!J27+'bcd2'!J27+'bcd3'!J27+'bcd4'!J27+'bcd5'!J27+'bcd6'!J27+'bcd7'!J27+'bcd8'!J27+'bcd9'!J27+'bcd10'!J27+'bcd11'!J27+'bcd12'!J27+'bcd13'!J27+'bcd14'!J27+'bcd15'!J27+'bcd16'!J27+'bcd17'!J27+'bcd18'!J27+'bcd19'!J27+'bcd20'!J27+'bcd21'!J27+'bcd22'!J27+'bcd23'!J27+'bcd24'!J27</f>
        <v>0</v>
      </c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>
        <f>'bcd1'!D28+'bcd2'!D28+'bcd3'!D28+'bcd4'!D28+'bcd5'!D28+'bcd6'!D28+'bcd7'!D28+'bcd8'!D28+'bcd9'!D28+'bcd10'!D28+'bcd11'!D28+'bcd12'!D28+'bcd13'!D28+'bcd14'!D28+'bcd15'!D28+'bcd16'!D28+'bcd17'!D28+'bcd18'!D28+'bcd19'!D28+'bcd20'!D28+'bcd21'!D28+'bcd22'!D28+'bcd23'!D28+'bcd24'!D28</f>
        <v>0</v>
      </c>
      <c r="E28" s="5">
        <v>5.7</v>
      </c>
      <c r="F28" s="20">
        <f t="shared" si="1"/>
        <v>0</v>
      </c>
      <c r="G28" s="2">
        <v>60</v>
      </c>
      <c r="H28" s="4" t="s">
        <v>55</v>
      </c>
      <c r="I28" s="2" t="s">
        <v>9</v>
      </c>
      <c r="J28" s="2">
        <f>'bcd1'!J28+'bcd2'!J28+'bcd3'!J28+'bcd4'!J28+'bcd5'!J28+'bcd6'!J28+'bcd7'!J28+'bcd8'!J28+'bcd9'!J28+'bcd10'!J28+'bcd11'!J28+'bcd12'!J28+'bcd13'!J28+'bcd14'!J28+'bcd15'!J28+'bcd16'!J28+'bcd17'!J28+'bcd18'!J28+'bcd19'!J28+'bcd20'!J28+'bcd21'!J28+'bcd22'!J28+'bcd23'!J28+'bcd24'!J28</f>
        <v>0</v>
      </c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>
        <f>'bcd1'!D29+'bcd2'!D29+'bcd3'!D29+'bcd4'!D29+'bcd5'!D29+'bcd6'!D29+'bcd7'!D29+'bcd8'!D29+'bcd9'!D29+'bcd10'!D29+'bcd11'!D29+'bcd12'!D29+'bcd13'!D29+'bcd14'!D29+'bcd15'!D29+'bcd16'!D29+'bcd17'!D29+'bcd18'!D29+'bcd19'!D29+'bcd20'!D29+'bcd21'!D29+'bcd22'!D29+'bcd23'!D29+'bcd24'!D29</f>
        <v>0</v>
      </c>
      <c r="E29" s="5">
        <v>4.75</v>
      </c>
      <c r="F29" s="20">
        <f t="shared" si="1"/>
        <v>0</v>
      </c>
      <c r="G29" s="2">
        <v>61</v>
      </c>
      <c r="H29" s="4" t="s">
        <v>98</v>
      </c>
      <c r="I29" s="2" t="s">
        <v>9</v>
      </c>
      <c r="J29" s="2">
        <f>'bcd1'!J29+'bcd2'!J29+'bcd3'!J29+'bcd4'!J29+'bcd5'!J29+'bcd6'!J29+'bcd7'!J29+'bcd8'!J29+'bcd9'!J29+'bcd10'!J29+'bcd11'!J29+'bcd12'!J29+'bcd13'!J29+'bcd14'!J29+'bcd15'!J29+'bcd16'!J29+'bcd17'!J29+'bcd18'!J29+'bcd19'!J29+'bcd20'!J29+'bcd21'!J29+'bcd22'!J29+'bcd23'!J29+'bcd24'!J29</f>
        <v>0</v>
      </c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>
        <f>'bcd1'!D30+'bcd2'!D30+'bcd3'!D30+'bcd4'!D30+'bcd5'!D30+'bcd6'!D30+'bcd7'!D30+'bcd8'!D30+'bcd9'!D30+'bcd10'!D30+'bcd11'!D30+'bcd12'!D30+'bcd13'!D30+'bcd14'!D30+'bcd15'!D30+'bcd16'!D30+'bcd17'!D30+'bcd18'!D30+'bcd19'!D30+'bcd20'!D30+'bcd21'!D30+'bcd22'!D30+'bcd23'!D30+'bcd24'!D30</f>
        <v>0</v>
      </c>
      <c r="E30" s="5">
        <v>5.25</v>
      </c>
      <c r="F30" s="20">
        <f t="shared" si="1"/>
        <v>0</v>
      </c>
      <c r="G30" s="2">
        <v>62</v>
      </c>
      <c r="H30" s="4" t="s">
        <v>114</v>
      </c>
      <c r="I30" s="2" t="s">
        <v>9</v>
      </c>
      <c r="J30" s="2">
        <f>'bcd1'!J30+'bcd2'!J30+'bcd3'!J30+'bcd4'!J30+'bcd5'!J30+'bcd6'!J30+'bcd7'!J30+'bcd8'!J30+'bcd9'!J30+'bcd10'!J30+'bcd11'!J30+'bcd12'!J30+'bcd13'!J30+'bcd14'!J30+'bcd15'!J30+'bcd16'!J30+'bcd17'!J30+'bcd18'!J30+'bcd19'!J30+'bcd20'!J30+'bcd21'!J30+'bcd22'!J30+'bcd23'!J30+'bcd24'!J30</f>
        <v>0</v>
      </c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>
        <f>'bcd1'!D31+'bcd2'!D31+'bcd3'!D31+'bcd4'!D31+'bcd5'!D31+'bcd6'!D31+'bcd7'!D31+'bcd8'!D31+'bcd9'!D31+'bcd10'!D31+'bcd11'!D31+'bcd12'!D31+'bcd13'!D31+'bcd14'!D31+'bcd15'!D31+'bcd16'!D31+'bcd17'!D31+'bcd18'!D31+'bcd19'!D31+'bcd20'!D31+'bcd21'!D31+'bcd22'!D31+'bcd23'!D31+'bcd24'!D31</f>
        <v>0</v>
      </c>
      <c r="E31" s="5">
        <v>6</v>
      </c>
      <c r="F31" s="20">
        <f t="shared" si="1"/>
        <v>0</v>
      </c>
      <c r="G31" s="2">
        <v>63</v>
      </c>
      <c r="H31" s="4" t="s">
        <v>100</v>
      </c>
      <c r="I31" s="2" t="s">
        <v>9</v>
      </c>
      <c r="J31" s="2">
        <f>'bcd1'!J31+'bcd2'!J31+'bcd3'!J31+'bcd4'!J31+'bcd5'!J31+'bcd6'!J31+'bcd7'!J31+'bcd8'!J31+'bcd9'!J31+'bcd10'!J31+'bcd11'!J31+'bcd12'!J31+'bcd13'!J31+'bcd14'!J31+'bcd15'!J31+'bcd16'!J31+'bcd17'!J31+'bcd18'!J31+'bcd19'!J31+'bcd20'!J31+'bcd21'!J31+'bcd22'!J31+'bcd23'!J31+'bcd24'!J31</f>
        <v>0</v>
      </c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>
        <f>'bcd1'!D32+'bcd2'!D32+'bcd3'!D32+'bcd4'!D32+'bcd5'!D32+'bcd6'!D32+'bcd7'!D32+'bcd8'!D32+'bcd9'!D32+'bcd10'!D32+'bcd11'!D32+'bcd12'!D32+'bcd13'!D32+'bcd14'!D32+'bcd15'!D32+'bcd16'!D32+'bcd17'!D32+'bcd18'!D32+'bcd19'!D32+'bcd20'!D32+'bcd21'!D32+'bcd22'!D32+'bcd23'!D32+'bcd24'!D32</f>
        <v>0</v>
      </c>
      <c r="E32" s="5">
        <v>4.8</v>
      </c>
      <c r="F32" s="5">
        <f t="shared" si="1"/>
        <v>0</v>
      </c>
      <c r="G32" s="2">
        <v>64</v>
      </c>
      <c r="H32" s="4" t="s">
        <v>101</v>
      </c>
      <c r="I32" s="2" t="s">
        <v>9</v>
      </c>
      <c r="J32" s="2">
        <f>'bcd1'!J32+'bcd2'!J32+'bcd3'!J32+'bcd4'!J32+'bcd5'!J32+'bcd6'!J32+'bcd7'!J32+'bcd8'!J32+'bcd9'!J32+'bcd10'!J32+'bcd11'!J32+'bcd12'!J32+'bcd13'!J32+'bcd14'!J32+'bcd15'!J32+'bcd16'!J32+'bcd17'!J32+'bcd18'!J32+'bcd19'!J32+'bcd20'!J32+'bcd21'!J32+'bcd22'!J32+'bcd23'!J32+'bcd24'!J32</f>
        <v>0</v>
      </c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>
        <f>'bcd1'!D33+'bcd2'!D33+'bcd3'!D33+'bcd4'!D33+'bcd5'!D33+'bcd6'!D33+'bcd7'!D33+'bcd8'!D33+'bcd9'!D33+'bcd10'!D33+'bcd11'!D33+'bcd12'!D33+'bcd13'!D33+'bcd14'!D33+'bcd15'!D33+'bcd16'!D33+'bcd17'!D33+'bcd18'!D33+'bcd19'!D33+'bcd20'!D33+'bcd21'!D33+'bcd22'!D33+'bcd23'!D33+'bcd24'!D33</f>
        <v>0</v>
      </c>
      <c r="E33" s="5">
        <v>6.25</v>
      </c>
      <c r="F33" s="5">
        <f t="shared" si="1"/>
        <v>0</v>
      </c>
      <c r="G33" s="2">
        <v>65</v>
      </c>
      <c r="H33" s="4" t="s">
        <v>103</v>
      </c>
      <c r="I33" s="2" t="s">
        <v>9</v>
      </c>
      <c r="J33" s="2">
        <f>'bcd1'!J33+'bcd2'!J33+'bcd3'!J33+'bcd4'!J33+'bcd5'!J33+'bcd6'!J33+'bcd7'!J33+'bcd8'!J33+'bcd9'!J33+'bcd10'!J33+'bcd11'!J33+'bcd12'!J33+'bcd13'!J33+'bcd14'!J33+'bcd15'!J33+'bcd16'!J33+'bcd17'!J33+'bcd18'!J33+'bcd19'!J33+'bcd20'!J33+'bcd21'!J33+'bcd22'!J33+'bcd23'!J33+'bcd24'!J33</f>
        <v>0</v>
      </c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>
        <f>'bcd1'!D34+'bcd2'!D34+'bcd3'!D34+'bcd4'!D34+'bcd5'!D34+'bcd6'!D34+'bcd7'!D34+'bcd8'!D34+'bcd9'!D34+'bcd10'!D34+'bcd11'!D34+'bcd12'!D34+'bcd13'!D34+'bcd14'!D34+'bcd15'!D34+'bcd16'!D34+'bcd17'!D34+'bcd18'!D34+'bcd19'!D34+'bcd20'!D34+'bcd21'!D34+'bcd22'!D34+'bcd23'!D34+'bcd24'!D34</f>
        <v>0</v>
      </c>
      <c r="E34" s="5">
        <v>8</v>
      </c>
      <c r="F34" s="20">
        <f t="shared" si="1"/>
        <v>0</v>
      </c>
      <c r="G34" s="2">
        <v>66</v>
      </c>
      <c r="H34" s="4" t="s">
        <v>105</v>
      </c>
      <c r="I34" s="2" t="s">
        <v>9</v>
      </c>
      <c r="J34" s="2">
        <f>'bcd1'!J34+'bcd2'!J34+'bcd3'!J34+'bcd4'!J34+'bcd5'!J34+'bcd6'!J34+'bcd7'!J34+'bcd8'!J34+'bcd9'!J34+'bcd10'!J34+'bcd11'!J34+'bcd12'!J34+'bcd13'!J34+'bcd14'!J34+'bcd15'!J34+'bcd16'!J34+'bcd17'!J34+'bcd18'!J34+'bcd19'!J34+'bcd20'!J34+'bcd21'!J34+'bcd22'!J34+'bcd23'!J34+'bcd24'!J34</f>
        <v>0</v>
      </c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>
        <f>'bcd1'!D35+'bcd2'!D35+'bcd3'!D35+'bcd4'!D35+'bcd5'!D35+'bcd6'!D35+'bcd7'!D35+'bcd8'!D35+'bcd9'!D35+'bcd10'!D35+'bcd11'!D35+'bcd12'!D35+'bcd13'!D35+'bcd14'!D35+'bcd15'!D35+'bcd16'!D35+'bcd17'!D35+'bcd18'!D35+'bcd19'!D35+'bcd20'!D35+'bcd21'!D35+'bcd22'!D35+'bcd23'!D35+'bcd24'!D35</f>
        <v>0</v>
      </c>
      <c r="E35" s="5">
        <v>5.8</v>
      </c>
      <c r="F35" s="5">
        <f t="shared" si="1"/>
        <v>0</v>
      </c>
      <c r="G35" s="2">
        <v>67</v>
      </c>
      <c r="H35" s="4" t="s">
        <v>65</v>
      </c>
      <c r="I35" s="2" t="s">
        <v>9</v>
      </c>
      <c r="J35" s="2">
        <f>'bcd1'!J35+'bcd2'!J35+'bcd3'!J35+'bcd4'!J35+'bcd5'!J35+'bcd6'!J35+'bcd7'!J35+'bcd8'!J35+'bcd9'!J35+'bcd10'!J35+'bcd11'!J35+'bcd12'!J35+'bcd13'!J35+'bcd14'!J35+'bcd15'!J35+'bcd16'!J35+'bcd17'!J35+'bcd18'!J35+'bcd19'!J35+'bcd20'!J35+'bcd21'!J35+'bcd22'!J35+'bcd23'!J35+'bcd24'!J35</f>
        <v>0</v>
      </c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>
        <f>'bcd1'!D36+'bcd2'!D36+'bcd3'!D36+'bcd4'!D36+'bcd5'!D36+'bcd6'!D36+'bcd7'!D36+'bcd8'!D36+'bcd9'!D36+'bcd10'!D36+'bcd11'!D36+'bcd12'!D36+'bcd13'!D36+'bcd14'!D36+'bcd15'!D36+'bcd16'!D36+'bcd17'!D36+'bcd18'!D36+'bcd19'!D36+'bcd20'!D36+'bcd21'!D36+'bcd22'!D36+'bcd23'!D36+'bcd24'!D36</f>
        <v>0</v>
      </c>
      <c r="E36" s="5">
        <v>6.25</v>
      </c>
      <c r="F36" s="5">
        <f t="shared" si="1"/>
        <v>0</v>
      </c>
      <c r="G36" s="2">
        <v>68</v>
      </c>
      <c r="H36" s="4" t="s">
        <v>106</v>
      </c>
      <c r="I36" s="2" t="s">
        <v>9</v>
      </c>
      <c r="J36" s="2">
        <f>'bcd1'!J36+'bcd2'!J36+'bcd3'!J36+'bcd4'!J36+'bcd5'!J36+'bcd6'!J36+'bcd7'!J36+'bcd8'!J36+'bcd9'!J36+'bcd10'!J36+'bcd11'!J36+'bcd12'!J36+'bcd13'!J36+'bcd14'!J36+'bcd15'!J36+'bcd16'!J36+'bcd17'!J36+'bcd18'!J36+'bcd19'!J36+'bcd20'!J36+'bcd21'!J36+'bcd22'!J36+'bcd23'!J36+'bcd24'!J36</f>
        <v>0</v>
      </c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>
        <f>'bcd1'!D37+'bcd2'!D37+'bcd3'!D37+'bcd4'!D37+'bcd5'!D37+'bcd6'!D37+'bcd7'!D37+'bcd8'!D37+'bcd9'!D37+'bcd10'!D37+'bcd11'!D37+'bcd12'!D37+'bcd13'!D37+'bcd14'!D37+'bcd15'!D37+'bcd16'!D37+'bcd17'!D37+'bcd18'!D37+'bcd19'!D37+'bcd20'!D37+'bcd21'!D37+'bcd22'!D37+'bcd23'!D37+'bcd24'!D37</f>
        <v>0</v>
      </c>
      <c r="E37" s="5">
        <v>5.8</v>
      </c>
      <c r="F37" s="20">
        <f t="shared" si="1"/>
        <v>0</v>
      </c>
      <c r="G37" s="2">
        <v>69</v>
      </c>
      <c r="H37" s="4" t="s">
        <v>107</v>
      </c>
      <c r="I37" s="2" t="s">
        <v>9</v>
      </c>
      <c r="J37" s="2">
        <f>'bcd1'!J37+'bcd2'!J37+'bcd3'!J37+'bcd4'!J37+'bcd5'!J37+'bcd6'!J37+'bcd7'!J37+'bcd8'!J37+'bcd9'!J37+'bcd10'!J37+'bcd11'!J37+'bcd12'!J37+'bcd13'!J37+'bcd14'!J37+'bcd15'!J37+'bcd16'!J37+'bcd17'!J37+'bcd18'!J37+'bcd19'!J37+'bcd20'!J37+'bcd21'!J37+'bcd22'!J37+'bcd23'!J37+'bcd24'!J37</f>
        <v>0</v>
      </c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>
        <f>'bcd1'!D38+'bcd2'!D38+'bcd3'!D38+'bcd4'!D38+'bcd5'!D38+'bcd6'!D38+'bcd7'!D38+'bcd8'!D38+'bcd9'!D38+'bcd10'!D38+'bcd11'!D38+'bcd12'!D38+'bcd13'!D38+'bcd14'!D38+'bcd15'!D38+'bcd16'!D38+'bcd17'!D38+'bcd18'!D38+'bcd19'!D38+'bcd20'!D38+'bcd21'!D38+'bcd22'!D38+'bcd23'!D38+'bcd24'!D38</f>
        <v>0</v>
      </c>
      <c r="E38" s="2">
        <v>2.35</v>
      </c>
      <c r="F38" s="20">
        <f t="shared" si="1"/>
        <v>0</v>
      </c>
      <c r="G38" s="2">
        <v>70</v>
      </c>
      <c r="H38" s="4" t="s">
        <v>108</v>
      </c>
      <c r="I38" s="2" t="s">
        <v>9</v>
      </c>
      <c r="J38" s="2">
        <f>'bcd1'!J38+'bcd2'!J38+'bcd3'!J38+'bcd4'!J38+'bcd5'!J38+'bcd6'!J38+'bcd7'!J38+'bcd8'!J38+'bcd9'!J38+'bcd10'!J38+'bcd11'!J38+'bcd12'!J38+'bcd13'!J38+'bcd14'!J38+'bcd15'!J38+'bcd16'!J38+'bcd17'!J38+'bcd18'!J38+'bcd19'!J38+'bcd20'!J38+'bcd21'!J38+'bcd22'!J38+'bcd23'!J38+'bcd24'!J38</f>
        <v>0</v>
      </c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>
        <f>'bcd1'!D39+'bcd2'!D39+'bcd3'!D39+'bcd4'!D39+'bcd5'!D39+'bcd6'!D39+'bcd7'!D39+'bcd8'!D39+'bcd9'!D39+'bcd10'!D39+'bcd11'!D39+'bcd12'!D39+'bcd13'!D39+'bcd14'!D39+'bcd15'!D39+'bcd16'!D39+'bcd17'!D39+'bcd18'!D39+'bcd19'!D39+'bcd20'!D39+'bcd21'!D39+'bcd22'!D39+'bcd23'!D39+'bcd24'!D39</f>
        <v>0</v>
      </c>
      <c r="E39" s="2">
        <v>3.7</v>
      </c>
      <c r="F39" s="20">
        <f t="shared" si="1"/>
        <v>0</v>
      </c>
      <c r="G39" s="2">
        <v>71</v>
      </c>
      <c r="H39" s="4" t="s">
        <v>109</v>
      </c>
      <c r="I39" s="2" t="s">
        <v>9</v>
      </c>
      <c r="J39" s="2">
        <f>'bcd1'!J39+'bcd2'!J39+'bcd3'!J39+'bcd4'!J39+'bcd5'!J39+'bcd6'!J39+'bcd7'!J39+'bcd8'!J39+'bcd9'!J39+'bcd10'!J39+'bcd11'!J39+'bcd12'!J39+'bcd13'!J39+'bcd14'!J39+'bcd15'!J39+'bcd16'!J39+'bcd17'!J39+'bcd18'!J39+'bcd19'!J39+'bcd20'!J39+'bcd21'!J39+'bcd22'!J39+'bcd23'!J39+'bcd24'!J39</f>
        <v>0</v>
      </c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>
        <f>'bcd1'!D40+'bcd2'!D40+'bcd3'!D40+'bcd4'!D40+'bcd5'!D40+'bcd6'!D40+'bcd7'!D40+'bcd8'!D40+'bcd9'!D40+'bcd10'!D40+'bcd11'!D40+'bcd12'!D40+'bcd13'!D40+'bcd14'!D40+'bcd15'!D40+'bcd16'!D40+'bcd17'!D40+'bcd18'!D40+'bcd19'!D40+'bcd20'!D40+'bcd21'!D40+'bcd22'!D40+'bcd23'!D40+'bcd24'!D40</f>
        <v>0</v>
      </c>
      <c r="E40" s="2">
        <v>6.75</v>
      </c>
      <c r="F40" s="20">
        <f t="shared" si="1"/>
        <v>0</v>
      </c>
      <c r="G40" s="2">
        <v>72</v>
      </c>
      <c r="H40" s="4" t="s">
        <v>110</v>
      </c>
      <c r="I40" s="2" t="s">
        <v>9</v>
      </c>
      <c r="J40" s="2">
        <f>'bcd1'!J40+'bcd2'!J40+'bcd3'!J40+'bcd4'!J40+'bcd5'!J40+'bcd6'!J40+'bcd7'!J40+'bcd8'!J40+'bcd9'!J40+'bcd10'!J40+'bcd11'!J40+'bcd12'!J40+'bcd13'!J40+'bcd14'!J40+'bcd15'!J40+'bcd16'!J40+'bcd17'!J40+'bcd18'!J40+'bcd19'!J40+'bcd20'!J40+'bcd21'!J40+'bcd22'!J40+'bcd23'!J40+'bcd24'!J40</f>
        <v>0</v>
      </c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>
        <f>'bcd1'!D41+'bcd2'!D41+'bcd3'!D41+'bcd4'!D41+'bcd5'!D41+'bcd6'!D41+'bcd7'!D41+'bcd8'!D41+'bcd9'!D41+'bcd10'!D41+'bcd11'!D41+'bcd12'!D41+'bcd13'!D41+'bcd14'!D41+'bcd15'!D41+'bcd16'!D41+'bcd17'!D41+'bcd18'!D41+'bcd19'!D41+'bcd20'!D41+'bcd21'!D41+'bcd22'!D41+'bcd23'!D41+'bcd24'!D41</f>
        <v>0</v>
      </c>
      <c r="E41" s="2">
        <v>4</v>
      </c>
      <c r="F41" s="20">
        <f t="shared" si="1"/>
        <v>0</v>
      </c>
      <c r="G41" s="2">
        <v>73</v>
      </c>
      <c r="H41" s="4" t="s">
        <v>111</v>
      </c>
      <c r="I41" s="2" t="s">
        <v>9</v>
      </c>
      <c r="J41" s="2">
        <f>'bcd1'!J41+'bcd2'!J41+'bcd3'!J41+'bcd4'!J41+'bcd5'!J41+'bcd6'!J41+'bcd7'!J41+'bcd8'!J41+'bcd9'!J41+'bcd10'!J41+'bcd11'!J41+'bcd12'!J41+'bcd13'!J41+'bcd14'!J41+'bcd15'!J41+'bcd16'!J41+'bcd17'!J41+'bcd18'!J41+'bcd19'!J41+'bcd20'!J41+'bcd21'!J41+'bcd22'!J41+'bcd23'!J41+'bcd24'!J41</f>
        <v>0</v>
      </c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6869.4500000000007</v>
      </c>
    </row>
    <row r="44" spans="1:13" ht="13.15" customHeight="1">
      <c r="H44" t="s">
        <v>83</v>
      </c>
      <c r="I44" s="13" t="s">
        <v>84</v>
      </c>
      <c r="J44" s="17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>
  <sheetPr codeName="Лист53"/>
  <dimension ref="A3:M44"/>
  <sheetViews>
    <sheetView workbookViewId="0">
      <selection activeCell="J30" sqref="J30"/>
    </sheetView>
  </sheetViews>
  <sheetFormatPr defaultColWidth="8.28515625" defaultRowHeight="13.15" customHeight="1"/>
  <cols>
    <col min="1" max="1" width="4.7109375" style="17" customWidth="1"/>
    <col min="2" max="2" width="30.7109375" customWidth="1"/>
    <col min="3" max="3" width="6.28515625" customWidth="1"/>
    <col min="4" max="4" width="7.140625" customWidth="1"/>
    <col min="5" max="5" width="7.85546875" customWidth="1"/>
    <col min="6" max="6" width="8.28515625" style="17"/>
    <col min="7" max="7" width="4.7109375" style="17" customWidth="1"/>
    <col min="8" max="8" width="23.28515625" customWidth="1"/>
    <col min="9" max="9" width="6.42578125" customWidth="1"/>
    <col min="10" max="10" width="6.28515625" customWidth="1"/>
    <col min="12" max="12" width="8.28515625" style="17"/>
  </cols>
  <sheetData>
    <row r="3" spans="1:12" ht="13.15" customHeight="1">
      <c r="A3" s="30" t="s">
        <v>86</v>
      </c>
      <c r="B3" s="30"/>
      <c r="C3" s="30"/>
      <c r="D3" s="30" t="s">
        <v>112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4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 t="s">
        <v>113</v>
      </c>
      <c r="B5" s="32"/>
      <c r="C5" s="32"/>
      <c r="D5" s="32"/>
      <c r="E5" s="32"/>
      <c r="F5" s="32"/>
      <c r="G5" s="2">
        <v>37</v>
      </c>
      <c r="H5" s="4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4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4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4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4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4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4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4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4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4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4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4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4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>
        <v>12</v>
      </c>
      <c r="E18" s="5">
        <v>6.3</v>
      </c>
      <c r="F18" s="20">
        <f t="shared" si="1"/>
        <v>75.599999999999994</v>
      </c>
      <c r="G18" s="2">
        <v>50</v>
      </c>
      <c r="H18" s="4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4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4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4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4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4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4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4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4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4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4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4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4" t="s">
        <v>114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4" t="s">
        <v>100</v>
      </c>
      <c r="I31" s="2" t="s">
        <v>9</v>
      </c>
      <c r="J31" s="4">
        <v>15</v>
      </c>
      <c r="K31" s="2">
        <v>3.5</v>
      </c>
      <c r="L31" s="5">
        <f t="shared" si="0"/>
        <v>52.5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4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4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4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4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4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4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4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4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4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4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128.1</v>
      </c>
    </row>
    <row r="44" spans="1:13" ht="13.15" customHeight="1">
      <c r="H44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>
  <sheetPr codeName="Лист54"/>
  <dimension ref="A3:M44"/>
  <sheetViews>
    <sheetView workbookViewId="0">
      <selection activeCell="D7" sqref="D7"/>
    </sheetView>
  </sheetViews>
  <sheetFormatPr defaultColWidth="8.28515625" defaultRowHeight="13.15" customHeight="1"/>
  <cols>
    <col min="1" max="1" width="4.7109375" style="17" customWidth="1"/>
    <col min="2" max="2" width="30.7109375" customWidth="1"/>
    <col min="3" max="3" width="6.28515625" customWidth="1"/>
    <col min="4" max="4" width="7.140625" customWidth="1"/>
    <col min="5" max="5" width="7.85546875" customWidth="1"/>
    <col min="6" max="6" width="8.28515625" style="17"/>
    <col min="7" max="7" width="4.7109375" style="17" customWidth="1"/>
    <col min="8" max="8" width="23.28515625" customWidth="1"/>
    <col min="9" max="9" width="6.42578125" customWidth="1"/>
    <col min="10" max="10" width="6.28515625" customWidth="1"/>
    <col min="12" max="12" width="8.28515625" style="17"/>
  </cols>
  <sheetData>
    <row r="3" spans="1:12" ht="13.15" customHeight="1">
      <c r="A3" s="30" t="s">
        <v>86</v>
      </c>
      <c r="B3" s="30"/>
      <c r="C3" s="30"/>
      <c r="D3" s="30" t="s">
        <v>112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4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 t="s">
        <v>113</v>
      </c>
      <c r="B5" s="32"/>
      <c r="C5" s="32"/>
      <c r="D5" s="32"/>
      <c r="E5" s="32"/>
      <c r="F5" s="32"/>
      <c r="G5" s="2">
        <v>37</v>
      </c>
      <c r="H5" s="4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4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4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4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4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4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4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4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4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4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4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4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4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4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4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4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4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4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4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4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4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4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4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4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4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4" t="s">
        <v>114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4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4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4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4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4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4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4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4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4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4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4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>
  <sheetPr codeName="Лист55"/>
  <dimension ref="A3:M44"/>
  <sheetViews>
    <sheetView workbookViewId="0">
      <selection activeCell="D7" sqref="D7"/>
    </sheetView>
  </sheetViews>
  <sheetFormatPr defaultColWidth="8.28515625" defaultRowHeight="13.15" customHeight="1"/>
  <cols>
    <col min="1" max="1" width="4.7109375" style="17" customWidth="1"/>
    <col min="2" max="2" width="30.7109375" customWidth="1"/>
    <col min="3" max="3" width="6.28515625" customWidth="1"/>
    <col min="4" max="4" width="7.140625" customWidth="1"/>
    <col min="5" max="5" width="7.85546875" customWidth="1"/>
    <col min="6" max="6" width="8.28515625" style="17"/>
    <col min="7" max="7" width="4.7109375" style="17" customWidth="1"/>
    <col min="8" max="8" width="23.28515625" customWidth="1"/>
    <col min="9" max="9" width="6.42578125" customWidth="1"/>
    <col min="10" max="10" width="6.28515625" customWidth="1"/>
    <col min="12" max="12" width="8.28515625" style="17"/>
  </cols>
  <sheetData>
    <row r="3" spans="1:12" ht="13.15" customHeight="1">
      <c r="A3" s="30" t="s">
        <v>86</v>
      </c>
      <c r="B3" s="30"/>
      <c r="C3" s="30"/>
      <c r="D3" s="30" t="s">
        <v>112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4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 t="s">
        <v>113</v>
      </c>
      <c r="B5" s="32"/>
      <c r="C5" s="32"/>
      <c r="D5" s="32"/>
      <c r="E5" s="32"/>
      <c r="F5" s="32"/>
      <c r="G5" s="2">
        <v>37</v>
      </c>
      <c r="H5" s="4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4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4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4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4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4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4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4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4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4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4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4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4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4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4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4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4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4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4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4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4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4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4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4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4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4" t="s">
        <v>114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4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4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4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4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4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4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4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4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4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4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4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>
  <sheetPr codeName="Лист56"/>
  <dimension ref="A3:M44"/>
  <sheetViews>
    <sheetView workbookViewId="0">
      <selection activeCell="D7" sqref="D7"/>
    </sheetView>
  </sheetViews>
  <sheetFormatPr defaultColWidth="8.28515625" defaultRowHeight="13.15" customHeight="1"/>
  <cols>
    <col min="1" max="1" width="4.7109375" style="17" customWidth="1"/>
    <col min="2" max="2" width="30.7109375" customWidth="1"/>
    <col min="3" max="3" width="6.28515625" customWidth="1"/>
    <col min="4" max="4" width="7.140625" customWidth="1"/>
    <col min="5" max="5" width="7.85546875" customWidth="1"/>
    <col min="6" max="6" width="8.28515625" style="17"/>
    <col min="7" max="7" width="4.7109375" style="17" customWidth="1"/>
    <col min="8" max="8" width="23.28515625" customWidth="1"/>
    <col min="9" max="9" width="6.42578125" customWidth="1"/>
    <col min="10" max="10" width="6.28515625" customWidth="1"/>
    <col min="12" max="12" width="8.28515625" style="17"/>
  </cols>
  <sheetData>
    <row r="3" spans="1:12" ht="13.15" customHeight="1">
      <c r="A3" s="30" t="s">
        <v>86</v>
      </c>
      <c r="B3" s="30"/>
      <c r="C3" s="30"/>
      <c r="D3" s="30" t="s">
        <v>112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4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 t="s">
        <v>113</v>
      </c>
      <c r="B5" s="32"/>
      <c r="C5" s="32"/>
      <c r="D5" s="32"/>
      <c r="E5" s="32"/>
      <c r="F5" s="32"/>
      <c r="G5" s="2">
        <v>37</v>
      </c>
      <c r="H5" s="4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4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4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4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4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4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4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4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4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4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4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4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4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4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4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4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4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4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4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4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4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4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4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4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4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4" t="s">
        <v>114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4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4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4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4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4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4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4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4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4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4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4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>
  <sheetPr codeName="Лист57"/>
  <dimension ref="A3:M44"/>
  <sheetViews>
    <sheetView workbookViewId="0">
      <selection activeCell="D29" sqref="D29"/>
    </sheetView>
  </sheetViews>
  <sheetFormatPr defaultColWidth="8.28515625" defaultRowHeight="13.15" customHeight="1"/>
  <cols>
    <col min="1" max="1" width="4.7109375" style="17" customWidth="1"/>
    <col min="2" max="2" width="30.7109375" customWidth="1"/>
    <col min="3" max="3" width="6.28515625" customWidth="1"/>
    <col min="4" max="4" width="7.140625" customWidth="1"/>
    <col min="5" max="5" width="7.85546875" customWidth="1"/>
    <col min="6" max="6" width="8.28515625" style="17"/>
    <col min="7" max="7" width="4.7109375" style="17" customWidth="1"/>
    <col min="8" max="8" width="23.28515625" customWidth="1"/>
    <col min="9" max="9" width="6.42578125" customWidth="1"/>
    <col min="10" max="10" width="6.28515625" customWidth="1"/>
    <col min="12" max="12" width="8.28515625" style="17"/>
  </cols>
  <sheetData>
    <row r="3" spans="1:12" ht="13.15" customHeight="1">
      <c r="A3" s="30" t="s">
        <v>86</v>
      </c>
      <c r="B3" s="30"/>
      <c r="C3" s="30"/>
      <c r="D3" s="30" t="s">
        <v>112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4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 t="s">
        <v>113</v>
      </c>
      <c r="B5" s="32"/>
      <c r="C5" s="32"/>
      <c r="D5" s="32"/>
      <c r="E5" s="32"/>
      <c r="F5" s="32"/>
      <c r="G5" s="2">
        <v>37</v>
      </c>
      <c r="H5" s="4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4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4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4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4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4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4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4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4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4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4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4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4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4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4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4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4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4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4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4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4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4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4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4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>
        <v>1200</v>
      </c>
      <c r="E29" s="5">
        <v>4.75</v>
      </c>
      <c r="F29" s="20">
        <f t="shared" si="1"/>
        <v>5700</v>
      </c>
      <c r="G29" s="2">
        <v>61</v>
      </c>
      <c r="H29" s="4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4" t="s">
        <v>114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4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4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4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4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4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4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4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4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4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4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4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5700</v>
      </c>
    </row>
    <row r="44" spans="1:13" ht="13.15" customHeight="1">
      <c r="H44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>
  <sheetPr codeName="Лист58"/>
  <dimension ref="A3:M44"/>
  <sheetViews>
    <sheetView workbookViewId="0">
      <selection activeCell="D7" sqref="D7"/>
    </sheetView>
  </sheetViews>
  <sheetFormatPr defaultColWidth="8.28515625" defaultRowHeight="13.15" customHeight="1"/>
  <cols>
    <col min="1" max="1" width="4.7109375" style="17" customWidth="1"/>
    <col min="2" max="2" width="30.7109375" customWidth="1"/>
    <col min="3" max="3" width="6.28515625" customWidth="1"/>
    <col min="4" max="4" width="7.140625" customWidth="1"/>
    <col min="5" max="5" width="7.85546875" customWidth="1"/>
    <col min="6" max="6" width="8.28515625" style="17"/>
    <col min="7" max="7" width="4.7109375" style="17" customWidth="1"/>
    <col min="8" max="8" width="23.28515625" customWidth="1"/>
    <col min="9" max="9" width="6.42578125" customWidth="1"/>
    <col min="10" max="10" width="6.28515625" customWidth="1"/>
    <col min="12" max="12" width="8.28515625" style="17"/>
  </cols>
  <sheetData>
    <row r="3" spans="1:12" ht="13.15" customHeight="1">
      <c r="A3" s="30" t="s">
        <v>86</v>
      </c>
      <c r="B3" s="30"/>
      <c r="C3" s="30"/>
      <c r="D3" s="30" t="s">
        <v>112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4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 t="s">
        <v>113</v>
      </c>
      <c r="B5" s="32"/>
      <c r="C5" s="32"/>
      <c r="D5" s="32"/>
      <c r="E5" s="32"/>
      <c r="F5" s="32"/>
      <c r="G5" s="2">
        <v>37</v>
      </c>
      <c r="H5" s="4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4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4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4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4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4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4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4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4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4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4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4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4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4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4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4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4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4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4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4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4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4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4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4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4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4" t="s">
        <v>114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4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4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4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4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4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4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4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4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4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4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4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>
  <sheetPr codeName="Лист59"/>
  <dimension ref="A3:M44"/>
  <sheetViews>
    <sheetView workbookViewId="0">
      <selection activeCell="D7" sqref="D7"/>
    </sheetView>
  </sheetViews>
  <sheetFormatPr defaultColWidth="8.28515625" defaultRowHeight="13.15" customHeight="1"/>
  <cols>
    <col min="1" max="1" width="4.7109375" style="17" customWidth="1"/>
    <col min="2" max="2" width="30.7109375" customWidth="1"/>
    <col min="3" max="3" width="6.28515625" customWidth="1"/>
    <col min="4" max="4" width="7.140625" customWidth="1"/>
    <col min="5" max="5" width="7.85546875" customWidth="1"/>
    <col min="6" max="6" width="8.28515625" style="17"/>
    <col min="7" max="7" width="4.7109375" style="17" customWidth="1"/>
    <col min="8" max="8" width="23.28515625" customWidth="1"/>
    <col min="9" max="9" width="6.42578125" customWidth="1"/>
    <col min="10" max="10" width="6.28515625" customWidth="1"/>
    <col min="12" max="12" width="8.28515625" style="17"/>
  </cols>
  <sheetData>
    <row r="3" spans="1:12" ht="13.15" customHeight="1">
      <c r="A3" s="30" t="s">
        <v>86</v>
      </c>
      <c r="B3" s="30"/>
      <c r="C3" s="30"/>
      <c r="D3" s="30" t="s">
        <v>112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4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 t="s">
        <v>113</v>
      </c>
      <c r="B5" s="32"/>
      <c r="C5" s="32"/>
      <c r="D5" s="32"/>
      <c r="E5" s="32"/>
      <c r="F5" s="32"/>
      <c r="G5" s="2">
        <v>37</v>
      </c>
      <c r="H5" s="4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4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4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4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4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4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4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4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4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4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4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4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4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4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4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4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4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4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4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4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4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4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4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4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4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4" t="s">
        <v>114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4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4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4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4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4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4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4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4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4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4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4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>
  <sheetPr codeName="Лист60"/>
  <dimension ref="A3:M44"/>
  <sheetViews>
    <sheetView workbookViewId="0">
      <selection activeCell="H32" sqref="H32"/>
    </sheetView>
  </sheetViews>
  <sheetFormatPr defaultColWidth="8.28515625" defaultRowHeight="13.15" customHeight="1"/>
  <cols>
    <col min="1" max="1" width="4.7109375" style="17" customWidth="1"/>
    <col min="2" max="2" width="30.7109375" customWidth="1"/>
    <col min="3" max="3" width="6.28515625" customWidth="1"/>
    <col min="4" max="4" width="7.140625" customWidth="1"/>
    <col min="5" max="5" width="7.85546875" customWidth="1"/>
    <col min="6" max="6" width="8.28515625" style="17"/>
    <col min="7" max="7" width="4.7109375" style="17" customWidth="1"/>
    <col min="8" max="8" width="23.28515625" customWidth="1"/>
    <col min="9" max="9" width="6.42578125" customWidth="1"/>
    <col min="10" max="10" width="6.28515625" customWidth="1"/>
    <col min="12" max="12" width="8.28515625" style="17"/>
  </cols>
  <sheetData>
    <row r="3" spans="1:12" ht="13.15" customHeight="1">
      <c r="A3" s="30" t="s">
        <v>86</v>
      </c>
      <c r="B3" s="30"/>
      <c r="C3" s="30"/>
      <c r="D3" s="30" t="s">
        <v>112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4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 t="s">
        <v>113</v>
      </c>
      <c r="B5" s="32"/>
      <c r="C5" s="32"/>
      <c r="D5" s="32"/>
      <c r="E5" s="32"/>
      <c r="F5" s="32"/>
      <c r="G5" s="2">
        <v>37</v>
      </c>
      <c r="H5" s="4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4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4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4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4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4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4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4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4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4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4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4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4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4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4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4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4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4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4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4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4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4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4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4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4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4" t="s">
        <v>114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4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4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4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4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4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4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4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4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4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4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4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>
  <sheetPr codeName="Лист61"/>
  <dimension ref="A3:M44"/>
  <sheetViews>
    <sheetView workbookViewId="0">
      <selection activeCell="D7" sqref="D7"/>
    </sheetView>
  </sheetViews>
  <sheetFormatPr defaultColWidth="8.28515625" defaultRowHeight="13.15" customHeight="1"/>
  <cols>
    <col min="1" max="1" width="4.7109375" style="17" customWidth="1"/>
    <col min="2" max="2" width="30.7109375" customWidth="1"/>
    <col min="3" max="3" width="6.28515625" customWidth="1"/>
    <col min="4" max="4" width="7.140625" customWidth="1"/>
    <col min="5" max="5" width="7.85546875" customWidth="1"/>
    <col min="6" max="6" width="8.28515625" style="17"/>
    <col min="7" max="7" width="4.7109375" style="17" customWidth="1"/>
    <col min="8" max="8" width="23.28515625" customWidth="1"/>
    <col min="9" max="9" width="6.42578125" customWidth="1"/>
    <col min="10" max="10" width="6.28515625" customWidth="1"/>
    <col min="12" max="12" width="8.28515625" style="17"/>
  </cols>
  <sheetData>
    <row r="3" spans="1:12" ht="13.15" customHeight="1">
      <c r="A3" s="30" t="s">
        <v>86</v>
      </c>
      <c r="B3" s="30"/>
      <c r="C3" s="30"/>
      <c r="D3" s="30" t="s">
        <v>112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4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 t="s">
        <v>113</v>
      </c>
      <c r="B5" s="32"/>
      <c r="C5" s="32"/>
      <c r="D5" s="32"/>
      <c r="E5" s="32"/>
      <c r="F5" s="32"/>
      <c r="G5" s="2">
        <v>37</v>
      </c>
      <c r="H5" s="4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4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4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4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4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4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4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4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4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4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4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4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4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4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4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4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4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4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4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4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4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4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4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4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4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4" t="s">
        <v>114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4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4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4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4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4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4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4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4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4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4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4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>
  <sheetPr codeName="Лист62"/>
  <dimension ref="A3:M44"/>
  <sheetViews>
    <sheetView workbookViewId="0">
      <selection activeCell="D7" sqref="D7"/>
    </sheetView>
  </sheetViews>
  <sheetFormatPr defaultColWidth="8.28515625" defaultRowHeight="13.15" customHeight="1"/>
  <cols>
    <col min="1" max="1" width="4.7109375" style="17" customWidth="1"/>
    <col min="2" max="2" width="30.7109375" customWidth="1"/>
    <col min="3" max="3" width="6.28515625" customWidth="1"/>
    <col min="4" max="4" width="7.140625" customWidth="1"/>
    <col min="5" max="5" width="7.85546875" customWidth="1"/>
    <col min="6" max="6" width="8.28515625" style="17"/>
    <col min="7" max="7" width="4.7109375" style="17" customWidth="1"/>
    <col min="8" max="8" width="23.28515625" customWidth="1"/>
    <col min="9" max="9" width="6.42578125" customWidth="1"/>
    <col min="10" max="10" width="6.28515625" customWidth="1"/>
    <col min="12" max="12" width="8.28515625" style="17"/>
  </cols>
  <sheetData>
    <row r="3" spans="1:12" ht="13.15" customHeight="1">
      <c r="A3" s="30" t="s">
        <v>86</v>
      </c>
      <c r="B3" s="30"/>
      <c r="C3" s="30"/>
      <c r="D3" s="30" t="s">
        <v>112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4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 t="s">
        <v>113</v>
      </c>
      <c r="B5" s="32"/>
      <c r="C5" s="32"/>
      <c r="D5" s="32"/>
      <c r="E5" s="32"/>
      <c r="F5" s="32"/>
      <c r="G5" s="2">
        <v>37</v>
      </c>
      <c r="H5" s="4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4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4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4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4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4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4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4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4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4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4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4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4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4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4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4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4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4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4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4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4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4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4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4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4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4" t="s">
        <v>114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4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4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4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4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4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4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4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4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4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4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4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>
  <sheetPr codeName="Лист63"/>
  <dimension ref="A3:M44"/>
  <sheetViews>
    <sheetView workbookViewId="0">
      <selection activeCell="D7" sqref="D7"/>
    </sheetView>
  </sheetViews>
  <sheetFormatPr defaultColWidth="8.28515625" defaultRowHeight="13.15" customHeight="1"/>
  <cols>
    <col min="1" max="1" width="4.7109375" style="17" customWidth="1"/>
    <col min="2" max="2" width="30.7109375" customWidth="1"/>
    <col min="3" max="3" width="6.28515625" customWidth="1"/>
    <col min="4" max="4" width="7.140625" customWidth="1"/>
    <col min="5" max="5" width="7.85546875" customWidth="1"/>
    <col min="6" max="6" width="8.28515625" style="17"/>
    <col min="7" max="7" width="4.7109375" style="17" customWidth="1"/>
    <col min="8" max="8" width="23.28515625" customWidth="1"/>
    <col min="9" max="9" width="6.42578125" customWidth="1"/>
    <col min="10" max="10" width="6.28515625" customWidth="1"/>
    <col min="12" max="12" width="8.28515625" style="17"/>
  </cols>
  <sheetData>
    <row r="3" spans="1:12" ht="13.15" customHeight="1">
      <c r="A3" s="30" t="s">
        <v>86</v>
      </c>
      <c r="B3" s="30"/>
      <c r="C3" s="30"/>
      <c r="D3" s="30" t="s">
        <v>112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4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 t="s">
        <v>113</v>
      </c>
      <c r="B5" s="32"/>
      <c r="C5" s="32"/>
      <c r="D5" s="32"/>
      <c r="E5" s="32"/>
      <c r="F5" s="32"/>
      <c r="G5" s="2">
        <v>37</v>
      </c>
      <c r="H5" s="4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4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4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4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4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4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4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4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4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4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4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4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4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4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4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4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4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4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4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4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4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4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4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4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4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4" t="s">
        <v>114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4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4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4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4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4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4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4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4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4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4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4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>
  <sheetPr codeName="Лист64"/>
  <dimension ref="A3:M44"/>
  <sheetViews>
    <sheetView workbookViewId="0">
      <selection activeCell="D7" sqref="D7"/>
    </sheetView>
  </sheetViews>
  <sheetFormatPr defaultColWidth="8.28515625" defaultRowHeight="13.15" customHeight="1"/>
  <cols>
    <col min="1" max="1" width="4.7109375" style="17" customWidth="1"/>
    <col min="2" max="2" width="30.7109375" customWidth="1"/>
    <col min="3" max="3" width="6.28515625" customWidth="1"/>
    <col min="4" max="4" width="7.140625" customWidth="1"/>
    <col min="5" max="5" width="7.85546875" customWidth="1"/>
    <col min="6" max="6" width="8.28515625" style="17"/>
    <col min="7" max="7" width="4.7109375" style="17" customWidth="1"/>
    <col min="8" max="8" width="23.28515625" customWidth="1"/>
    <col min="9" max="9" width="6.42578125" customWidth="1"/>
    <col min="10" max="10" width="6.28515625" customWidth="1"/>
    <col min="12" max="12" width="8.28515625" style="17"/>
  </cols>
  <sheetData>
    <row r="3" spans="1:12" ht="13.15" customHeight="1">
      <c r="A3" s="30" t="s">
        <v>86</v>
      </c>
      <c r="B3" s="30"/>
      <c r="C3" s="30"/>
      <c r="D3" s="30" t="s">
        <v>112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4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 t="s">
        <v>113</v>
      </c>
      <c r="B5" s="32"/>
      <c r="C5" s="32"/>
      <c r="D5" s="32"/>
      <c r="E5" s="32"/>
      <c r="F5" s="32"/>
      <c r="G5" s="2">
        <v>37</v>
      </c>
      <c r="H5" s="4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4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4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4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4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4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4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4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4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4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4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4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4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4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4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4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4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4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4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4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4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4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4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4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4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4" t="s">
        <v>114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4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4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4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4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4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4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4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4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4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4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4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>
  <sheetPr codeName="Лист65"/>
  <dimension ref="A3:M44"/>
  <sheetViews>
    <sheetView workbookViewId="0">
      <selection activeCell="D7" sqref="D7"/>
    </sheetView>
  </sheetViews>
  <sheetFormatPr defaultColWidth="8.28515625" defaultRowHeight="13.15" customHeight="1"/>
  <cols>
    <col min="1" max="1" width="4.7109375" style="17" customWidth="1"/>
    <col min="2" max="2" width="30.7109375" customWidth="1"/>
    <col min="3" max="3" width="6.28515625" customWidth="1"/>
    <col min="4" max="4" width="7.140625" customWidth="1"/>
    <col min="5" max="5" width="7.85546875" customWidth="1"/>
    <col min="6" max="6" width="8.28515625" style="17"/>
    <col min="7" max="7" width="4.7109375" style="17" customWidth="1"/>
    <col min="8" max="8" width="23.28515625" customWidth="1"/>
    <col min="9" max="9" width="6.42578125" customWidth="1"/>
    <col min="10" max="10" width="6.28515625" customWidth="1"/>
    <col min="12" max="12" width="8.28515625" style="17"/>
  </cols>
  <sheetData>
    <row r="3" spans="1:12" ht="13.15" customHeight="1">
      <c r="A3" s="30" t="s">
        <v>86</v>
      </c>
      <c r="B3" s="30"/>
      <c r="C3" s="30"/>
      <c r="D3" s="30" t="s">
        <v>112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4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 t="s">
        <v>113</v>
      </c>
      <c r="B5" s="32"/>
      <c r="C5" s="32"/>
      <c r="D5" s="32"/>
      <c r="E5" s="32"/>
      <c r="F5" s="32"/>
      <c r="G5" s="2">
        <v>37</v>
      </c>
      <c r="H5" s="4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4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4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4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4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4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4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4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4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4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4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4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4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4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4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4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4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4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4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4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4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4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4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4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4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4" t="s">
        <v>114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4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4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4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4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4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4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4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4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4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4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4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>
  <sheetPr codeName="Лист66"/>
  <dimension ref="A3:M44"/>
  <sheetViews>
    <sheetView workbookViewId="0">
      <selection activeCell="D7" sqref="D7"/>
    </sheetView>
  </sheetViews>
  <sheetFormatPr defaultColWidth="8.28515625" defaultRowHeight="13.15" customHeight="1"/>
  <cols>
    <col min="1" max="1" width="4.7109375" style="17" customWidth="1"/>
    <col min="2" max="2" width="30.7109375" customWidth="1"/>
    <col min="3" max="3" width="6.28515625" customWidth="1"/>
    <col min="4" max="4" width="7.140625" customWidth="1"/>
    <col min="5" max="5" width="7.85546875" customWidth="1"/>
    <col min="6" max="6" width="8.28515625" style="17"/>
    <col min="7" max="7" width="4.7109375" style="17" customWidth="1"/>
    <col min="8" max="8" width="23.28515625" customWidth="1"/>
    <col min="9" max="9" width="6.42578125" customWidth="1"/>
    <col min="10" max="10" width="6.28515625" customWidth="1"/>
    <col min="12" max="12" width="8.28515625" style="17"/>
  </cols>
  <sheetData>
    <row r="3" spans="1:12" ht="13.15" customHeight="1">
      <c r="A3" s="30" t="s">
        <v>86</v>
      </c>
      <c r="B3" s="30"/>
      <c r="C3" s="30"/>
      <c r="D3" s="30" t="s">
        <v>112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4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 t="s">
        <v>113</v>
      </c>
      <c r="B5" s="32"/>
      <c r="C5" s="32"/>
      <c r="D5" s="32"/>
      <c r="E5" s="32"/>
      <c r="F5" s="32"/>
      <c r="G5" s="2">
        <v>37</v>
      </c>
      <c r="H5" s="4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4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4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4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4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4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4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4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4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4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4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4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4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4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4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4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4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4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4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4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4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4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4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4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4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4" t="s">
        <v>114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4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4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4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4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4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4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4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4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4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4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4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>
  <sheetPr codeName="Лист67"/>
  <dimension ref="A3:M44"/>
  <sheetViews>
    <sheetView workbookViewId="0">
      <selection activeCell="N17" sqref="N17"/>
    </sheetView>
  </sheetViews>
  <sheetFormatPr defaultColWidth="8.28515625" defaultRowHeight="13.15" customHeight="1"/>
  <cols>
    <col min="1" max="1" width="4.7109375" style="17" customWidth="1"/>
    <col min="2" max="2" width="30.7109375" customWidth="1"/>
    <col min="3" max="3" width="6.28515625" customWidth="1"/>
    <col min="4" max="4" width="7.140625" customWidth="1"/>
    <col min="5" max="5" width="7.85546875" customWidth="1"/>
    <col min="6" max="6" width="8.28515625" style="17"/>
    <col min="7" max="7" width="4.7109375" style="17" customWidth="1"/>
    <col min="8" max="8" width="23.28515625" customWidth="1"/>
    <col min="9" max="9" width="6.42578125" customWidth="1"/>
    <col min="10" max="10" width="6.28515625" customWidth="1"/>
    <col min="12" max="12" width="8.28515625" style="17"/>
  </cols>
  <sheetData>
    <row r="3" spans="1:12" ht="13.15" customHeight="1">
      <c r="A3" s="30" t="s">
        <v>86</v>
      </c>
      <c r="B3" s="30"/>
      <c r="C3" s="30"/>
      <c r="D3" s="30" t="s">
        <v>112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4" t="s">
        <v>88</v>
      </c>
      <c r="I4" s="2" t="s">
        <v>9</v>
      </c>
      <c r="J4" s="2"/>
      <c r="K4" s="5">
        <v>1.4</v>
      </c>
      <c r="L4" s="5">
        <f>J4*K4</f>
        <v>0</v>
      </c>
    </row>
    <row r="5" spans="1:12" ht="13.15" customHeight="1">
      <c r="A5" s="32" t="s">
        <v>113</v>
      </c>
      <c r="B5" s="32"/>
      <c r="C5" s="32"/>
      <c r="D5" s="32"/>
      <c r="E5" s="32"/>
      <c r="F5" s="32"/>
      <c r="G5" s="2">
        <v>37</v>
      </c>
      <c r="H5" s="4" t="s">
        <v>10</v>
      </c>
      <c r="I5" s="2" t="s">
        <v>9</v>
      </c>
      <c r="J5" s="2"/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4" t="s">
        <v>11</v>
      </c>
      <c r="I6" s="2" t="s">
        <v>9</v>
      </c>
      <c r="J6" s="2"/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/>
      <c r="E7" s="5">
        <v>6.85</v>
      </c>
      <c r="F7" s="20">
        <f>D7*E7</f>
        <v>0</v>
      </c>
      <c r="G7" s="2">
        <v>39</v>
      </c>
      <c r="H7" s="4" t="s">
        <v>13</v>
      </c>
      <c r="I7" s="2" t="s">
        <v>9</v>
      </c>
      <c r="J7" s="2"/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/>
      <c r="E8" s="5">
        <v>5</v>
      </c>
      <c r="F8" s="20">
        <f t="shared" ref="F8:F41" si="1">D8*E8</f>
        <v>0</v>
      </c>
      <c r="G8" s="2">
        <v>40</v>
      </c>
      <c r="H8" s="4" t="s">
        <v>15</v>
      </c>
      <c r="I8" s="2" t="s">
        <v>9</v>
      </c>
      <c r="J8" s="2"/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/>
      <c r="E9" s="5">
        <v>5.6</v>
      </c>
      <c r="F9" s="20">
        <f t="shared" si="1"/>
        <v>0</v>
      </c>
      <c r="G9" s="2">
        <v>41</v>
      </c>
      <c r="H9" s="4" t="s">
        <v>17</v>
      </c>
      <c r="I9" s="2" t="s">
        <v>9</v>
      </c>
      <c r="J9" s="2"/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/>
      <c r="E10" s="5">
        <v>7.35</v>
      </c>
      <c r="F10" s="20">
        <f t="shared" si="1"/>
        <v>0</v>
      </c>
      <c r="G10" s="2">
        <v>42</v>
      </c>
      <c r="H10" s="4" t="s">
        <v>19</v>
      </c>
      <c r="I10" s="2" t="s">
        <v>9</v>
      </c>
      <c r="J10" s="2"/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/>
      <c r="E11" s="5">
        <v>5.25</v>
      </c>
      <c r="F11" s="20">
        <f t="shared" si="1"/>
        <v>0</v>
      </c>
      <c r="G11" s="2">
        <v>43</v>
      </c>
      <c r="H11" s="4" t="s">
        <v>21</v>
      </c>
      <c r="I11" s="2" t="s">
        <v>9</v>
      </c>
      <c r="J11" s="2"/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/>
      <c r="E12" s="5">
        <v>6</v>
      </c>
      <c r="F12" s="20">
        <f t="shared" si="1"/>
        <v>0</v>
      </c>
      <c r="G12" s="2">
        <v>44</v>
      </c>
      <c r="H12" s="4" t="s">
        <v>23</v>
      </c>
      <c r="I12" s="2" t="s">
        <v>9</v>
      </c>
      <c r="J12" s="2"/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/>
      <c r="E13" s="5">
        <v>5.75</v>
      </c>
      <c r="F13" s="20">
        <f t="shared" si="1"/>
        <v>0</v>
      </c>
      <c r="G13" s="2">
        <v>45</v>
      </c>
      <c r="H13" s="4" t="s">
        <v>25</v>
      </c>
      <c r="I13" s="2" t="s">
        <v>9</v>
      </c>
      <c r="J13" s="2"/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/>
      <c r="E14" s="5">
        <v>6.2</v>
      </c>
      <c r="F14" s="20">
        <f t="shared" si="1"/>
        <v>0</v>
      </c>
      <c r="G14" s="2">
        <v>46</v>
      </c>
      <c r="H14" s="4" t="s">
        <v>90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/>
      <c r="E15" s="5">
        <v>4</v>
      </c>
      <c r="F15" s="20">
        <f t="shared" si="1"/>
        <v>0</v>
      </c>
      <c r="G15" s="2">
        <v>47</v>
      </c>
      <c r="H15" s="4" t="s">
        <v>29</v>
      </c>
      <c r="I15" s="2" t="s">
        <v>9</v>
      </c>
      <c r="J15" s="2"/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/>
      <c r="E16" s="5">
        <v>6.15</v>
      </c>
      <c r="F16" s="20">
        <f t="shared" si="1"/>
        <v>0</v>
      </c>
      <c r="G16" s="2">
        <v>48</v>
      </c>
      <c r="H16" s="4" t="s">
        <v>31</v>
      </c>
      <c r="I16" s="2" t="s">
        <v>9</v>
      </c>
      <c r="J16" s="2"/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/>
      <c r="E17" s="5">
        <v>6.3</v>
      </c>
      <c r="F17" s="20">
        <f t="shared" si="1"/>
        <v>0</v>
      </c>
      <c r="G17" s="2">
        <v>49</v>
      </c>
      <c r="H17" s="4" t="s">
        <v>33</v>
      </c>
      <c r="I17" s="2" t="s">
        <v>9</v>
      </c>
      <c r="J17" s="2"/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/>
      <c r="E18" s="5">
        <v>6.3</v>
      </c>
      <c r="F18" s="20">
        <f t="shared" si="1"/>
        <v>0</v>
      </c>
      <c r="G18" s="2">
        <v>50</v>
      </c>
      <c r="H18" s="4" t="s">
        <v>92</v>
      </c>
      <c r="I18" s="2" t="s">
        <v>9</v>
      </c>
      <c r="J18" s="2"/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/>
      <c r="E19" s="5">
        <v>6.8</v>
      </c>
      <c r="F19" s="20">
        <f t="shared" si="1"/>
        <v>0</v>
      </c>
      <c r="G19" s="2">
        <v>51</v>
      </c>
      <c r="H19" s="4" t="s">
        <v>93</v>
      </c>
      <c r="I19" s="2" t="s">
        <v>9</v>
      </c>
      <c r="J19" s="2"/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/>
      <c r="E20" s="5">
        <v>5.0999999999999996</v>
      </c>
      <c r="F20" s="20">
        <f t="shared" si="1"/>
        <v>0</v>
      </c>
      <c r="G20" s="2">
        <v>52</v>
      </c>
      <c r="H20" s="4" t="s">
        <v>39</v>
      </c>
      <c r="I20" s="2" t="s">
        <v>9</v>
      </c>
      <c r="J20" s="2"/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/>
      <c r="E21" s="5">
        <v>5.6</v>
      </c>
      <c r="F21" s="20">
        <f t="shared" si="1"/>
        <v>0</v>
      </c>
      <c r="G21" s="2">
        <v>53</v>
      </c>
      <c r="H21" s="4" t="s">
        <v>94</v>
      </c>
      <c r="I21" s="2" t="s">
        <v>9</v>
      </c>
      <c r="J21" s="2"/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/>
      <c r="E22" s="5">
        <v>2.4</v>
      </c>
      <c r="F22" s="20">
        <f t="shared" si="1"/>
        <v>0</v>
      </c>
      <c r="G22" s="2">
        <v>54</v>
      </c>
      <c r="H22" s="4" t="s">
        <v>95</v>
      </c>
      <c r="I22" s="2" t="s">
        <v>9</v>
      </c>
      <c r="J22" s="2"/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/>
      <c r="E23" s="5">
        <v>1.3</v>
      </c>
      <c r="F23" s="20">
        <f t="shared" si="1"/>
        <v>0</v>
      </c>
      <c r="G23" s="2">
        <v>55</v>
      </c>
      <c r="H23" s="4" t="s">
        <v>41</v>
      </c>
      <c r="I23" s="2" t="s">
        <v>9</v>
      </c>
      <c r="J23" s="2"/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/>
      <c r="E24" s="5">
        <v>6</v>
      </c>
      <c r="F24" s="20">
        <f t="shared" si="1"/>
        <v>0</v>
      </c>
      <c r="G24" s="2">
        <v>56</v>
      </c>
      <c r="H24" s="4" t="s">
        <v>47</v>
      </c>
      <c r="I24" s="2" t="s">
        <v>9</v>
      </c>
      <c r="J24" s="2"/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/>
      <c r="E25" s="5">
        <v>6.75</v>
      </c>
      <c r="F25" s="20">
        <f t="shared" si="1"/>
        <v>0</v>
      </c>
      <c r="G25" s="2">
        <v>57</v>
      </c>
      <c r="H25" s="4" t="s">
        <v>49</v>
      </c>
      <c r="I25" s="2" t="s">
        <v>9</v>
      </c>
      <c r="J25" s="4"/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/>
      <c r="E26" s="5">
        <v>6.4</v>
      </c>
      <c r="F26" s="20">
        <f t="shared" si="1"/>
        <v>0</v>
      </c>
      <c r="G26" s="2">
        <v>58</v>
      </c>
      <c r="H26" s="4" t="s">
        <v>51</v>
      </c>
      <c r="I26" s="2" t="s">
        <v>9</v>
      </c>
      <c r="J26" s="4"/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/>
      <c r="E27" s="5">
        <v>7.1</v>
      </c>
      <c r="F27" s="20">
        <f t="shared" si="1"/>
        <v>0</v>
      </c>
      <c r="G27" s="2">
        <v>59</v>
      </c>
      <c r="H27" s="4" t="s">
        <v>97</v>
      </c>
      <c r="I27" s="2" t="s">
        <v>9</v>
      </c>
      <c r="J27" s="4"/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/>
      <c r="E28" s="5">
        <v>5.7</v>
      </c>
      <c r="F28" s="20">
        <f t="shared" si="1"/>
        <v>0</v>
      </c>
      <c r="G28" s="2">
        <v>60</v>
      </c>
      <c r="H28" s="4" t="s">
        <v>55</v>
      </c>
      <c r="I28" s="2" t="s">
        <v>9</v>
      </c>
      <c r="J28" s="4"/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/>
      <c r="E29" s="5">
        <v>4.75</v>
      </c>
      <c r="F29" s="20">
        <f t="shared" si="1"/>
        <v>0</v>
      </c>
      <c r="G29" s="2">
        <v>61</v>
      </c>
      <c r="H29" s="4" t="s">
        <v>98</v>
      </c>
      <c r="I29" s="2" t="s">
        <v>9</v>
      </c>
      <c r="J29" s="4"/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/>
      <c r="E30" s="5">
        <v>5.25</v>
      </c>
      <c r="F30" s="20">
        <f t="shared" si="1"/>
        <v>0</v>
      </c>
      <c r="G30" s="2">
        <v>62</v>
      </c>
      <c r="H30" s="4" t="s">
        <v>114</v>
      </c>
      <c r="I30" s="2" t="s">
        <v>9</v>
      </c>
      <c r="J30" s="4"/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/>
      <c r="E31" s="5">
        <v>6</v>
      </c>
      <c r="F31" s="20">
        <f t="shared" si="1"/>
        <v>0</v>
      </c>
      <c r="G31" s="2">
        <v>63</v>
      </c>
      <c r="H31" s="4" t="s">
        <v>100</v>
      </c>
      <c r="I31" s="2" t="s">
        <v>9</v>
      </c>
      <c r="J31" s="4"/>
      <c r="K31" s="2">
        <v>3.5</v>
      </c>
      <c r="L31" s="5">
        <f t="shared" si="0"/>
        <v>0</v>
      </c>
    </row>
    <row r="32" spans="1:12" ht="13.15" customHeight="1">
      <c r="A32" s="2">
        <v>26</v>
      </c>
      <c r="B32" s="4" t="s">
        <v>62</v>
      </c>
      <c r="C32" s="2" t="s">
        <v>9</v>
      </c>
      <c r="D32" s="2"/>
      <c r="E32" s="5">
        <v>4.8</v>
      </c>
      <c r="F32" s="5">
        <f t="shared" si="1"/>
        <v>0</v>
      </c>
      <c r="G32" s="2">
        <v>64</v>
      </c>
      <c r="H32" s="4" t="s">
        <v>101</v>
      </c>
      <c r="I32" s="2" t="s">
        <v>9</v>
      </c>
      <c r="J32" s="4"/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/>
      <c r="E33" s="5">
        <v>6.25</v>
      </c>
      <c r="F33" s="5">
        <f t="shared" si="1"/>
        <v>0</v>
      </c>
      <c r="G33" s="2">
        <v>65</v>
      </c>
      <c r="H33" s="4" t="s">
        <v>103</v>
      </c>
      <c r="I33" s="2" t="s">
        <v>9</v>
      </c>
      <c r="J33" s="4"/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/>
      <c r="E34" s="5">
        <v>8</v>
      </c>
      <c r="F34" s="20">
        <f t="shared" si="1"/>
        <v>0</v>
      </c>
      <c r="G34" s="2">
        <v>66</v>
      </c>
      <c r="H34" s="4" t="s">
        <v>105</v>
      </c>
      <c r="I34" s="2" t="s">
        <v>9</v>
      </c>
      <c r="J34" s="4"/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/>
      <c r="E35" s="5">
        <v>5.8</v>
      </c>
      <c r="F35" s="5">
        <f t="shared" si="1"/>
        <v>0</v>
      </c>
      <c r="G35" s="2">
        <v>67</v>
      </c>
      <c r="H35" s="4" t="s">
        <v>65</v>
      </c>
      <c r="I35" s="2" t="s">
        <v>9</v>
      </c>
      <c r="J35" s="4"/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/>
      <c r="E36" s="5">
        <v>6.25</v>
      </c>
      <c r="F36" s="5">
        <f t="shared" si="1"/>
        <v>0</v>
      </c>
      <c r="G36" s="2">
        <v>68</v>
      </c>
      <c r="H36" s="4" t="s">
        <v>106</v>
      </c>
      <c r="I36" s="2" t="s">
        <v>9</v>
      </c>
      <c r="J36" s="4"/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/>
      <c r="E37" s="5">
        <v>5.8</v>
      </c>
      <c r="F37" s="20">
        <f t="shared" si="1"/>
        <v>0</v>
      </c>
      <c r="G37" s="2">
        <v>69</v>
      </c>
      <c r="H37" s="4" t="s">
        <v>107</v>
      </c>
      <c r="I37" s="2" t="s">
        <v>9</v>
      </c>
      <c r="J37" s="4"/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/>
      <c r="E38" s="2">
        <v>2.35</v>
      </c>
      <c r="F38" s="20">
        <f t="shared" si="1"/>
        <v>0</v>
      </c>
      <c r="G38" s="2">
        <v>70</v>
      </c>
      <c r="H38" s="4" t="s">
        <v>108</v>
      </c>
      <c r="I38" s="2" t="s">
        <v>9</v>
      </c>
      <c r="J38" s="4"/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/>
      <c r="E39" s="2">
        <v>3.7</v>
      </c>
      <c r="F39" s="20">
        <f t="shared" si="1"/>
        <v>0</v>
      </c>
      <c r="G39" s="2">
        <v>71</v>
      </c>
      <c r="H39" s="4" t="s">
        <v>109</v>
      </c>
      <c r="I39" s="2" t="s">
        <v>9</v>
      </c>
      <c r="J39" s="4"/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/>
      <c r="E40" s="2">
        <v>6.75</v>
      </c>
      <c r="F40" s="20">
        <f t="shared" si="1"/>
        <v>0</v>
      </c>
      <c r="G40" s="2">
        <v>72</v>
      </c>
      <c r="H40" s="4" t="s">
        <v>110</v>
      </c>
      <c r="I40" s="2" t="s">
        <v>9</v>
      </c>
      <c r="J40" s="4"/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/>
      <c r="E41" s="2">
        <v>4</v>
      </c>
      <c r="F41" s="20">
        <f t="shared" si="1"/>
        <v>0</v>
      </c>
      <c r="G41" s="2">
        <v>73</v>
      </c>
      <c r="H41" s="4" t="s">
        <v>111</v>
      </c>
      <c r="I41" s="2" t="s">
        <v>9</v>
      </c>
      <c r="J41" s="4"/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0</v>
      </c>
    </row>
    <row r="44" spans="1:13" ht="13.15" customHeight="1">
      <c r="H44" t="s">
        <v>83</v>
      </c>
      <c r="I44" s="13" t="s">
        <v>84</v>
      </c>
      <c r="J44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>
  <sheetPr codeName="Лист68">
    <tabColor rgb="FFFF0000"/>
  </sheetPr>
  <dimension ref="A3:M44"/>
  <sheetViews>
    <sheetView workbookViewId="0">
      <selection activeCell="D8" sqref="D8"/>
    </sheetView>
  </sheetViews>
  <sheetFormatPr defaultColWidth="8.28515625" defaultRowHeight="13.15" customHeight="1"/>
  <cols>
    <col min="1" max="1" width="4.7109375" style="17" customWidth="1"/>
    <col min="2" max="2" width="30.7109375" customWidth="1"/>
    <col min="3" max="3" width="6.28515625" customWidth="1"/>
    <col min="4" max="4" width="7.140625" customWidth="1"/>
    <col min="5" max="5" width="7.85546875" customWidth="1"/>
    <col min="6" max="6" width="8.28515625" style="17"/>
    <col min="7" max="7" width="4.7109375" style="17" customWidth="1"/>
    <col min="8" max="8" width="23.28515625" customWidth="1"/>
    <col min="9" max="9" width="6.42578125" customWidth="1"/>
    <col min="10" max="10" width="6.28515625" style="17" customWidth="1"/>
    <col min="12" max="12" width="8.28515625" style="17"/>
  </cols>
  <sheetData>
    <row r="3" spans="1:12" ht="13.15" customHeight="1">
      <c r="A3" s="30" t="s">
        <v>86</v>
      </c>
      <c r="B3" s="30"/>
      <c r="C3" s="30"/>
      <c r="D3" s="30" t="s">
        <v>112</v>
      </c>
      <c r="E3" s="30"/>
      <c r="F3" s="30"/>
      <c r="G3" s="16" t="s">
        <v>1</v>
      </c>
      <c r="H3" s="2" t="s">
        <v>2</v>
      </c>
      <c r="I3" s="1" t="s">
        <v>3</v>
      </c>
      <c r="J3" s="2" t="s">
        <v>4</v>
      </c>
      <c r="K3" s="2" t="s">
        <v>5</v>
      </c>
      <c r="L3" s="3" t="s">
        <v>6</v>
      </c>
    </row>
    <row r="4" spans="1:12" ht="13.15" customHeight="1">
      <c r="A4" s="32"/>
      <c r="B4" s="32"/>
      <c r="C4" s="32"/>
      <c r="D4" s="32"/>
      <c r="E4" s="32"/>
      <c r="F4" s="32"/>
      <c r="G4" s="2">
        <v>36</v>
      </c>
      <c r="H4" s="4" t="s">
        <v>88</v>
      </c>
      <c r="I4" s="2" t="s">
        <v>9</v>
      </c>
      <c r="J4" s="2">
        <f>'d1'!J4+'d2'!J4+'d3'!J4+'d4'!J4+'d5'!J4+'d6'!J4+'d7'!J4+'d8'!J4+'d9'!J4+'d10'!J4+'d11'!J4+'d12'!J4+'d13'!J4+'d14'!J4+'d15'!J4</f>
        <v>0</v>
      </c>
      <c r="K4" s="5">
        <v>1.4</v>
      </c>
      <c r="L4" s="5">
        <f>J4*K4</f>
        <v>0</v>
      </c>
    </row>
    <row r="5" spans="1:12" ht="13.15" customHeight="1">
      <c r="A5" s="32" t="s">
        <v>113</v>
      </c>
      <c r="B5" s="32"/>
      <c r="C5" s="32"/>
      <c r="D5" s="32"/>
      <c r="E5" s="32"/>
      <c r="F5" s="32"/>
      <c r="G5" s="2">
        <v>37</v>
      </c>
      <c r="H5" s="4" t="s">
        <v>10</v>
      </c>
      <c r="I5" s="2" t="s">
        <v>9</v>
      </c>
      <c r="J5" s="2">
        <f>'d1'!J5+'d2'!J5+'d3'!J5+'d4'!J5+'d5'!J5+'d6'!J5+'d7'!J5+'d8'!J5+'d9'!J5+'d10'!J5+'d11'!J5+'d12'!J5+'d13'!J5+'d14'!J5+'d15'!J5</f>
        <v>0</v>
      </c>
      <c r="K5" s="5">
        <v>2.1</v>
      </c>
      <c r="L5" s="5">
        <f t="shared" ref="L5:L41" si="0">J5*K5</f>
        <v>0</v>
      </c>
    </row>
    <row r="6" spans="1:12" ht="13.15" customHeight="1">
      <c r="A6" s="16" t="s">
        <v>1</v>
      </c>
      <c r="B6" s="2" t="s">
        <v>2</v>
      </c>
      <c r="C6" s="1" t="s">
        <v>3</v>
      </c>
      <c r="D6" s="2" t="s">
        <v>4</v>
      </c>
      <c r="E6" s="2" t="s">
        <v>5</v>
      </c>
      <c r="F6" s="3" t="s">
        <v>6</v>
      </c>
      <c r="G6" s="2">
        <v>38</v>
      </c>
      <c r="H6" s="4" t="s">
        <v>11</v>
      </c>
      <c r="I6" s="2" t="s">
        <v>9</v>
      </c>
      <c r="J6" s="2">
        <f>'d1'!J6+'d2'!J6+'d3'!J6+'d4'!J6+'d5'!J6+'d6'!J6+'d7'!J6+'d8'!J6+'d9'!J6+'d10'!J6+'d11'!J6+'d12'!J6+'d13'!J6+'d14'!J6+'d15'!J6</f>
        <v>0</v>
      </c>
      <c r="K6" s="5">
        <v>2.2999999999999998</v>
      </c>
      <c r="L6" s="5">
        <f t="shared" si="0"/>
        <v>0</v>
      </c>
    </row>
    <row r="7" spans="1:12" ht="13.15" customHeight="1">
      <c r="A7" s="2">
        <v>1</v>
      </c>
      <c r="B7" s="4" t="s">
        <v>12</v>
      </c>
      <c r="C7" s="2" t="s">
        <v>9</v>
      </c>
      <c r="D7" s="2">
        <f>'маг. Центр'!D5</f>
        <v>2</v>
      </c>
      <c r="E7" s="5">
        <v>6.85</v>
      </c>
      <c r="F7" s="20">
        <f>D7*E7</f>
        <v>13.7</v>
      </c>
      <c r="G7" s="2">
        <v>39</v>
      </c>
      <c r="H7" s="4" t="s">
        <v>13</v>
      </c>
      <c r="I7" s="2" t="s">
        <v>9</v>
      </c>
      <c r="J7" s="2">
        <f>'d1'!J7+'d2'!J7+'d3'!J7+'d4'!J7+'d5'!J7+'d6'!J7+'d7'!J7+'d8'!J7+'d9'!J7+'d10'!J7+'d11'!J7+'d12'!J7+'d13'!J7+'d14'!J7+'d15'!J7</f>
        <v>0</v>
      </c>
      <c r="K7" s="5">
        <v>2</v>
      </c>
      <c r="L7" s="5">
        <f t="shared" si="0"/>
        <v>0</v>
      </c>
    </row>
    <row r="8" spans="1:12" ht="13.15" customHeight="1">
      <c r="A8" s="2">
        <v>2</v>
      </c>
      <c r="B8" s="4" t="s">
        <v>14</v>
      </c>
      <c r="C8" s="2" t="s">
        <v>9</v>
      </c>
      <c r="D8" s="2">
        <f>'d1'!D8+'d2'!D8+'d3'!D8+'d4'!D8+'d5'!D8+'d6'!D8+'d7'!D8+'d8'!D8+'d9'!D8+'d10'!D8+'d11'!D8+'d12'!D8+'d13'!D8+'d14'!D8+'d15'!D8</f>
        <v>0</v>
      </c>
      <c r="E8" s="5">
        <v>5</v>
      </c>
      <c r="F8" s="20">
        <f t="shared" ref="F8:F41" si="1">D8*E8</f>
        <v>0</v>
      </c>
      <c r="G8" s="2">
        <v>40</v>
      </c>
      <c r="H8" s="4" t="s">
        <v>15</v>
      </c>
      <c r="I8" s="2" t="s">
        <v>9</v>
      </c>
      <c r="J8" s="2">
        <f>'d1'!J8+'d2'!J8+'d3'!J8+'d4'!J8+'d5'!J8+'d6'!J8+'d7'!J8+'d8'!J8+'d9'!J8+'d10'!J8+'d11'!J8+'d12'!J8+'d13'!J8+'d14'!J8+'d15'!J8</f>
        <v>0</v>
      </c>
      <c r="K8" s="5">
        <v>8</v>
      </c>
      <c r="L8" s="5">
        <f t="shared" si="0"/>
        <v>0</v>
      </c>
    </row>
    <row r="9" spans="1:12" ht="13.15" customHeight="1">
      <c r="A9" s="2">
        <v>3</v>
      </c>
      <c r="B9" s="4"/>
      <c r="C9" s="2" t="s">
        <v>9</v>
      </c>
      <c r="D9" s="2">
        <f>'d1'!D9+'d2'!D9+'d3'!D9+'d4'!D9+'d5'!D9+'d6'!D9+'d7'!D9+'d8'!D9+'d9'!D9+'d10'!D9+'d11'!D9+'d12'!D9+'d13'!D9+'d14'!D9+'d15'!D9</f>
        <v>0</v>
      </c>
      <c r="E9" s="5">
        <v>5.6</v>
      </c>
      <c r="F9" s="20">
        <f t="shared" si="1"/>
        <v>0</v>
      </c>
      <c r="G9" s="2">
        <v>41</v>
      </c>
      <c r="H9" s="4" t="s">
        <v>17</v>
      </c>
      <c r="I9" s="2" t="s">
        <v>9</v>
      </c>
      <c r="J9" s="2">
        <f>'d1'!J9+'d2'!J9+'d3'!J9+'d4'!J9+'d5'!J9+'d6'!J9+'d7'!J9+'d8'!J9+'d9'!J9+'d10'!J9+'d11'!J9+'d12'!J9+'d13'!J9+'d14'!J9+'d15'!J9</f>
        <v>0</v>
      </c>
      <c r="K9" s="5">
        <v>1.95</v>
      </c>
      <c r="L9" s="5">
        <f t="shared" si="0"/>
        <v>0</v>
      </c>
    </row>
    <row r="10" spans="1:12" ht="13.15" customHeight="1">
      <c r="A10" s="2">
        <v>4</v>
      </c>
      <c r="B10" s="4" t="s">
        <v>18</v>
      </c>
      <c r="C10" s="2" t="s">
        <v>9</v>
      </c>
      <c r="D10" s="2">
        <f>'d1'!D10+'d2'!D10+'d3'!D10+'d4'!D10+'d5'!D10+'d6'!D10+'d7'!D10+'d8'!D10+'d9'!D10+'d10'!D10+'d11'!D10+'d12'!D10+'d13'!D10+'d14'!D10+'d15'!D10</f>
        <v>0</v>
      </c>
      <c r="E10" s="5">
        <v>7.35</v>
      </c>
      <c r="F10" s="20">
        <f t="shared" si="1"/>
        <v>0</v>
      </c>
      <c r="G10" s="2">
        <v>42</v>
      </c>
      <c r="H10" s="4" t="s">
        <v>19</v>
      </c>
      <c r="I10" s="2" t="s">
        <v>9</v>
      </c>
      <c r="J10" s="2">
        <f>'d1'!J10+'d2'!J10+'d3'!J10+'d4'!J10+'d5'!J10+'d6'!J10+'d7'!J10+'d8'!J10+'d9'!J10+'d10'!J10+'d11'!J10+'d12'!J10+'d13'!J10+'d14'!J10+'d15'!J10</f>
        <v>0</v>
      </c>
      <c r="K10" s="5">
        <v>2.2999999999999998</v>
      </c>
      <c r="L10" s="5">
        <f t="shared" si="0"/>
        <v>0</v>
      </c>
    </row>
    <row r="11" spans="1:12" ht="13.15" customHeight="1">
      <c r="A11" s="2">
        <v>5</v>
      </c>
      <c r="B11" s="4" t="s">
        <v>20</v>
      </c>
      <c r="C11" s="2" t="s">
        <v>9</v>
      </c>
      <c r="D11" s="2">
        <f>'d1'!D11+'d2'!D11+'d3'!D11+'d4'!D11+'d5'!D11+'d6'!D11+'d7'!D11+'d8'!D11+'d9'!D11+'d10'!D11+'d11'!D11+'d12'!D11+'d13'!D11+'d14'!D11+'d15'!D11</f>
        <v>0</v>
      </c>
      <c r="E11" s="5">
        <v>5.25</v>
      </c>
      <c r="F11" s="20">
        <f t="shared" si="1"/>
        <v>0</v>
      </c>
      <c r="G11" s="2">
        <v>43</v>
      </c>
      <c r="H11" s="4" t="s">
        <v>21</v>
      </c>
      <c r="I11" s="2" t="s">
        <v>9</v>
      </c>
      <c r="J11" s="2">
        <f>'d1'!J11+'d2'!J11+'d3'!J11+'d4'!J11+'d5'!J11+'d6'!J11+'d7'!J11+'d8'!J11+'d9'!J11+'d10'!J11+'d11'!J11+'d12'!J11+'d13'!J11+'d14'!J11+'d15'!J11</f>
        <v>0</v>
      </c>
      <c r="K11" s="5">
        <v>2.5</v>
      </c>
      <c r="L11" s="5">
        <f t="shared" si="0"/>
        <v>0</v>
      </c>
    </row>
    <row r="12" spans="1:12" ht="13.15" customHeight="1">
      <c r="A12" s="2">
        <v>6</v>
      </c>
      <c r="B12" s="4" t="s">
        <v>22</v>
      </c>
      <c r="C12" s="2" t="s">
        <v>9</v>
      </c>
      <c r="D12" s="2">
        <f>'d1'!D12+'d2'!D12+'d3'!D12+'d4'!D12+'d5'!D12+'d6'!D12+'d7'!D12+'d8'!D12+'d9'!D12+'d10'!D12+'d11'!D12+'d12'!D12+'d13'!D12+'d14'!D12+'d15'!D12</f>
        <v>0</v>
      </c>
      <c r="E12" s="5">
        <v>6</v>
      </c>
      <c r="F12" s="20">
        <f t="shared" si="1"/>
        <v>0</v>
      </c>
      <c r="G12" s="2">
        <v>44</v>
      </c>
      <c r="H12" s="4" t="s">
        <v>23</v>
      </c>
      <c r="I12" s="2" t="s">
        <v>9</v>
      </c>
      <c r="J12" s="2">
        <f>'d1'!J12+'d2'!J12+'d3'!J12+'d4'!J12+'d5'!J12+'d6'!J12+'d7'!J12+'d8'!J12+'d9'!J12+'d10'!J12+'d11'!J12+'d12'!J12+'d13'!J12+'d14'!J12+'d15'!J12</f>
        <v>0</v>
      </c>
      <c r="K12" s="5">
        <v>1.1000000000000001</v>
      </c>
      <c r="L12" s="5">
        <f t="shared" si="0"/>
        <v>0</v>
      </c>
    </row>
    <row r="13" spans="1:12" ht="13.15" customHeight="1">
      <c r="A13" s="2">
        <v>7</v>
      </c>
      <c r="B13" s="4" t="s">
        <v>89</v>
      </c>
      <c r="C13" s="2" t="s">
        <v>9</v>
      </c>
      <c r="D13" s="2">
        <f>'d1'!D13+'d2'!D13+'d3'!D13+'d4'!D13+'d5'!D13+'d6'!D13+'d7'!D13+'d8'!D13+'d9'!D13+'d10'!D13+'d11'!D13+'d12'!D13+'d13'!D13+'d14'!D13+'d15'!D13</f>
        <v>0</v>
      </c>
      <c r="E13" s="5">
        <v>5.75</v>
      </c>
      <c r="F13" s="20">
        <f t="shared" si="1"/>
        <v>0</v>
      </c>
      <c r="G13" s="2">
        <v>45</v>
      </c>
      <c r="H13" s="4" t="s">
        <v>25</v>
      </c>
      <c r="I13" s="2" t="s">
        <v>9</v>
      </c>
      <c r="J13" s="2">
        <f>'d1'!J13+'d2'!J13+'d3'!J13+'d4'!J13+'d5'!J13+'d6'!J13+'d7'!J13+'d8'!J13+'d9'!J13+'d10'!J13+'d11'!J13+'d12'!J13+'d13'!J13+'d14'!J13+'d15'!J13</f>
        <v>0</v>
      </c>
      <c r="K13" s="5">
        <v>3.5</v>
      </c>
      <c r="L13" s="5">
        <f t="shared" si="0"/>
        <v>0</v>
      </c>
    </row>
    <row r="14" spans="1:12" ht="13.15" customHeight="1">
      <c r="A14" s="2">
        <v>8</v>
      </c>
      <c r="B14" s="4" t="s">
        <v>26</v>
      </c>
      <c r="C14" s="2" t="s">
        <v>9</v>
      </c>
      <c r="D14" s="2">
        <f>'d1'!D14+'d2'!D14+'d3'!D14+'d4'!D14+'d5'!D14+'d6'!D14+'d7'!D14+'d8'!D14+'d9'!D14+'d10'!D14+'d11'!D14+'d12'!D14+'d13'!D14+'d14'!D14+'d15'!D14</f>
        <v>0</v>
      </c>
      <c r="E14" s="5">
        <v>6.2</v>
      </c>
      <c r="F14" s="20">
        <f t="shared" si="1"/>
        <v>0</v>
      </c>
      <c r="G14" s="2">
        <v>46</v>
      </c>
      <c r="H14" s="4" t="s">
        <v>90</v>
      </c>
      <c r="I14" s="2" t="s">
        <v>9</v>
      </c>
      <c r="J14" s="2">
        <f>'d1'!J14+'d2'!J14+'d3'!J14+'d4'!J14+'d5'!J14+'d6'!J14+'d7'!J14+'d8'!J14+'d9'!J14+'d10'!J14+'d11'!J14+'d12'!J14+'d13'!J14+'d14'!J14+'d15'!J14</f>
        <v>0</v>
      </c>
      <c r="K14" s="5">
        <v>2.5</v>
      </c>
      <c r="L14" s="5">
        <f t="shared" si="0"/>
        <v>0</v>
      </c>
    </row>
    <row r="15" spans="1:12" ht="13.15" customHeight="1">
      <c r="A15" s="2">
        <v>9</v>
      </c>
      <c r="B15" s="4" t="s">
        <v>91</v>
      </c>
      <c r="C15" s="2" t="s">
        <v>9</v>
      </c>
      <c r="D15" s="2">
        <f>'d1'!D15+'d2'!D15+'d3'!D15+'d4'!D15+'d5'!D15+'d6'!D15+'d7'!D15+'d8'!D15+'d9'!D15+'d10'!D15+'d11'!D15+'d12'!D15+'d13'!D15+'d14'!D15+'d15'!D15</f>
        <v>0</v>
      </c>
      <c r="E15" s="5">
        <v>4</v>
      </c>
      <c r="F15" s="20">
        <f t="shared" si="1"/>
        <v>0</v>
      </c>
      <c r="G15" s="2">
        <v>47</v>
      </c>
      <c r="H15" s="4" t="s">
        <v>29</v>
      </c>
      <c r="I15" s="2" t="s">
        <v>9</v>
      </c>
      <c r="J15" s="2">
        <f>'d1'!J15+'d2'!J15+'d3'!J15+'d4'!J15+'d5'!J15+'d6'!J15+'d7'!J15+'d8'!J15+'d9'!J15+'d10'!J15+'d11'!J15+'d12'!J15+'d13'!J15+'d14'!J15+'d15'!J15</f>
        <v>0</v>
      </c>
      <c r="K15" s="5">
        <v>2.1</v>
      </c>
      <c r="L15" s="5">
        <f t="shared" si="0"/>
        <v>0</v>
      </c>
    </row>
    <row r="16" spans="1:12" ht="13.15" customHeight="1">
      <c r="A16" s="2">
        <v>10</v>
      </c>
      <c r="B16" s="4" t="s">
        <v>30</v>
      </c>
      <c r="C16" s="2" t="s">
        <v>9</v>
      </c>
      <c r="D16" s="2">
        <f>'d1'!D16+'d2'!D16+'d3'!D16+'d4'!D16+'d5'!D16+'d6'!D16+'d7'!D16+'d8'!D16+'d9'!D16+'d10'!D16+'d11'!D16+'d12'!D16+'d13'!D16+'d14'!D16+'d15'!D16</f>
        <v>0</v>
      </c>
      <c r="E16" s="5">
        <v>6.15</v>
      </c>
      <c r="F16" s="20">
        <f t="shared" si="1"/>
        <v>0</v>
      </c>
      <c r="G16" s="2">
        <v>48</v>
      </c>
      <c r="H16" s="4" t="s">
        <v>31</v>
      </c>
      <c r="I16" s="2" t="s">
        <v>9</v>
      </c>
      <c r="J16" s="2">
        <f>'d1'!J16+'d2'!J16+'d3'!J16+'d4'!J16+'d5'!J16+'d6'!J16+'d7'!J16+'d8'!J16+'d9'!J16+'d10'!J16+'d11'!J16+'d12'!J16+'d13'!J16+'d14'!J16+'d15'!J16</f>
        <v>0</v>
      </c>
      <c r="K16" s="5">
        <v>2.1</v>
      </c>
      <c r="L16" s="5">
        <f t="shared" si="0"/>
        <v>0</v>
      </c>
    </row>
    <row r="17" spans="1:12" ht="13.15" customHeight="1">
      <c r="A17" s="2">
        <v>11</v>
      </c>
      <c r="B17" s="4" t="s">
        <v>32</v>
      </c>
      <c r="C17" s="2" t="s">
        <v>9</v>
      </c>
      <c r="D17" s="2">
        <f>'d1'!D17+'d2'!D17+'d3'!D17+'d4'!D17+'d5'!D17+'d6'!D17+'d7'!D17+'d8'!D17+'d9'!D17+'d10'!D17+'d11'!D17+'d12'!D17+'d13'!D17+'d14'!D17+'d15'!D17</f>
        <v>0</v>
      </c>
      <c r="E17" s="5">
        <v>6.3</v>
      </c>
      <c r="F17" s="20">
        <f t="shared" si="1"/>
        <v>0</v>
      </c>
      <c r="G17" s="2">
        <v>49</v>
      </c>
      <c r="H17" s="4" t="s">
        <v>33</v>
      </c>
      <c r="I17" s="2" t="s">
        <v>9</v>
      </c>
      <c r="J17" s="2">
        <f>'d1'!J17+'d2'!J17+'d3'!J17+'d4'!J17+'d5'!J17+'d6'!J17+'d7'!J17+'d8'!J17+'d9'!J17+'d10'!J17+'d11'!J17+'d12'!J17+'d13'!J17+'d14'!J17+'d15'!J17</f>
        <v>0</v>
      </c>
      <c r="K17" s="5">
        <v>2.1</v>
      </c>
      <c r="L17" s="5">
        <f t="shared" si="0"/>
        <v>0</v>
      </c>
    </row>
    <row r="18" spans="1:12" ht="13.15" customHeight="1">
      <c r="A18" s="2">
        <v>12</v>
      </c>
      <c r="B18" s="4" t="s">
        <v>34</v>
      </c>
      <c r="C18" s="2" t="s">
        <v>9</v>
      </c>
      <c r="D18" s="2">
        <f>'d1'!D18+'d2'!D18+'d3'!D18+'d4'!D18+'d5'!D18+'d6'!D18+'d7'!D18+'d8'!D18+'d9'!D18+'d10'!D18+'d11'!D18+'d12'!D18+'d13'!D18+'d14'!D18+'d15'!D18</f>
        <v>12</v>
      </c>
      <c r="E18" s="5">
        <v>6.3</v>
      </c>
      <c r="F18" s="20">
        <f t="shared" si="1"/>
        <v>75.599999999999994</v>
      </c>
      <c r="G18" s="2">
        <v>50</v>
      </c>
      <c r="H18" s="4" t="s">
        <v>92</v>
      </c>
      <c r="I18" s="2" t="s">
        <v>9</v>
      </c>
      <c r="J18" s="2">
        <f>'d1'!J18+'d2'!J18+'d3'!J18+'d4'!J18+'d5'!J18+'d6'!J18+'d7'!J18+'d8'!J18+'d9'!J18+'d10'!J18+'d11'!J18+'d12'!J18+'d13'!J18+'d14'!J18+'d15'!J18</f>
        <v>0</v>
      </c>
      <c r="K18" s="5">
        <v>6.75</v>
      </c>
      <c r="L18" s="5">
        <f t="shared" si="0"/>
        <v>0</v>
      </c>
    </row>
    <row r="19" spans="1:12" ht="13.15" customHeight="1">
      <c r="A19" s="2">
        <v>13</v>
      </c>
      <c r="B19" s="4" t="s">
        <v>36</v>
      </c>
      <c r="C19" s="2" t="s">
        <v>9</v>
      </c>
      <c r="D19" s="2">
        <f>'d1'!D19+'d2'!D19+'d3'!D19+'d4'!D19+'d5'!D19+'d6'!D19+'d7'!D19+'d8'!D19+'d9'!D19+'d10'!D19+'d11'!D19+'d12'!D19+'d13'!D19+'d14'!D19+'d15'!D19</f>
        <v>0</v>
      </c>
      <c r="E19" s="5">
        <v>6.8</v>
      </c>
      <c r="F19" s="20">
        <f t="shared" si="1"/>
        <v>0</v>
      </c>
      <c r="G19" s="2">
        <v>51</v>
      </c>
      <c r="H19" s="4" t="s">
        <v>93</v>
      </c>
      <c r="I19" s="2" t="s">
        <v>9</v>
      </c>
      <c r="J19" s="2">
        <f>'d1'!J19+'d2'!J19+'d3'!J19+'d4'!J19+'d5'!J19+'d6'!J19+'d7'!J19+'d8'!J19+'d9'!J19+'d10'!J19+'d11'!J19+'d12'!J19+'d13'!J19+'d14'!J19+'d15'!J19</f>
        <v>0</v>
      </c>
      <c r="K19" s="5">
        <v>8.25</v>
      </c>
      <c r="L19" s="5">
        <f t="shared" si="0"/>
        <v>0</v>
      </c>
    </row>
    <row r="20" spans="1:12" ht="13.15" customHeight="1">
      <c r="A20" s="2">
        <v>14</v>
      </c>
      <c r="B20" s="4" t="s">
        <v>38</v>
      </c>
      <c r="C20" s="2" t="s">
        <v>9</v>
      </c>
      <c r="D20" s="2">
        <f>'d1'!D20+'d2'!D20+'d3'!D20+'d4'!D20+'d5'!D20+'d6'!D20+'d7'!D20+'d8'!D20+'d9'!D20+'d10'!D20+'d11'!D20+'d12'!D20+'d13'!D20+'d14'!D20+'d15'!D20</f>
        <v>0</v>
      </c>
      <c r="E20" s="5">
        <v>5.0999999999999996</v>
      </c>
      <c r="F20" s="20">
        <f t="shared" si="1"/>
        <v>0</v>
      </c>
      <c r="G20" s="2">
        <v>52</v>
      </c>
      <c r="H20" s="4" t="s">
        <v>39</v>
      </c>
      <c r="I20" s="2" t="s">
        <v>9</v>
      </c>
      <c r="J20" s="2">
        <f>'d1'!J20+'d2'!J20+'d3'!J20+'d4'!J20+'d5'!J20+'d6'!J20+'d7'!J20+'d8'!J20+'d9'!J20+'d10'!J20+'d11'!J20+'d12'!J20+'d13'!J20+'d14'!J20+'d15'!J20</f>
        <v>0</v>
      </c>
      <c r="K20" s="5">
        <v>6.6</v>
      </c>
      <c r="L20" s="5">
        <f t="shared" si="0"/>
        <v>0</v>
      </c>
    </row>
    <row r="21" spans="1:12" ht="13.15" customHeight="1">
      <c r="A21" s="2">
        <v>15</v>
      </c>
      <c r="B21" s="4" t="s">
        <v>40</v>
      </c>
      <c r="C21" s="2" t="s">
        <v>9</v>
      </c>
      <c r="D21" s="2">
        <f>'d1'!D21+'d2'!D21+'d3'!D21+'d4'!D21+'d5'!D21+'d6'!D21+'d7'!D21+'d8'!D21+'d9'!D21+'d10'!D21+'d11'!D21+'d12'!D21+'d13'!D21+'d14'!D21+'d15'!D21</f>
        <v>0</v>
      </c>
      <c r="E21" s="5">
        <v>5.6</v>
      </c>
      <c r="F21" s="20">
        <f t="shared" si="1"/>
        <v>0</v>
      </c>
      <c r="G21" s="2">
        <v>53</v>
      </c>
      <c r="H21" s="4" t="s">
        <v>94</v>
      </c>
      <c r="I21" s="2" t="s">
        <v>9</v>
      </c>
      <c r="J21" s="2">
        <f>'d1'!J21+'d2'!J21+'d3'!J21+'d4'!J21+'d5'!J21+'d6'!J21+'d7'!J21+'d8'!J21+'d9'!J21+'d10'!J21+'d11'!J21+'d12'!J21+'d13'!J21+'d14'!J21+'d15'!J21</f>
        <v>0</v>
      </c>
      <c r="K21" s="5">
        <v>11.25</v>
      </c>
      <c r="L21" s="5">
        <f t="shared" si="0"/>
        <v>0</v>
      </c>
    </row>
    <row r="22" spans="1:12" ht="13.15" customHeight="1">
      <c r="A22" s="2">
        <v>16</v>
      </c>
      <c r="B22" s="4" t="s">
        <v>42</v>
      </c>
      <c r="C22" s="2" t="s">
        <v>9</v>
      </c>
      <c r="D22" s="2">
        <f>'d1'!D22+'d2'!D22+'d3'!D22+'d4'!D22+'d5'!D22+'d6'!D22+'d7'!D22+'d8'!D22+'d9'!D22+'d10'!D22+'d11'!D22+'d12'!D22+'d13'!D22+'d14'!D22+'d15'!D22</f>
        <v>0</v>
      </c>
      <c r="E22" s="5">
        <v>2.4</v>
      </c>
      <c r="F22" s="20">
        <f t="shared" si="1"/>
        <v>0</v>
      </c>
      <c r="G22" s="2">
        <v>54</v>
      </c>
      <c r="H22" s="4" t="s">
        <v>95</v>
      </c>
      <c r="I22" s="2" t="s">
        <v>9</v>
      </c>
      <c r="J22" s="2">
        <f>'d1'!J22+'d2'!J22+'d3'!J22+'d4'!J22+'d5'!J22+'d6'!J22+'d7'!J22+'d8'!J22+'d9'!J22+'d10'!J22+'d11'!J22+'d12'!J22+'d13'!J22+'d14'!J22+'d15'!J22</f>
        <v>0</v>
      </c>
      <c r="K22" s="5">
        <v>22.25</v>
      </c>
      <c r="L22" s="5">
        <f t="shared" si="0"/>
        <v>0</v>
      </c>
    </row>
    <row r="23" spans="1:12" ht="13.15" customHeight="1">
      <c r="A23" s="2">
        <v>17</v>
      </c>
      <c r="B23" s="4" t="s">
        <v>44</v>
      </c>
      <c r="C23" s="2" t="s">
        <v>9</v>
      </c>
      <c r="D23" s="2">
        <f>'d1'!D23+'d2'!D23+'d3'!D23+'d4'!D23+'d5'!D23+'d6'!D23+'d7'!D23+'d8'!D23+'d9'!D23+'d10'!D23+'d11'!D23+'d12'!D23+'d13'!D23+'d14'!D23+'d15'!D23</f>
        <v>0</v>
      </c>
      <c r="E23" s="5">
        <v>1.3</v>
      </c>
      <c r="F23" s="20">
        <f t="shared" si="1"/>
        <v>0</v>
      </c>
      <c r="G23" s="2">
        <v>55</v>
      </c>
      <c r="H23" s="4" t="s">
        <v>41</v>
      </c>
      <c r="I23" s="2" t="s">
        <v>9</v>
      </c>
      <c r="J23" s="2">
        <f>'d1'!J23+'d2'!J23+'d3'!J23+'d4'!J23+'d5'!J23+'d6'!J23+'d7'!J23+'d8'!J23+'d9'!J23+'d10'!J23+'d11'!J23+'d12'!J23+'d13'!J23+'d14'!J23+'d15'!J23</f>
        <v>0</v>
      </c>
      <c r="K23" s="5">
        <v>8</v>
      </c>
      <c r="L23" s="5">
        <f t="shared" si="0"/>
        <v>0</v>
      </c>
    </row>
    <row r="24" spans="1:12" ht="13.15" customHeight="1">
      <c r="A24" s="2">
        <v>18</v>
      </c>
      <c r="B24" s="4" t="s">
        <v>46</v>
      </c>
      <c r="C24" s="2" t="s">
        <v>9</v>
      </c>
      <c r="D24" s="2">
        <f>'d1'!D24+'d2'!D24+'d3'!D24+'d4'!D24+'d5'!D24+'d6'!D24+'d7'!D24+'d8'!D24+'d9'!D24+'d10'!D24+'d11'!D24+'d12'!D24+'d13'!D24+'d14'!D24+'d15'!D24</f>
        <v>0</v>
      </c>
      <c r="E24" s="5">
        <v>6</v>
      </c>
      <c r="F24" s="20">
        <f t="shared" si="1"/>
        <v>0</v>
      </c>
      <c r="G24" s="2">
        <v>56</v>
      </c>
      <c r="H24" s="4" t="s">
        <v>47</v>
      </c>
      <c r="I24" s="2" t="s">
        <v>9</v>
      </c>
      <c r="J24" s="2">
        <f>'d1'!J24+'d2'!J24+'d3'!J24+'d4'!J24+'d5'!J24+'d6'!J24+'d7'!J24+'d8'!J24+'d9'!J24+'d10'!J24+'d11'!J24+'d12'!J24+'d13'!J24+'d14'!J24+'d15'!J24</f>
        <v>0</v>
      </c>
      <c r="K24" s="5">
        <v>18.75</v>
      </c>
      <c r="L24" s="5">
        <f t="shared" si="0"/>
        <v>0</v>
      </c>
    </row>
    <row r="25" spans="1:12" ht="13.15" customHeight="1">
      <c r="A25" s="2">
        <v>19</v>
      </c>
      <c r="B25" s="4" t="s">
        <v>48</v>
      </c>
      <c r="C25" s="2" t="s">
        <v>9</v>
      </c>
      <c r="D25" s="2">
        <f>'d1'!D25+'d2'!D25+'d3'!D25+'d4'!D25+'d5'!D25+'d6'!D25+'d7'!D25+'d8'!D25+'d9'!D25+'d10'!D25+'d11'!D25+'d12'!D25+'d13'!D25+'d14'!D25+'d15'!D25</f>
        <v>0</v>
      </c>
      <c r="E25" s="5">
        <v>6.75</v>
      </c>
      <c r="F25" s="20">
        <f t="shared" si="1"/>
        <v>0</v>
      </c>
      <c r="G25" s="2">
        <v>57</v>
      </c>
      <c r="H25" s="4" t="s">
        <v>49</v>
      </c>
      <c r="I25" s="2" t="s">
        <v>9</v>
      </c>
      <c r="J25" s="2">
        <f>'d1'!J25+'d2'!J25+'d3'!J25+'d4'!J25+'d5'!J25+'d6'!J25+'d7'!J25+'d8'!J25+'d9'!J25+'d10'!J25+'d11'!J25+'d12'!J25+'d13'!J25+'d14'!J25+'d15'!J25</f>
        <v>0</v>
      </c>
      <c r="K25" s="2">
        <v>2.9</v>
      </c>
      <c r="L25" s="5">
        <f t="shared" si="0"/>
        <v>0</v>
      </c>
    </row>
    <row r="26" spans="1:12" ht="13.15" customHeight="1">
      <c r="A26" s="2">
        <v>20</v>
      </c>
      <c r="B26" s="4" t="s">
        <v>50</v>
      </c>
      <c r="C26" s="2" t="s">
        <v>9</v>
      </c>
      <c r="D26" s="2">
        <f>'d1'!D26+'d2'!D26+'d3'!D26+'d4'!D26+'d5'!D26+'d6'!D26+'d7'!D26+'d8'!D26+'d9'!D26+'d10'!D26+'d11'!D26+'d12'!D26+'d13'!D26+'d14'!D26+'d15'!D26</f>
        <v>0</v>
      </c>
      <c r="E26" s="5">
        <v>6.4</v>
      </c>
      <c r="F26" s="20">
        <f t="shared" si="1"/>
        <v>0</v>
      </c>
      <c r="G26" s="2">
        <v>58</v>
      </c>
      <c r="H26" s="4" t="s">
        <v>51</v>
      </c>
      <c r="I26" s="2" t="s">
        <v>9</v>
      </c>
      <c r="J26" s="2">
        <f>'d1'!J26+'d2'!J26+'d3'!J26+'d4'!J26+'d5'!J26+'d6'!J26+'d7'!J26+'d8'!J26+'d9'!J26+'d10'!J26+'d11'!J26+'d12'!J26+'d13'!J26+'d14'!J26+'d15'!J26</f>
        <v>0</v>
      </c>
      <c r="K26" s="2">
        <v>2.15</v>
      </c>
      <c r="L26" s="5">
        <f t="shared" si="0"/>
        <v>0</v>
      </c>
    </row>
    <row r="27" spans="1:12" ht="13.15" customHeight="1">
      <c r="A27" s="2">
        <v>21</v>
      </c>
      <c r="B27" s="4" t="s">
        <v>96</v>
      </c>
      <c r="C27" s="2" t="s">
        <v>9</v>
      </c>
      <c r="D27" s="2">
        <f>'d1'!D27+'d2'!D27+'d3'!D27+'d4'!D27+'d5'!D27+'d6'!D27+'d7'!D27+'d8'!D27+'d9'!D27+'d10'!D27+'d11'!D27+'d12'!D27+'d13'!D27+'d14'!D27+'d15'!D27</f>
        <v>0</v>
      </c>
      <c r="E27" s="5">
        <v>7.1</v>
      </c>
      <c r="F27" s="20">
        <f t="shared" si="1"/>
        <v>0</v>
      </c>
      <c r="G27" s="2">
        <v>59</v>
      </c>
      <c r="H27" s="4" t="s">
        <v>97</v>
      </c>
      <c r="I27" s="2" t="s">
        <v>9</v>
      </c>
      <c r="J27" s="2">
        <f>'d1'!J27+'d2'!J27+'d3'!J27+'d4'!J27+'d5'!J27+'d6'!J27+'d7'!J27+'d8'!J27+'d9'!J27+'d10'!J27+'d11'!J27+'d12'!J27+'d13'!J27+'d14'!J27+'d15'!J27</f>
        <v>0</v>
      </c>
      <c r="K27" s="2">
        <v>3.7</v>
      </c>
      <c r="L27" s="5">
        <f t="shared" si="0"/>
        <v>0</v>
      </c>
    </row>
    <row r="28" spans="1:12" ht="13.15" customHeight="1">
      <c r="A28" s="2">
        <v>22</v>
      </c>
      <c r="B28" s="4" t="s">
        <v>54</v>
      </c>
      <c r="C28" s="2" t="s">
        <v>9</v>
      </c>
      <c r="D28" s="2">
        <f>'d1'!D28+'d2'!D28+'d3'!D28+'d4'!D28+'d5'!D28+'d6'!D28+'d7'!D28+'d8'!D28+'d9'!D28+'d10'!D28+'d11'!D28+'d12'!D28+'d13'!D28+'d14'!D28+'d15'!D28</f>
        <v>0</v>
      </c>
      <c r="E28" s="5">
        <v>5.7</v>
      </c>
      <c r="F28" s="20">
        <f t="shared" si="1"/>
        <v>0</v>
      </c>
      <c r="G28" s="2">
        <v>60</v>
      </c>
      <c r="H28" s="4" t="s">
        <v>55</v>
      </c>
      <c r="I28" s="2" t="s">
        <v>9</v>
      </c>
      <c r="J28" s="2">
        <f>'d1'!J28+'d2'!J28+'d3'!J28+'d4'!J28+'d5'!J28+'d6'!J28+'d7'!J28+'d8'!J28+'d9'!J28+'d10'!J28+'d11'!J28+'d12'!J28+'d13'!J28+'d14'!J28+'d15'!J28</f>
        <v>0</v>
      </c>
      <c r="K28" s="2">
        <v>6</v>
      </c>
      <c r="L28" s="5">
        <f t="shared" si="0"/>
        <v>0</v>
      </c>
    </row>
    <row r="29" spans="1:12" ht="13.15" customHeight="1">
      <c r="A29" s="2">
        <v>23</v>
      </c>
      <c r="B29" s="4" t="s">
        <v>56</v>
      </c>
      <c r="C29" s="2" t="s">
        <v>9</v>
      </c>
      <c r="D29" s="2">
        <f>'d1'!D29+'d2'!D29+'d3'!D29+'d4'!D29+'d5'!D29+'d6'!D29+'d7'!D29+'d8'!D29+'d9'!D29+'d10'!D29+'d11'!D29+'d12'!D29+'d13'!D29+'d14'!D29+'d15'!D29</f>
        <v>1200</v>
      </c>
      <c r="E29" s="5">
        <v>4.75</v>
      </c>
      <c r="F29" s="20">
        <f t="shared" si="1"/>
        <v>5700</v>
      </c>
      <c r="G29" s="2">
        <v>61</v>
      </c>
      <c r="H29" s="4" t="s">
        <v>98</v>
      </c>
      <c r="I29" s="2" t="s">
        <v>9</v>
      </c>
      <c r="J29" s="2">
        <f>'d1'!J29+'d2'!J29+'d3'!J29+'d4'!J29+'d5'!J29+'d6'!J29+'d7'!J29+'d8'!J29+'d9'!J29+'d10'!J29+'d11'!J29+'d12'!J29+'d13'!J29+'d14'!J29+'d15'!J29</f>
        <v>0</v>
      </c>
      <c r="K29" s="2">
        <v>12.5</v>
      </c>
      <c r="L29" s="5">
        <f t="shared" si="0"/>
        <v>0</v>
      </c>
    </row>
    <row r="30" spans="1:12" ht="13.15" customHeight="1">
      <c r="A30" s="2">
        <v>24</v>
      </c>
      <c r="B30" s="4" t="s">
        <v>58</v>
      </c>
      <c r="C30" s="2" t="s">
        <v>9</v>
      </c>
      <c r="D30" s="2">
        <f>'d1'!D30+'d2'!D30+'d3'!D30+'d4'!D30+'d5'!D30+'d6'!D30+'d7'!D30+'d8'!D30+'d9'!D30+'d10'!D30+'d11'!D30+'d12'!D30+'d13'!D30+'d14'!D30+'d15'!D30</f>
        <v>0</v>
      </c>
      <c r="E30" s="5">
        <v>5.25</v>
      </c>
      <c r="F30" s="20">
        <f t="shared" si="1"/>
        <v>0</v>
      </c>
      <c r="G30" s="2">
        <v>62</v>
      </c>
      <c r="H30" s="4" t="s">
        <v>114</v>
      </c>
      <c r="I30" s="2" t="s">
        <v>9</v>
      </c>
      <c r="J30" s="2">
        <f>'d1'!J30+'d2'!J30+'d3'!J30+'d4'!J30+'d5'!J30+'d6'!J30+'d7'!J30+'d8'!J30+'d9'!J30+'d10'!J30+'d11'!J30+'d12'!J30+'d13'!J30+'d14'!J30+'d15'!J30</f>
        <v>0</v>
      </c>
      <c r="K30" s="2">
        <v>8</v>
      </c>
      <c r="L30" s="5">
        <f t="shared" si="0"/>
        <v>0</v>
      </c>
    </row>
    <row r="31" spans="1:12" ht="13.15" customHeight="1">
      <c r="A31" s="2">
        <v>25</v>
      </c>
      <c r="B31" s="4" t="s">
        <v>60</v>
      </c>
      <c r="C31" s="2" t="s">
        <v>9</v>
      </c>
      <c r="D31" s="2">
        <f>'d1'!D31+'d2'!D31+'d3'!D31+'d4'!D31+'d5'!D31+'d6'!D31+'d7'!D31+'d8'!D31+'d9'!D31+'d10'!D31+'d11'!D31+'d12'!D31+'d13'!D31+'d14'!D31+'d15'!D31</f>
        <v>0</v>
      </c>
      <c r="E31" s="5">
        <v>6</v>
      </c>
      <c r="F31" s="20">
        <f t="shared" si="1"/>
        <v>0</v>
      </c>
      <c r="G31" s="2">
        <v>63</v>
      </c>
      <c r="H31" s="4" t="s">
        <v>100</v>
      </c>
      <c r="I31" s="2" t="s">
        <v>9</v>
      </c>
      <c r="J31" s="2">
        <f>'d1'!J31+'d2'!J31+'d3'!J31+'d4'!J31+'d5'!J31+'d6'!J31+'d7'!J31+'d8'!J31+'d9'!J31+'d10'!J31+'d11'!J31+'d12'!J31+'d13'!J31+'d14'!J31+'d15'!J31</f>
        <v>15</v>
      </c>
      <c r="K31" s="2">
        <v>3.5</v>
      </c>
      <c r="L31" s="5">
        <f t="shared" si="0"/>
        <v>52.5</v>
      </c>
    </row>
    <row r="32" spans="1:12" ht="13.15" customHeight="1">
      <c r="A32" s="2">
        <v>26</v>
      </c>
      <c r="B32" s="4" t="s">
        <v>62</v>
      </c>
      <c r="C32" s="2" t="s">
        <v>9</v>
      </c>
      <c r="D32" s="2">
        <f>'d1'!D32+'d2'!D32+'d3'!D32+'d4'!D32+'d5'!D32+'d6'!D32+'d7'!D32+'d8'!D32+'d9'!D32+'d10'!D32+'d11'!D32+'d12'!D32+'d13'!D32+'d14'!D32+'d15'!D32</f>
        <v>0</v>
      </c>
      <c r="E32" s="5">
        <v>4.8</v>
      </c>
      <c r="F32" s="5">
        <f t="shared" si="1"/>
        <v>0</v>
      </c>
      <c r="G32" s="2">
        <v>64</v>
      </c>
      <c r="H32" s="4" t="s">
        <v>101</v>
      </c>
      <c r="I32" s="2" t="s">
        <v>9</v>
      </c>
      <c r="J32" s="2">
        <f>'d1'!J32+'d2'!J32+'d3'!J32+'d4'!J32+'d5'!J32+'d6'!J32+'d7'!J32+'d8'!J32+'d9'!J32+'d10'!J32+'d11'!J32+'d12'!J32+'d13'!J32+'d14'!J32+'d15'!J32</f>
        <v>0</v>
      </c>
      <c r="K32" s="2">
        <v>6</v>
      </c>
      <c r="L32" s="5">
        <f t="shared" si="0"/>
        <v>0</v>
      </c>
    </row>
    <row r="33" spans="1:13" ht="13.15" customHeight="1">
      <c r="A33" s="2">
        <v>27</v>
      </c>
      <c r="B33" s="4" t="s">
        <v>102</v>
      </c>
      <c r="C33" s="2" t="s">
        <v>9</v>
      </c>
      <c r="D33" s="2">
        <f>'d1'!D33+'d2'!D33+'d3'!D33+'d4'!D33+'d5'!D33+'d6'!D33+'d7'!D33+'d8'!D33+'d9'!D33+'d10'!D33+'d11'!D33+'d12'!D33+'d13'!D33+'d14'!D33+'d15'!D33</f>
        <v>0</v>
      </c>
      <c r="E33" s="5">
        <v>6.25</v>
      </c>
      <c r="F33" s="5">
        <f t="shared" si="1"/>
        <v>0</v>
      </c>
      <c r="G33" s="2">
        <v>65</v>
      </c>
      <c r="H33" s="4" t="s">
        <v>103</v>
      </c>
      <c r="I33" s="2" t="s">
        <v>9</v>
      </c>
      <c r="J33" s="2">
        <f>'d1'!J33+'d2'!J33+'d3'!J33+'d4'!J33+'d5'!J33+'d6'!J33+'d7'!J33+'d8'!J33+'d9'!J33+'d10'!J33+'d11'!J33+'d12'!J33+'d13'!J33+'d14'!J33+'d15'!J33</f>
        <v>0</v>
      </c>
      <c r="K33" s="2">
        <v>3.5</v>
      </c>
      <c r="L33" s="5">
        <f t="shared" si="0"/>
        <v>0</v>
      </c>
    </row>
    <row r="34" spans="1:13" ht="13.15" customHeight="1">
      <c r="A34" s="2">
        <v>28</v>
      </c>
      <c r="B34" s="4" t="s">
        <v>104</v>
      </c>
      <c r="C34" s="2" t="s">
        <v>9</v>
      </c>
      <c r="D34" s="2">
        <f>'d1'!D34+'d2'!D34+'d3'!D34+'d4'!D34+'d5'!D34+'d6'!D34+'d7'!D34+'d8'!D34+'d9'!D34+'d10'!D34+'d11'!D34+'d12'!D34+'d13'!D34+'d14'!D34+'d15'!D34</f>
        <v>0</v>
      </c>
      <c r="E34" s="5">
        <v>8</v>
      </c>
      <c r="F34" s="20">
        <f t="shared" si="1"/>
        <v>0</v>
      </c>
      <c r="G34" s="2">
        <v>66</v>
      </c>
      <c r="H34" s="4" t="s">
        <v>105</v>
      </c>
      <c r="I34" s="2" t="s">
        <v>9</v>
      </c>
      <c r="J34" s="2">
        <f>'d1'!J34+'d2'!J34+'d3'!J34+'d4'!J34+'d5'!J34+'d6'!J34+'d7'!J34+'d8'!J34+'d9'!J34+'d10'!J34+'d11'!J34+'d12'!J34+'d13'!J34+'d14'!J34+'d15'!J34</f>
        <v>0</v>
      </c>
      <c r="K34" s="2">
        <v>9</v>
      </c>
      <c r="L34" s="5">
        <f t="shared" si="0"/>
        <v>0</v>
      </c>
    </row>
    <row r="35" spans="1:13" ht="13.15" customHeight="1">
      <c r="A35" s="2">
        <v>29</v>
      </c>
      <c r="B35" s="4" t="s">
        <v>68</v>
      </c>
      <c r="C35" s="2" t="s">
        <v>9</v>
      </c>
      <c r="D35" s="2">
        <f>'d1'!D35+'d2'!D35+'d3'!D35+'d4'!D35+'d5'!D35+'d6'!D35+'d7'!D35+'d8'!D35+'d9'!D35+'d10'!D35+'d11'!D35+'d12'!D35+'d13'!D35+'d14'!D35+'d15'!D35</f>
        <v>0</v>
      </c>
      <c r="E35" s="5">
        <v>5.8</v>
      </c>
      <c r="F35" s="5">
        <f t="shared" si="1"/>
        <v>0</v>
      </c>
      <c r="G35" s="2">
        <v>67</v>
      </c>
      <c r="H35" s="4" t="s">
        <v>65</v>
      </c>
      <c r="I35" s="2" t="s">
        <v>9</v>
      </c>
      <c r="J35" s="2">
        <f>'d1'!J35+'d2'!J35+'d3'!J35+'d4'!J35+'d5'!J35+'d6'!J35+'d7'!J35+'d8'!J35+'d9'!J35+'d10'!J35+'d11'!J35+'d12'!J35+'d13'!J35+'d14'!J35+'d15'!J35</f>
        <v>0</v>
      </c>
      <c r="K35" s="2">
        <v>9</v>
      </c>
      <c r="L35" s="5">
        <f t="shared" si="0"/>
        <v>0</v>
      </c>
    </row>
    <row r="36" spans="1:13" ht="13.15" customHeight="1">
      <c r="A36" s="2">
        <v>30</v>
      </c>
      <c r="B36" s="4" t="s">
        <v>70</v>
      </c>
      <c r="C36" s="2" t="s">
        <v>9</v>
      </c>
      <c r="D36" s="2">
        <f>'d1'!D36+'d2'!D36+'d3'!D36+'d4'!D36+'d5'!D36+'d6'!D36+'d7'!D36+'d8'!D36+'d9'!D36+'d10'!D36+'d11'!D36+'d12'!D36+'d13'!D36+'d14'!D36+'d15'!D36</f>
        <v>0</v>
      </c>
      <c r="E36" s="5">
        <v>6.25</v>
      </c>
      <c r="F36" s="5">
        <f t="shared" si="1"/>
        <v>0</v>
      </c>
      <c r="G36" s="2">
        <v>68</v>
      </c>
      <c r="H36" s="4" t="s">
        <v>106</v>
      </c>
      <c r="I36" s="2" t="s">
        <v>9</v>
      </c>
      <c r="J36" s="2">
        <f>'d1'!J36+'d2'!J36+'d3'!J36+'d4'!J36+'d5'!J36+'d6'!J36+'d7'!J36+'d8'!J36+'d9'!J36+'d10'!J36+'d11'!J36+'d12'!J36+'d13'!J36+'d14'!J36+'d15'!J36</f>
        <v>0</v>
      </c>
      <c r="K36" s="2">
        <v>8</v>
      </c>
      <c r="L36" s="5">
        <f t="shared" si="0"/>
        <v>0</v>
      </c>
      <c r="M36" s="10"/>
    </row>
    <row r="37" spans="1:13" ht="13.15" customHeight="1">
      <c r="A37" s="2">
        <v>31</v>
      </c>
      <c r="B37" s="4" t="s">
        <v>72</v>
      </c>
      <c r="C37" s="2" t="s">
        <v>9</v>
      </c>
      <c r="D37" s="2">
        <f>'d1'!D37+'d2'!D37+'d3'!D37+'d4'!D37+'d5'!D37+'d6'!D37+'d7'!D37+'d8'!D37+'d9'!D37+'d10'!D37+'d11'!D37+'d12'!D37+'d13'!D37+'d14'!D37+'d15'!D37</f>
        <v>0</v>
      </c>
      <c r="E37" s="5">
        <v>5.8</v>
      </c>
      <c r="F37" s="20">
        <f t="shared" si="1"/>
        <v>0</v>
      </c>
      <c r="G37" s="2">
        <v>69</v>
      </c>
      <c r="H37" s="4" t="s">
        <v>107</v>
      </c>
      <c r="I37" s="2" t="s">
        <v>9</v>
      </c>
      <c r="J37" s="2">
        <f>'d1'!J37+'d2'!J37+'d3'!J37+'d4'!J37+'d5'!J37+'d6'!J37+'d7'!J37+'d8'!J37+'d9'!J37+'d10'!J37+'d11'!J37+'d12'!J37+'d13'!J37+'d14'!J37+'d15'!J37</f>
        <v>0</v>
      </c>
      <c r="K37" s="2">
        <v>6.75</v>
      </c>
      <c r="L37" s="5">
        <f t="shared" si="0"/>
        <v>0</v>
      </c>
    </row>
    <row r="38" spans="1:13" ht="13.15" customHeight="1">
      <c r="A38" s="2">
        <v>32</v>
      </c>
      <c r="B38" s="4" t="s">
        <v>74</v>
      </c>
      <c r="C38" s="2" t="s">
        <v>9</v>
      </c>
      <c r="D38" s="2">
        <f>'d1'!D38+'d2'!D38+'d3'!D38+'d4'!D38+'d5'!D38+'d6'!D38+'d7'!D38+'d8'!D38+'d9'!D38+'d10'!D38+'d11'!D38+'d12'!D38+'d13'!D38+'d14'!D38+'d15'!D38</f>
        <v>0</v>
      </c>
      <c r="E38" s="2">
        <v>2.35</v>
      </c>
      <c r="F38" s="20">
        <f t="shared" si="1"/>
        <v>0</v>
      </c>
      <c r="G38" s="2">
        <v>70</v>
      </c>
      <c r="H38" s="4" t="s">
        <v>108</v>
      </c>
      <c r="I38" s="2" t="s">
        <v>9</v>
      </c>
      <c r="J38" s="2">
        <f>'d1'!J38+'d2'!J38+'d3'!J38+'d4'!J38+'d5'!J38+'d6'!J38+'d7'!J38+'d8'!J38+'d9'!J38+'d10'!J38+'d11'!J38+'d12'!J38+'d13'!J38+'d14'!J38+'d15'!J38</f>
        <v>0</v>
      </c>
      <c r="K38" s="2">
        <v>35</v>
      </c>
      <c r="L38" s="5">
        <f t="shared" si="0"/>
        <v>0</v>
      </c>
    </row>
    <row r="39" spans="1:13" ht="13.15" customHeight="1">
      <c r="A39" s="2">
        <v>33</v>
      </c>
      <c r="B39" s="4" t="s">
        <v>76</v>
      </c>
      <c r="C39" s="2" t="s">
        <v>9</v>
      </c>
      <c r="D39" s="2">
        <f>'d1'!D39+'d2'!D39+'d3'!D39+'d4'!D39+'d5'!D39+'d6'!D39+'d7'!D39+'d8'!D39+'d9'!D39+'d10'!D39+'d11'!D39+'d12'!D39+'d13'!D39+'d14'!D39+'d15'!D39</f>
        <v>0</v>
      </c>
      <c r="E39" s="2">
        <v>3.7</v>
      </c>
      <c r="F39" s="20">
        <f t="shared" si="1"/>
        <v>0</v>
      </c>
      <c r="G39" s="2">
        <v>71</v>
      </c>
      <c r="H39" s="4" t="s">
        <v>109</v>
      </c>
      <c r="I39" s="2" t="s">
        <v>9</v>
      </c>
      <c r="J39" s="2">
        <f>'d1'!J39+'d2'!J39+'d3'!J39+'d4'!J39+'d5'!J39+'d6'!J39+'d7'!J39+'d8'!J39+'d9'!J39+'d10'!J39+'d11'!J39+'d12'!J39+'d13'!J39+'d14'!J39+'d15'!J39</f>
        <v>0</v>
      </c>
      <c r="K39" s="2">
        <v>7.35</v>
      </c>
      <c r="L39" s="5">
        <f t="shared" si="0"/>
        <v>0</v>
      </c>
      <c r="M39" s="11"/>
    </row>
    <row r="40" spans="1:13" ht="13.15" customHeight="1">
      <c r="A40" s="2">
        <v>34</v>
      </c>
      <c r="B40" s="4" t="s">
        <v>78</v>
      </c>
      <c r="C40" s="2" t="s">
        <v>9</v>
      </c>
      <c r="D40" s="2">
        <f>'d1'!D40+'d2'!D40+'d3'!D40+'d4'!D40+'d5'!D40+'d6'!D40+'d7'!D40+'d8'!D40+'d9'!D40+'d10'!D40+'d11'!D40+'d12'!D40+'d13'!D40+'d14'!D40+'d15'!D40</f>
        <v>0</v>
      </c>
      <c r="E40" s="2">
        <v>6.75</v>
      </c>
      <c r="F40" s="20">
        <f t="shared" si="1"/>
        <v>0</v>
      </c>
      <c r="G40" s="2">
        <v>72</v>
      </c>
      <c r="H40" s="4" t="s">
        <v>110</v>
      </c>
      <c r="I40" s="2" t="s">
        <v>9</v>
      </c>
      <c r="J40" s="2">
        <f>'d1'!J40+'d2'!J40+'d3'!J40+'d4'!J40+'d5'!J40+'d6'!J40+'d7'!J40+'d8'!J40+'d9'!J40+'d10'!J40+'d11'!J40+'d12'!J40+'d13'!J40+'d14'!J40+'d15'!J40</f>
        <v>0</v>
      </c>
      <c r="K40" s="2">
        <v>5</v>
      </c>
      <c r="L40" s="5">
        <f t="shared" si="0"/>
        <v>0</v>
      </c>
    </row>
    <row r="41" spans="1:13" ht="13.15" customHeight="1">
      <c r="A41" s="2">
        <v>35</v>
      </c>
      <c r="B41" s="4" t="s">
        <v>80</v>
      </c>
      <c r="C41" s="2" t="s">
        <v>9</v>
      </c>
      <c r="D41" s="2">
        <f>'d1'!D41+'d2'!D41+'d3'!D41+'d4'!D41+'d5'!D41+'d6'!D41+'d7'!D41+'d8'!D41+'d9'!D41+'d10'!D41+'d11'!D41+'d12'!D41+'d13'!D41+'d14'!D41+'d15'!D41</f>
        <v>0</v>
      </c>
      <c r="E41" s="2">
        <v>4</v>
      </c>
      <c r="F41" s="20">
        <f t="shared" si="1"/>
        <v>0</v>
      </c>
      <c r="G41" s="2">
        <v>73</v>
      </c>
      <c r="H41" s="4" t="s">
        <v>111</v>
      </c>
      <c r="I41" s="2" t="s">
        <v>9</v>
      </c>
      <c r="J41" s="2">
        <f>'d1'!J41+'d2'!J41+'d3'!J41+'d4'!J41+'d5'!J41+'d6'!J41+'d7'!J41+'d8'!J41+'d9'!J41+'d10'!J41+'d11'!J41+'d12'!J41+'d13'!J41+'d14'!J41+'d15'!J41</f>
        <v>0</v>
      </c>
      <c r="K41" s="2">
        <v>3.5</v>
      </c>
      <c r="L41" s="5">
        <f t="shared" si="0"/>
        <v>0</v>
      </c>
    </row>
    <row r="42" spans="1:13" ht="13.15" customHeight="1">
      <c r="I42" s="33" t="s">
        <v>82</v>
      </c>
      <c r="J42" s="34"/>
      <c r="K42" s="34"/>
      <c r="L42" s="19">
        <f>F7+F8+F9+F10+F11+F12+F13+F14+F15+F16+F17+F18+F19+F20+F21+F22+F23+F24+F25+F26+F27+F28+F29+F30+F31+F32+F33+F34+F35+F36+F37+F38+F39+F40+F41+L4+L5+L6+L7+L8+L9+L10+L11+L12+L13+L14+L15+L16+L17+L18+L19+L20+L21+L22+L23+L24+L25+L26+L27+L28+L30+L31+L32+L33+L34+L35+L36+L37+L38+L39+L40+L41+L29</f>
        <v>5841.8</v>
      </c>
    </row>
    <row r="44" spans="1:13" ht="13.15" customHeight="1">
      <c r="H44" t="s">
        <v>83</v>
      </c>
      <c r="I44" s="13" t="s">
        <v>84</v>
      </c>
      <c r="J44" s="17" t="s">
        <v>85</v>
      </c>
    </row>
  </sheetData>
  <mergeCells count="5">
    <mergeCell ref="A3:C3"/>
    <mergeCell ref="D3:F3"/>
    <mergeCell ref="A4:F4"/>
    <mergeCell ref="A5:F5"/>
    <mergeCell ref="I42:K42"/>
  </mergeCells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>
  <sheetPr codeName="Лист69">
    <tabColor rgb="FFFF0000"/>
  </sheetPr>
  <dimension ref="A1:M42"/>
  <sheetViews>
    <sheetView workbookViewId="0">
      <selection activeCell="D16" sqref="D16"/>
    </sheetView>
  </sheetViews>
  <sheetFormatPr defaultRowHeight="13.15" customHeight="1"/>
  <cols>
    <col min="1" max="1" width="4.7109375" style="17" customWidth="1"/>
    <col min="2" max="2" width="32.85546875" customWidth="1"/>
    <col min="3" max="3" width="6.28515625" customWidth="1"/>
    <col min="4" max="4" width="7" customWidth="1"/>
    <col min="5" max="5" width="8.140625" customWidth="1"/>
    <col min="6" max="6" width="8.5703125" style="17" customWidth="1"/>
    <col min="7" max="7" width="4.7109375" style="17" customWidth="1"/>
    <col min="8" max="8" width="23.85546875" customWidth="1"/>
    <col min="9" max="9" width="6.28515625" customWidth="1"/>
    <col min="10" max="10" width="7.28515625" customWidth="1"/>
    <col min="11" max="11" width="8.42578125" customWidth="1"/>
    <col min="12" max="12" width="8.28515625" style="17" customWidth="1"/>
  </cols>
  <sheetData>
    <row r="1" spans="1:12" ht="13.15" customHeight="1">
      <c r="A1" s="30" t="s">
        <v>115</v>
      </c>
      <c r="B1" s="30"/>
      <c r="C1" s="30"/>
      <c r="D1" s="30" t="s">
        <v>116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 t="s">
        <v>117</v>
      </c>
      <c r="B2" s="32"/>
      <c r="C2" s="32"/>
      <c r="D2" s="32"/>
      <c r="E2" s="32"/>
      <c r="F2" s="32"/>
      <c r="G2" s="2">
        <v>36</v>
      </c>
      <c r="H2" s="4" t="s">
        <v>118</v>
      </c>
      <c r="I2" s="2" t="s">
        <v>9</v>
      </c>
      <c r="J2" s="2"/>
      <c r="K2" s="5">
        <v>1.5</v>
      </c>
      <c r="L2" s="5">
        <f>J2*K2</f>
        <v>0</v>
      </c>
    </row>
    <row r="3" spans="1:12" ht="13.15" customHeight="1">
      <c r="A3" s="32" t="s">
        <v>119</v>
      </c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2.5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2.75</v>
      </c>
      <c r="L4" s="5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7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2.5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5.25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8.25</v>
      </c>
      <c r="L6" s="5">
        <f t="shared" si="0"/>
        <v>0</v>
      </c>
    </row>
    <row r="7" spans="1:12" ht="13.15" customHeight="1">
      <c r="A7" s="2">
        <v>3</v>
      </c>
      <c r="B7" s="4" t="s">
        <v>121</v>
      </c>
      <c r="C7" s="2" t="s">
        <v>9</v>
      </c>
      <c r="D7" s="2"/>
      <c r="E7" s="5">
        <v>4.5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2.2000000000000002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7.5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2.5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5.75</v>
      </c>
      <c r="F9" s="20">
        <f t="shared" si="1"/>
        <v>0</v>
      </c>
      <c r="G9" s="2">
        <v>43</v>
      </c>
      <c r="H9" s="4" t="s">
        <v>21</v>
      </c>
      <c r="I9" s="2" t="s">
        <v>9</v>
      </c>
      <c r="J9" s="2"/>
      <c r="K9" s="5">
        <v>2.75</v>
      </c>
      <c r="L9" s="5">
        <f t="shared" si="0"/>
        <v>0</v>
      </c>
    </row>
    <row r="10" spans="1:12" ht="13.15" customHeight="1">
      <c r="A10" s="2">
        <v>6</v>
      </c>
      <c r="B10" s="4" t="s">
        <v>122</v>
      </c>
      <c r="C10" s="2" t="s">
        <v>9</v>
      </c>
      <c r="D10" s="2"/>
      <c r="E10" s="5">
        <v>5.8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1.1499999999999999</v>
      </c>
      <c r="L10" s="5">
        <f t="shared" si="0"/>
        <v>0</v>
      </c>
    </row>
    <row r="11" spans="1:12" ht="13.15" customHeight="1">
      <c r="A11" s="2">
        <v>7</v>
      </c>
      <c r="B11" s="4" t="s">
        <v>123</v>
      </c>
      <c r="C11" s="2" t="s">
        <v>9</v>
      </c>
      <c r="D11" s="2"/>
      <c r="E11" s="5">
        <v>6.1</v>
      </c>
      <c r="F11" s="20">
        <f t="shared" si="1"/>
        <v>0</v>
      </c>
      <c r="G11" s="2">
        <v>45</v>
      </c>
      <c r="H11" s="4" t="s">
        <v>124</v>
      </c>
      <c r="I11" s="2" t="s">
        <v>9</v>
      </c>
      <c r="J11" s="2"/>
      <c r="K11" s="5">
        <v>2.75</v>
      </c>
      <c r="L11" s="5">
        <f t="shared" si="0"/>
        <v>0</v>
      </c>
    </row>
    <row r="12" spans="1:12" ht="13.15" customHeight="1">
      <c r="A12" s="2">
        <v>8</v>
      </c>
      <c r="B12" s="4" t="s">
        <v>125</v>
      </c>
      <c r="C12" s="2" t="s">
        <v>9</v>
      </c>
      <c r="D12" s="2"/>
      <c r="E12" s="5">
        <v>6.3</v>
      </c>
      <c r="F12" s="20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2.5</v>
      </c>
      <c r="L12" s="5">
        <f t="shared" si="0"/>
        <v>0</v>
      </c>
    </row>
    <row r="13" spans="1:12" ht="13.15" customHeight="1">
      <c r="A13" s="2">
        <v>9</v>
      </c>
      <c r="B13" s="4" t="s">
        <v>127</v>
      </c>
      <c r="C13" s="2" t="s">
        <v>9</v>
      </c>
      <c r="D13" s="2"/>
      <c r="E13" s="5">
        <v>6.5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2.5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6.25</v>
      </c>
      <c r="F14" s="20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2.5</v>
      </c>
      <c r="L14" s="5">
        <f t="shared" si="0"/>
        <v>0</v>
      </c>
    </row>
    <row r="15" spans="1:12" ht="13.15" customHeight="1">
      <c r="A15" s="2">
        <v>11</v>
      </c>
      <c r="B15" s="4" t="s">
        <v>128</v>
      </c>
      <c r="C15" s="2" t="s">
        <v>9</v>
      </c>
      <c r="D15" s="2"/>
      <c r="E15" s="5">
        <v>7</v>
      </c>
      <c r="F15" s="20">
        <f t="shared" si="1"/>
        <v>0</v>
      </c>
      <c r="G15" s="2">
        <v>49</v>
      </c>
      <c r="H15" s="4" t="s">
        <v>129</v>
      </c>
      <c r="I15" s="2" t="s">
        <v>9</v>
      </c>
      <c r="J15" s="2"/>
      <c r="K15" s="5">
        <v>8.5</v>
      </c>
      <c r="L15" s="5">
        <f t="shared" si="0"/>
        <v>0</v>
      </c>
    </row>
    <row r="16" spans="1:12" ht="13.15" customHeight="1">
      <c r="A16" s="2">
        <v>12</v>
      </c>
      <c r="B16" s="4" t="s">
        <v>34</v>
      </c>
      <c r="C16" s="2" t="s">
        <v>9</v>
      </c>
      <c r="D16" s="2"/>
      <c r="E16" s="5">
        <v>6.5</v>
      </c>
      <c r="F16" s="20">
        <f t="shared" si="1"/>
        <v>0</v>
      </c>
      <c r="G16" s="2">
        <v>50</v>
      </c>
      <c r="H16" s="4" t="s">
        <v>35</v>
      </c>
      <c r="I16" s="2" t="s">
        <v>9</v>
      </c>
      <c r="J16" s="2"/>
      <c r="K16" s="5">
        <v>7</v>
      </c>
      <c r="L16" s="5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7</v>
      </c>
      <c r="F17" s="20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6.75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5.25</v>
      </c>
      <c r="F18" s="20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3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5.75</v>
      </c>
      <c r="F19" s="20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11.5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2.5</v>
      </c>
      <c r="F20" s="20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22.5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1.5</v>
      </c>
      <c r="F21" s="20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36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6.25</v>
      </c>
      <c r="F22" s="20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19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7</v>
      </c>
      <c r="F23" s="20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13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6.5</v>
      </c>
      <c r="F24" s="20">
        <f t="shared" si="1"/>
        <v>0</v>
      </c>
      <c r="G24" s="2">
        <v>58</v>
      </c>
      <c r="H24" s="4" t="s">
        <v>133</v>
      </c>
      <c r="I24" s="2" t="s">
        <v>9</v>
      </c>
      <c r="J24" s="4"/>
      <c r="K24" s="2">
        <v>7</v>
      </c>
      <c r="L24" s="5">
        <f t="shared" si="0"/>
        <v>0</v>
      </c>
    </row>
    <row r="25" spans="1:12" ht="13.15" customHeight="1">
      <c r="A25" s="2">
        <v>21</v>
      </c>
      <c r="B25" s="4" t="s">
        <v>96</v>
      </c>
      <c r="C25" s="2" t="s">
        <v>9</v>
      </c>
      <c r="D25" s="2"/>
      <c r="E25" s="5">
        <v>7.25</v>
      </c>
      <c r="F25" s="20">
        <f t="shared" si="1"/>
        <v>0</v>
      </c>
      <c r="G25" s="2">
        <v>59</v>
      </c>
      <c r="H25" s="4" t="s">
        <v>134</v>
      </c>
      <c r="I25" s="2" t="s">
        <v>9</v>
      </c>
      <c r="J25" s="4"/>
      <c r="K25" s="2">
        <v>9.25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6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6.25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5</v>
      </c>
      <c r="F27" s="20">
        <f t="shared" si="1"/>
        <v>0</v>
      </c>
      <c r="G27" s="2">
        <v>61</v>
      </c>
      <c r="H27" s="4" t="s">
        <v>135</v>
      </c>
      <c r="I27" s="2" t="s">
        <v>9</v>
      </c>
      <c r="J27" s="4"/>
      <c r="K27" s="2">
        <v>8.25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5.5</v>
      </c>
      <c r="F28" s="20">
        <f t="shared" si="1"/>
        <v>0</v>
      </c>
      <c r="G28" s="2">
        <v>62</v>
      </c>
      <c r="H28" s="4" t="s">
        <v>136</v>
      </c>
      <c r="I28" s="2" t="s">
        <v>9</v>
      </c>
      <c r="J28" s="4"/>
      <c r="K28" s="2">
        <v>4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6.25</v>
      </c>
      <c r="F29" s="20">
        <f t="shared" si="1"/>
        <v>0</v>
      </c>
      <c r="G29" s="2">
        <v>63</v>
      </c>
      <c r="H29" s="4" t="s">
        <v>137</v>
      </c>
      <c r="I29" s="2" t="s">
        <v>9</v>
      </c>
      <c r="J29" s="4"/>
      <c r="K29" s="2">
        <v>2.2999999999999998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5</v>
      </c>
      <c r="F30" s="5">
        <f t="shared" si="1"/>
        <v>0</v>
      </c>
      <c r="G30" s="2">
        <v>64</v>
      </c>
      <c r="H30" s="4" t="s">
        <v>57</v>
      </c>
      <c r="I30" s="2" t="s">
        <v>9</v>
      </c>
      <c r="J30" s="4"/>
      <c r="K30" s="2">
        <v>4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6.5</v>
      </c>
      <c r="F31" s="5">
        <f t="shared" si="1"/>
        <v>0</v>
      </c>
      <c r="G31" s="2">
        <v>65</v>
      </c>
      <c r="H31" s="4" t="s">
        <v>138</v>
      </c>
      <c r="I31" s="2" t="s">
        <v>9</v>
      </c>
      <c r="J31" s="4"/>
      <c r="K31" s="2">
        <v>4.75</v>
      </c>
      <c r="L31" s="5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8.25</v>
      </c>
      <c r="F32" s="20">
        <f t="shared" si="1"/>
        <v>0</v>
      </c>
      <c r="G32" s="2">
        <v>66</v>
      </c>
      <c r="H32" s="4" t="s">
        <v>139</v>
      </c>
      <c r="I32" s="2" t="s">
        <v>9</v>
      </c>
      <c r="J32" s="4"/>
      <c r="K32" s="2">
        <v>4</v>
      </c>
      <c r="L32" s="5">
        <f t="shared" si="0"/>
        <v>0</v>
      </c>
    </row>
    <row r="33" spans="1:13" ht="13.15" customHeight="1">
      <c r="A33" s="2">
        <v>29</v>
      </c>
      <c r="B33" s="4" t="s">
        <v>68</v>
      </c>
      <c r="C33" s="2" t="s">
        <v>9</v>
      </c>
      <c r="D33" s="2"/>
      <c r="E33" s="5">
        <v>6</v>
      </c>
      <c r="F33" s="5">
        <f t="shared" si="1"/>
        <v>0</v>
      </c>
      <c r="G33" s="2">
        <v>67</v>
      </c>
      <c r="H33" s="4" t="s">
        <v>140</v>
      </c>
      <c r="I33" s="2" t="s">
        <v>9</v>
      </c>
      <c r="J33" s="4"/>
      <c r="K33" s="2">
        <v>8.25</v>
      </c>
      <c r="L33" s="5">
        <f t="shared" si="0"/>
        <v>0</v>
      </c>
    </row>
    <row r="34" spans="1:13" ht="13.15" customHeight="1">
      <c r="A34" s="2">
        <v>30</v>
      </c>
      <c r="B34" s="4" t="s">
        <v>70</v>
      </c>
      <c r="C34" s="2" t="s">
        <v>9</v>
      </c>
      <c r="D34" s="2"/>
      <c r="E34" s="5">
        <v>6.4</v>
      </c>
      <c r="F34" s="5">
        <f t="shared" si="1"/>
        <v>0</v>
      </c>
      <c r="G34" s="2">
        <v>68</v>
      </c>
      <c r="H34" s="9" t="s">
        <v>141</v>
      </c>
      <c r="I34" s="2" t="s">
        <v>9</v>
      </c>
      <c r="J34" s="4"/>
      <c r="K34" s="8">
        <v>9</v>
      </c>
      <c r="L34" s="5">
        <f t="shared" si="0"/>
        <v>0</v>
      </c>
      <c r="M34" s="10"/>
    </row>
    <row r="35" spans="1:13" ht="13.15" customHeight="1">
      <c r="A35" s="2">
        <v>31</v>
      </c>
      <c r="B35" s="4" t="s">
        <v>72</v>
      </c>
      <c r="C35" s="2" t="s">
        <v>9</v>
      </c>
      <c r="D35" s="2"/>
      <c r="E35" s="5">
        <v>6</v>
      </c>
      <c r="F35" s="20">
        <f t="shared" si="1"/>
        <v>0</v>
      </c>
      <c r="G35" s="2">
        <v>69</v>
      </c>
      <c r="H35" s="9" t="s">
        <v>142</v>
      </c>
      <c r="I35" s="2" t="s">
        <v>9</v>
      </c>
      <c r="J35" s="4"/>
      <c r="K35" s="8">
        <v>6.5</v>
      </c>
      <c r="L35" s="5">
        <f t="shared" si="0"/>
        <v>0</v>
      </c>
    </row>
    <row r="36" spans="1:13" ht="13.15" customHeight="1">
      <c r="A36" s="2">
        <v>32</v>
      </c>
      <c r="B36" s="4" t="s">
        <v>74</v>
      </c>
      <c r="C36" s="2" t="s">
        <v>9</v>
      </c>
      <c r="D36" s="2"/>
      <c r="E36" s="2">
        <v>2.5</v>
      </c>
      <c r="F36" s="20">
        <f t="shared" si="1"/>
        <v>0</v>
      </c>
      <c r="G36" s="2">
        <v>70</v>
      </c>
      <c r="H36" s="9" t="s">
        <v>143</v>
      </c>
      <c r="I36" s="2" t="s">
        <v>9</v>
      </c>
      <c r="J36" s="4"/>
      <c r="K36" s="8">
        <v>9.5500000000000007</v>
      </c>
      <c r="L36" s="5">
        <f t="shared" si="0"/>
        <v>0</v>
      </c>
    </row>
    <row r="37" spans="1:13" ht="13.15" customHeight="1">
      <c r="A37" s="2">
        <v>33</v>
      </c>
      <c r="B37" s="4" t="s">
        <v>76</v>
      </c>
      <c r="C37" s="2" t="s">
        <v>9</v>
      </c>
      <c r="D37" s="2"/>
      <c r="E37" s="2">
        <v>4</v>
      </c>
      <c r="F37" s="20">
        <f t="shared" si="1"/>
        <v>0</v>
      </c>
      <c r="G37" s="2">
        <v>71</v>
      </c>
      <c r="H37" s="9" t="s">
        <v>144</v>
      </c>
      <c r="I37" s="2" t="s">
        <v>9</v>
      </c>
      <c r="J37" s="4"/>
      <c r="K37" s="8">
        <v>8.25</v>
      </c>
      <c r="L37" s="5">
        <f t="shared" si="0"/>
        <v>0</v>
      </c>
      <c r="M37" s="11"/>
    </row>
    <row r="38" spans="1:13" ht="13.15" customHeight="1">
      <c r="A38" s="2">
        <v>34</v>
      </c>
      <c r="B38" s="4" t="s">
        <v>78</v>
      </c>
      <c r="C38" s="2" t="s">
        <v>9</v>
      </c>
      <c r="D38" s="2"/>
      <c r="E38" s="2">
        <v>7</v>
      </c>
      <c r="F38" s="20">
        <f t="shared" si="1"/>
        <v>0</v>
      </c>
      <c r="G38" s="2">
        <v>72</v>
      </c>
      <c r="H38" s="9" t="s">
        <v>145</v>
      </c>
      <c r="I38" s="2" t="s">
        <v>9</v>
      </c>
      <c r="J38" s="4"/>
      <c r="K38" s="8">
        <v>11</v>
      </c>
      <c r="L38" s="5">
        <f t="shared" si="0"/>
        <v>0</v>
      </c>
    </row>
    <row r="39" spans="1:13" ht="13.15" customHeight="1">
      <c r="A39" s="2">
        <v>35</v>
      </c>
      <c r="B39" s="4" t="s">
        <v>80</v>
      </c>
      <c r="C39" s="2" t="s">
        <v>9</v>
      </c>
      <c r="D39" s="2"/>
      <c r="E39" s="2">
        <v>4.2</v>
      </c>
      <c r="F39" s="20">
        <f t="shared" si="1"/>
        <v>0</v>
      </c>
      <c r="G39" s="2">
        <v>73</v>
      </c>
      <c r="H39" s="9" t="s">
        <v>146</v>
      </c>
      <c r="I39" s="2" t="s">
        <v>9</v>
      </c>
      <c r="J39" s="4"/>
      <c r="K39" s="8">
        <v>6.3</v>
      </c>
      <c r="L39" s="5">
        <f t="shared" si="0"/>
        <v>0</v>
      </c>
    </row>
    <row r="40" spans="1:13" ht="13.15" customHeight="1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5+F6+F7+F8+F9+F10+F11+F12+L2+L3+L4+L5+L6+L7+L8+L9</f>
        <v>0</v>
      </c>
    </row>
    <row r="42" spans="1:13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>
  <sheetPr codeName="Лист70"/>
  <dimension ref="A1:L42"/>
  <sheetViews>
    <sheetView topLeftCell="A22" workbookViewId="0">
      <selection activeCell="D31" sqref="D31"/>
    </sheetView>
  </sheetViews>
  <sheetFormatPr defaultRowHeight="13.15" customHeight="1"/>
  <cols>
    <col min="1" max="1" width="5" style="17" customWidth="1"/>
    <col min="2" max="2" width="30.28515625" customWidth="1"/>
    <col min="3" max="3" width="6.85546875" customWidth="1"/>
    <col min="4" max="4" width="6.5703125" customWidth="1"/>
    <col min="6" max="6" width="8.85546875" style="17"/>
    <col min="7" max="7" width="4.7109375" style="17" customWidth="1"/>
    <col min="8" max="8" width="24.7109375" customWidth="1"/>
    <col min="9" max="9" width="6.7109375" customWidth="1"/>
    <col min="10" max="10" width="7" customWidth="1"/>
    <col min="12" max="12" width="8.85546875" style="17"/>
  </cols>
  <sheetData>
    <row r="1" spans="1:12" ht="13.15" customHeight="1">
      <c r="A1" s="30" t="s">
        <v>147</v>
      </c>
      <c r="B1" s="30"/>
      <c r="C1" s="30"/>
      <c r="D1" s="31" t="s">
        <v>148</v>
      </c>
      <c r="E1" s="30"/>
      <c r="F1" s="30"/>
      <c r="G1" s="16"/>
      <c r="H1" s="2" t="s">
        <v>2</v>
      </c>
      <c r="I1" s="1" t="s">
        <v>3</v>
      </c>
      <c r="J1" s="2" t="s">
        <v>4</v>
      </c>
      <c r="K1" s="2" t="s">
        <v>149</v>
      </c>
      <c r="L1" s="2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150</v>
      </c>
      <c r="I2" s="2" t="s">
        <v>9</v>
      </c>
      <c r="J2" s="2"/>
      <c r="K2" s="5">
        <v>8.5</v>
      </c>
      <c r="L2" s="5">
        <f t="shared" ref="L2:L34" si="0"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151</v>
      </c>
      <c r="I3" s="2" t="s">
        <v>9</v>
      </c>
      <c r="J3" s="2"/>
      <c r="K3" s="5">
        <v>8.5</v>
      </c>
      <c r="L3" s="5">
        <f t="shared" si="0"/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152</v>
      </c>
      <c r="I4" s="2" t="s">
        <v>9</v>
      </c>
      <c r="J4" s="2"/>
      <c r="K4" s="5">
        <v>8.5</v>
      </c>
      <c r="L4" s="5">
        <f t="shared" si="0"/>
        <v>0</v>
      </c>
    </row>
    <row r="5" spans="1:12" ht="13.15" customHeight="1">
      <c r="A5" s="2">
        <v>1</v>
      </c>
      <c r="B5" s="4" t="s">
        <v>153</v>
      </c>
      <c r="C5" s="2" t="s">
        <v>9</v>
      </c>
      <c r="D5" s="2"/>
      <c r="E5" s="5">
        <v>8.8000000000000007</v>
      </c>
      <c r="F5" s="20">
        <f>D5*E5</f>
        <v>0</v>
      </c>
      <c r="G5" s="2">
        <v>39</v>
      </c>
      <c r="H5" s="4" t="s">
        <v>154</v>
      </c>
      <c r="I5" s="2" t="s">
        <v>9</v>
      </c>
      <c r="J5" s="2"/>
      <c r="K5" s="5">
        <v>8.5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5.7</v>
      </c>
      <c r="F6" s="20">
        <f t="shared" ref="F6:F35" si="1">D6*E6</f>
        <v>0</v>
      </c>
      <c r="G6" s="2">
        <v>40</v>
      </c>
      <c r="H6" s="4" t="s">
        <v>155</v>
      </c>
      <c r="I6" s="2" t="s">
        <v>9</v>
      </c>
      <c r="J6" s="2"/>
      <c r="K6" s="5">
        <v>8.5</v>
      </c>
      <c r="L6" s="5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6.3</v>
      </c>
      <c r="F7" s="20">
        <f t="shared" si="1"/>
        <v>0</v>
      </c>
      <c r="G7" s="2">
        <v>41</v>
      </c>
      <c r="H7" s="4" t="s">
        <v>157</v>
      </c>
      <c r="I7" s="2" t="s">
        <v>9</v>
      </c>
      <c r="J7" s="2"/>
      <c r="K7" s="5">
        <v>8.5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9</v>
      </c>
      <c r="F8" s="20">
        <f t="shared" si="1"/>
        <v>0</v>
      </c>
      <c r="G8" s="2">
        <v>42</v>
      </c>
      <c r="H8" s="4" t="s">
        <v>158</v>
      </c>
      <c r="I8" s="2" t="s">
        <v>9</v>
      </c>
      <c r="J8" s="2"/>
      <c r="K8" s="5">
        <v>3.3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5.8</v>
      </c>
      <c r="F9" s="20">
        <f t="shared" si="1"/>
        <v>0</v>
      </c>
      <c r="G9" s="2">
        <v>43</v>
      </c>
      <c r="H9" s="4" t="s">
        <v>159</v>
      </c>
      <c r="I9" s="2" t="s">
        <v>9</v>
      </c>
      <c r="J9" s="2"/>
      <c r="K9" s="5">
        <v>3.8</v>
      </c>
      <c r="L9" s="5">
        <f t="shared" si="0"/>
        <v>0</v>
      </c>
    </row>
    <row r="10" spans="1:12" ht="13.15" customHeight="1">
      <c r="A10" s="2">
        <v>6</v>
      </c>
      <c r="B10" s="4" t="s">
        <v>160</v>
      </c>
      <c r="C10" s="2" t="s">
        <v>9</v>
      </c>
      <c r="D10" s="2"/>
      <c r="E10" s="5">
        <v>7.4</v>
      </c>
      <c r="F10" s="20">
        <f t="shared" si="1"/>
        <v>0</v>
      </c>
      <c r="G10" s="2">
        <v>44</v>
      </c>
      <c r="H10" s="4" t="s">
        <v>13</v>
      </c>
      <c r="I10" s="2" t="s">
        <v>9</v>
      </c>
      <c r="J10" s="2"/>
      <c r="K10" s="5">
        <v>3.3</v>
      </c>
      <c r="L10" s="5">
        <f t="shared" si="0"/>
        <v>0</v>
      </c>
    </row>
    <row r="11" spans="1:12" ht="13.15" customHeight="1">
      <c r="A11" s="2">
        <v>7</v>
      </c>
      <c r="B11" s="4" t="s">
        <v>78</v>
      </c>
      <c r="C11" s="2" t="s">
        <v>9</v>
      </c>
      <c r="D11" s="2"/>
      <c r="E11" s="5">
        <v>8.1</v>
      </c>
      <c r="F11" s="20">
        <f t="shared" si="1"/>
        <v>0</v>
      </c>
      <c r="G11" s="2">
        <v>45</v>
      </c>
      <c r="H11" s="4" t="s">
        <v>17</v>
      </c>
      <c r="I11" s="2" t="s">
        <v>9</v>
      </c>
      <c r="J11" s="2"/>
      <c r="K11" s="5">
        <v>2.6</v>
      </c>
      <c r="L11" s="5">
        <f t="shared" si="0"/>
        <v>0</v>
      </c>
    </row>
    <row r="12" spans="1:12" ht="13.15" customHeight="1">
      <c r="A12" s="2">
        <v>8</v>
      </c>
      <c r="B12" s="4" t="s">
        <v>80</v>
      </c>
      <c r="C12" s="2" t="s">
        <v>9</v>
      </c>
      <c r="D12" s="2"/>
      <c r="E12" s="5">
        <v>5.4</v>
      </c>
      <c r="F12" s="20">
        <f t="shared" si="1"/>
        <v>0</v>
      </c>
      <c r="G12" s="2">
        <v>46</v>
      </c>
      <c r="H12" s="4" t="s">
        <v>161</v>
      </c>
      <c r="I12" s="2" t="s">
        <v>9</v>
      </c>
      <c r="J12" s="2"/>
      <c r="K12" s="5">
        <v>2.6</v>
      </c>
      <c r="L12" s="5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6.3</v>
      </c>
      <c r="F13" s="20">
        <f t="shared" si="1"/>
        <v>0</v>
      </c>
      <c r="G13" s="2">
        <v>47</v>
      </c>
      <c r="H13" s="4" t="s">
        <v>163</v>
      </c>
      <c r="I13" s="2" t="s">
        <v>9</v>
      </c>
      <c r="J13" s="2"/>
      <c r="K13" s="5">
        <v>4.2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6.9</v>
      </c>
      <c r="F14" s="20">
        <f t="shared" si="1"/>
        <v>0</v>
      </c>
      <c r="G14" s="2">
        <v>48</v>
      </c>
      <c r="H14" s="4" t="s">
        <v>164</v>
      </c>
      <c r="I14" s="2" t="s">
        <v>9</v>
      </c>
      <c r="J14" s="2"/>
      <c r="K14" s="5">
        <v>4.2</v>
      </c>
      <c r="L14" s="5">
        <f t="shared" si="0"/>
        <v>0</v>
      </c>
    </row>
    <row r="15" spans="1:12" ht="13.15" customHeight="1">
      <c r="A15" s="2">
        <v>11</v>
      </c>
      <c r="B15" s="4" t="s">
        <v>165</v>
      </c>
      <c r="C15" s="2" t="s">
        <v>9</v>
      </c>
      <c r="D15" s="2"/>
      <c r="E15" s="5">
        <v>5.2</v>
      </c>
      <c r="F15" s="20">
        <f t="shared" si="1"/>
        <v>0</v>
      </c>
      <c r="G15" s="2">
        <v>49</v>
      </c>
      <c r="H15" s="4" t="s">
        <v>166</v>
      </c>
      <c r="I15" s="2" t="s">
        <v>9</v>
      </c>
      <c r="J15" s="2"/>
      <c r="K15" s="5">
        <v>4.2</v>
      </c>
      <c r="L15" s="5">
        <f t="shared" si="0"/>
        <v>0</v>
      </c>
    </row>
    <row r="16" spans="1:12" ht="13.15" customHeight="1">
      <c r="A16" s="2">
        <v>12</v>
      </c>
      <c r="B16" s="4" t="s">
        <v>167</v>
      </c>
      <c r="C16" s="2" t="s">
        <v>9</v>
      </c>
      <c r="D16" s="2"/>
      <c r="E16" s="5">
        <v>7.2</v>
      </c>
      <c r="F16" s="20">
        <f>D16*E16</f>
        <v>0</v>
      </c>
      <c r="G16" s="2">
        <v>50</v>
      </c>
      <c r="H16" s="4" t="s">
        <v>168</v>
      </c>
      <c r="I16" s="2" t="s">
        <v>9</v>
      </c>
      <c r="J16" s="2"/>
      <c r="K16" s="5">
        <v>0</v>
      </c>
      <c r="L16" s="5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7.8</v>
      </c>
      <c r="F17" s="20">
        <f t="shared" si="1"/>
        <v>0</v>
      </c>
      <c r="G17" s="2">
        <v>51</v>
      </c>
      <c r="H17" s="4" t="s">
        <v>169</v>
      </c>
      <c r="I17" s="2" t="s">
        <v>9</v>
      </c>
      <c r="J17" s="2"/>
      <c r="K17" s="5">
        <v>4.2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5.4</v>
      </c>
      <c r="F18" s="20">
        <f t="shared" si="1"/>
        <v>0</v>
      </c>
      <c r="G18" s="2">
        <v>52</v>
      </c>
      <c r="H18" s="4" t="s">
        <v>170</v>
      </c>
      <c r="I18" s="2" t="s">
        <v>9</v>
      </c>
      <c r="J18" s="2"/>
      <c r="K18" s="5">
        <v>3.8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</v>
      </c>
      <c r="F19" s="20">
        <f t="shared" si="1"/>
        <v>0</v>
      </c>
      <c r="G19" s="2">
        <v>53</v>
      </c>
      <c r="H19" s="4" t="s">
        <v>171</v>
      </c>
      <c r="I19" s="2" t="s">
        <v>9</v>
      </c>
      <c r="J19" s="2"/>
      <c r="K19" s="5">
        <v>3.8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3</v>
      </c>
      <c r="F20" s="20">
        <f t="shared" si="1"/>
        <v>0</v>
      </c>
      <c r="G20" s="2">
        <v>54</v>
      </c>
      <c r="H20" s="4" t="s">
        <v>172</v>
      </c>
      <c r="I20" s="2" t="s">
        <v>9</v>
      </c>
      <c r="J20" s="2"/>
      <c r="K20" s="5">
        <v>3.8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1.7</v>
      </c>
      <c r="F21" s="20">
        <f t="shared" si="1"/>
        <v>0</v>
      </c>
      <c r="G21" s="2">
        <v>55</v>
      </c>
      <c r="H21" s="4" t="s">
        <v>173</v>
      </c>
      <c r="I21" s="2" t="s">
        <v>9</v>
      </c>
      <c r="J21" s="2"/>
      <c r="K21" s="5">
        <v>3.8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7.5</v>
      </c>
      <c r="F22" s="20">
        <f t="shared" si="1"/>
        <v>0</v>
      </c>
      <c r="G22" s="2">
        <v>56</v>
      </c>
      <c r="H22" s="4" t="s">
        <v>174</v>
      </c>
      <c r="I22" s="2" t="s">
        <v>9</v>
      </c>
      <c r="J22" s="2"/>
      <c r="K22" s="5">
        <v>10</v>
      </c>
      <c r="L22" s="5">
        <f t="shared" si="0"/>
        <v>0</v>
      </c>
    </row>
    <row r="23" spans="1:12" ht="13.15" customHeight="1">
      <c r="A23" s="2">
        <v>19</v>
      </c>
      <c r="B23" s="4" t="s">
        <v>175</v>
      </c>
      <c r="C23" s="2" t="s">
        <v>9</v>
      </c>
      <c r="D23" s="2"/>
      <c r="E23" s="5">
        <v>8</v>
      </c>
      <c r="F23" s="20">
        <f t="shared" si="1"/>
        <v>0</v>
      </c>
      <c r="G23" s="2">
        <v>57</v>
      </c>
      <c r="H23" s="4" t="s">
        <v>176</v>
      </c>
      <c r="I23" s="2" t="s">
        <v>9</v>
      </c>
      <c r="J23" s="4"/>
      <c r="K23" s="2">
        <v>8.8000000000000007</v>
      </c>
      <c r="L23" s="5">
        <f t="shared" si="0"/>
        <v>0</v>
      </c>
    </row>
    <row r="24" spans="1:12" ht="13.15" customHeight="1">
      <c r="A24" s="2">
        <v>20</v>
      </c>
      <c r="B24" s="4" t="s">
        <v>177</v>
      </c>
      <c r="C24" s="2" t="s">
        <v>9</v>
      </c>
      <c r="D24" s="2"/>
      <c r="E24" s="5">
        <v>8.4</v>
      </c>
      <c r="F24" s="20">
        <f t="shared" si="1"/>
        <v>0</v>
      </c>
      <c r="G24" s="2">
        <v>58</v>
      </c>
      <c r="H24" s="4" t="s">
        <v>178</v>
      </c>
      <c r="I24" s="2" t="s">
        <v>9</v>
      </c>
      <c r="J24" s="4"/>
      <c r="K24" s="2">
        <v>7.2</v>
      </c>
      <c r="L24" s="5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8.8000000000000007</v>
      </c>
      <c r="F25" s="20">
        <f t="shared" si="1"/>
        <v>0</v>
      </c>
      <c r="G25" s="2">
        <v>59</v>
      </c>
      <c r="H25" s="4" t="s">
        <v>179</v>
      </c>
      <c r="I25" s="2" t="s">
        <v>9</v>
      </c>
      <c r="J25" s="4"/>
      <c r="K25" s="2">
        <v>8.5</v>
      </c>
      <c r="L25" s="5">
        <f t="shared" si="0"/>
        <v>0</v>
      </c>
    </row>
    <row r="26" spans="1:12" ht="13.15" customHeight="1">
      <c r="A26" s="2">
        <v>22</v>
      </c>
      <c r="B26" s="4" t="s">
        <v>180</v>
      </c>
      <c r="C26" s="2" t="s">
        <v>9</v>
      </c>
      <c r="D26" s="2"/>
      <c r="E26" s="5">
        <v>6</v>
      </c>
      <c r="F26" s="20">
        <f t="shared" si="1"/>
        <v>0</v>
      </c>
      <c r="G26" s="2">
        <v>60</v>
      </c>
      <c r="H26" s="4" t="s">
        <v>131</v>
      </c>
      <c r="I26" s="2" t="s">
        <v>9</v>
      </c>
      <c r="J26" s="4"/>
      <c r="K26" s="2">
        <v>4.2</v>
      </c>
      <c r="L26" s="5">
        <f t="shared" si="0"/>
        <v>0</v>
      </c>
    </row>
    <row r="27" spans="1:12" ht="13.15" customHeight="1">
      <c r="A27" s="2">
        <v>23</v>
      </c>
      <c r="B27" s="4" t="s">
        <v>181</v>
      </c>
      <c r="C27" s="2" t="s">
        <v>9</v>
      </c>
      <c r="D27" s="2"/>
      <c r="E27" s="5">
        <v>3.8</v>
      </c>
      <c r="F27" s="20">
        <f t="shared" si="1"/>
        <v>0</v>
      </c>
      <c r="G27" s="2">
        <v>61</v>
      </c>
      <c r="H27" s="4" t="s">
        <v>182</v>
      </c>
      <c r="I27" s="2" t="s">
        <v>9</v>
      </c>
      <c r="J27" s="4"/>
      <c r="K27" s="2">
        <v>13.5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6.3</v>
      </c>
      <c r="F28" s="20">
        <f t="shared" si="1"/>
        <v>0</v>
      </c>
      <c r="G28" s="2">
        <v>62</v>
      </c>
      <c r="H28" s="4" t="s">
        <v>183</v>
      </c>
      <c r="I28" s="2" t="s">
        <v>9</v>
      </c>
      <c r="J28" s="4"/>
      <c r="K28" s="2">
        <v>12.8</v>
      </c>
      <c r="L28" s="5">
        <f t="shared" si="0"/>
        <v>0</v>
      </c>
    </row>
    <row r="29" spans="1:12" ht="13.15" customHeight="1">
      <c r="A29" s="2">
        <v>25</v>
      </c>
      <c r="B29" s="4" t="s">
        <v>184</v>
      </c>
      <c r="C29" s="2" t="s">
        <v>9</v>
      </c>
      <c r="D29" s="2"/>
      <c r="E29" s="5">
        <v>7.7</v>
      </c>
      <c r="F29" s="20">
        <f t="shared" si="1"/>
        <v>0</v>
      </c>
      <c r="G29" s="2">
        <v>63</v>
      </c>
      <c r="H29" s="4" t="s">
        <v>185</v>
      </c>
      <c r="I29" s="2" t="s">
        <v>9</v>
      </c>
      <c r="J29" s="4"/>
      <c r="K29" s="2">
        <v>8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>
        <v>45</v>
      </c>
      <c r="E30" s="5">
        <v>6.2</v>
      </c>
      <c r="F30" s="5">
        <f t="shared" si="1"/>
        <v>279</v>
      </c>
      <c r="G30" s="2">
        <v>64</v>
      </c>
      <c r="H30" s="4" t="s">
        <v>186</v>
      </c>
      <c r="I30" s="2" t="s">
        <v>9</v>
      </c>
      <c r="J30" s="4"/>
      <c r="K30" s="2">
        <v>7.25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7</v>
      </c>
      <c r="F31" s="5">
        <f t="shared" si="1"/>
        <v>0</v>
      </c>
      <c r="G31" s="2">
        <v>65</v>
      </c>
      <c r="H31" s="4" t="s">
        <v>187</v>
      </c>
      <c r="I31" s="2" t="s">
        <v>9</v>
      </c>
      <c r="J31" s="4"/>
      <c r="K31" s="2">
        <v>10.8</v>
      </c>
      <c r="L31" s="5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10</v>
      </c>
      <c r="F32" s="20">
        <f t="shared" si="1"/>
        <v>0</v>
      </c>
      <c r="G32" s="2">
        <v>66</v>
      </c>
      <c r="H32" s="4" t="s">
        <v>188</v>
      </c>
      <c r="I32" s="2" t="s">
        <v>9</v>
      </c>
      <c r="J32" s="4"/>
      <c r="K32" s="2">
        <v>3.8</v>
      </c>
      <c r="L32" s="5">
        <f t="shared" si="0"/>
        <v>0</v>
      </c>
    </row>
    <row r="33" spans="1:12" ht="13.15" customHeight="1">
      <c r="A33" s="2">
        <v>29</v>
      </c>
      <c r="B33" s="4" t="s">
        <v>189</v>
      </c>
      <c r="C33" s="2" t="s">
        <v>9</v>
      </c>
      <c r="D33" s="2"/>
      <c r="E33" s="5">
        <v>1.5</v>
      </c>
      <c r="F33" s="5">
        <f t="shared" si="1"/>
        <v>0</v>
      </c>
      <c r="G33" s="2">
        <v>67</v>
      </c>
      <c r="H33" s="4" t="s">
        <v>190</v>
      </c>
      <c r="I33" s="2" t="s">
        <v>9</v>
      </c>
      <c r="J33" s="4"/>
      <c r="K33" s="2">
        <v>6.7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7.9</v>
      </c>
      <c r="F34" s="5">
        <f t="shared" si="1"/>
        <v>0</v>
      </c>
      <c r="G34" s="2">
        <v>68</v>
      </c>
      <c r="H34" s="4" t="s">
        <v>191</v>
      </c>
      <c r="I34" s="2" t="s">
        <v>9</v>
      </c>
      <c r="J34" s="4"/>
      <c r="K34" s="2">
        <v>6.7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7</v>
      </c>
      <c r="F35" s="20">
        <f t="shared" si="1"/>
        <v>0</v>
      </c>
      <c r="G35" s="2">
        <v>69</v>
      </c>
      <c r="H35" s="4" t="s">
        <v>192</v>
      </c>
      <c r="I35" s="2" t="s">
        <v>9</v>
      </c>
      <c r="J35" s="4"/>
      <c r="K35" s="2">
        <v>4.8</v>
      </c>
      <c r="L35" s="5">
        <f>J35*K35</f>
        <v>0</v>
      </c>
    </row>
    <row r="36" spans="1:12" ht="13.15" customHeight="1">
      <c r="A36" s="2">
        <v>32</v>
      </c>
      <c r="B36" s="4" t="s">
        <v>193</v>
      </c>
      <c r="C36" s="2" t="s">
        <v>9</v>
      </c>
      <c r="D36" s="2"/>
      <c r="E36" s="5">
        <v>10.25</v>
      </c>
      <c r="F36" s="20">
        <f>D36*E36</f>
        <v>0</v>
      </c>
      <c r="G36" s="2">
        <v>70</v>
      </c>
      <c r="H36" s="4" t="s">
        <v>194</v>
      </c>
      <c r="I36" s="2" t="s">
        <v>9</v>
      </c>
      <c r="J36" s="4"/>
      <c r="K36" s="2">
        <v>7.25</v>
      </c>
      <c r="L36" s="5">
        <f>J36*K36</f>
        <v>0</v>
      </c>
    </row>
    <row r="37" spans="1:12" ht="13.15" customHeight="1">
      <c r="A37" s="2">
        <v>33</v>
      </c>
      <c r="B37" s="4" t="s">
        <v>195</v>
      </c>
      <c r="C37" s="2" t="s">
        <v>9</v>
      </c>
      <c r="D37" s="2"/>
      <c r="E37" s="5">
        <v>6</v>
      </c>
      <c r="F37" s="20">
        <f>D37*E37</f>
        <v>0</v>
      </c>
      <c r="G37" s="2">
        <v>71</v>
      </c>
      <c r="H37" s="4" t="s">
        <v>196</v>
      </c>
      <c r="I37" s="2" t="s">
        <v>9</v>
      </c>
      <c r="J37" s="4"/>
      <c r="K37" s="2">
        <v>5.4</v>
      </c>
      <c r="L37" s="5">
        <f>J37*K37</f>
        <v>0</v>
      </c>
    </row>
    <row r="38" spans="1:12" ht="13.15" customHeight="1">
      <c r="A38" s="2">
        <v>34</v>
      </c>
      <c r="B38" s="4"/>
      <c r="C38" s="2" t="s">
        <v>9</v>
      </c>
      <c r="D38" s="2"/>
      <c r="E38" s="5">
        <v>0</v>
      </c>
      <c r="F38" s="20">
        <f>D38*E38</f>
        <v>0</v>
      </c>
      <c r="G38" s="2">
        <v>72</v>
      </c>
      <c r="H38" s="4" t="s">
        <v>197</v>
      </c>
      <c r="I38" s="2" t="s">
        <v>9</v>
      </c>
      <c r="J38" s="4"/>
      <c r="K38" s="2">
        <v>8.5</v>
      </c>
      <c r="L38" s="5">
        <f>J38*K38</f>
        <v>0</v>
      </c>
    </row>
    <row r="39" spans="1:12" ht="13.15" customHeight="1">
      <c r="A39" s="2">
        <v>35</v>
      </c>
      <c r="B39" s="4" t="s">
        <v>198</v>
      </c>
      <c r="C39" s="2" t="s">
        <v>9</v>
      </c>
      <c r="D39" s="2"/>
      <c r="E39" s="5">
        <v>8.5</v>
      </c>
      <c r="F39" s="20">
        <f>D39*E39</f>
        <v>0</v>
      </c>
      <c r="G39" s="2">
        <v>73</v>
      </c>
      <c r="H39" s="4" t="s">
        <v>199</v>
      </c>
      <c r="I39" s="2" t="s">
        <v>9</v>
      </c>
      <c r="J39" s="4"/>
      <c r="K39" s="2">
        <v>6.7</v>
      </c>
      <c r="L39" s="5">
        <f>J39*K39</f>
        <v>0</v>
      </c>
    </row>
    <row r="40" spans="1:12" ht="13.15" customHeight="1">
      <c r="K40" t="s">
        <v>200</v>
      </c>
      <c r="L40" s="25">
        <f>F5+F6+F7+F8+F9+F10+F11+F12+F13+F14+F15+F16+F17+F18+F19+F20+F21+F22+F23+F24+F25+F26+F27+F28+F29+F30+F31+F32+F33+F34+F35+F36+F37+F38+F39+L2+L3+L4+L5+L6+L7+L8+L9+L10+L11+L12+L13+L14+L15+L16+L17+L18+L19+L20+L21+L22+L23+L24+L25+L26+L27+L28+L29+L30+L31+L32+L33+L34+L35+L36+L37+L38+L39</f>
        <v>279</v>
      </c>
    </row>
    <row r="42" spans="1:12" ht="13.15" customHeight="1">
      <c r="H42" t="s">
        <v>201</v>
      </c>
      <c r="J42" t="s">
        <v>202</v>
      </c>
    </row>
  </sheetData>
  <mergeCells count="4">
    <mergeCell ref="A1:C1"/>
    <mergeCell ref="D1:F1"/>
    <mergeCell ref="A2:F2"/>
    <mergeCell ref="A3:F3"/>
  </mergeCells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>
  <sheetPr codeName="Лист72"/>
  <dimension ref="A1:L42"/>
  <sheetViews>
    <sheetView topLeftCell="A22" workbookViewId="0">
      <selection activeCell="J39" sqref="J39"/>
    </sheetView>
  </sheetViews>
  <sheetFormatPr defaultRowHeight="13.15" customHeight="1"/>
  <cols>
    <col min="1" max="1" width="5" style="17" customWidth="1"/>
    <col min="2" max="2" width="30.28515625" customWidth="1"/>
    <col min="3" max="3" width="6.85546875" customWidth="1"/>
    <col min="4" max="4" width="6.5703125" customWidth="1"/>
    <col min="6" max="6" width="8.85546875" style="17"/>
    <col min="7" max="7" width="4.7109375" style="17" customWidth="1"/>
    <col min="8" max="8" width="24.7109375" customWidth="1"/>
    <col min="9" max="9" width="6.7109375" customWidth="1"/>
    <col min="10" max="10" width="7" customWidth="1"/>
    <col min="12" max="12" width="8.85546875" style="17"/>
  </cols>
  <sheetData>
    <row r="1" spans="1:12" ht="13.15" customHeight="1">
      <c r="A1" s="30" t="s">
        <v>147</v>
      </c>
      <c r="B1" s="30"/>
      <c r="C1" s="30"/>
      <c r="D1" s="31" t="s">
        <v>148</v>
      </c>
      <c r="E1" s="30"/>
      <c r="F1" s="30"/>
      <c r="G1" s="16"/>
      <c r="H1" s="2" t="s">
        <v>2</v>
      </c>
      <c r="I1" s="1" t="s">
        <v>3</v>
      </c>
      <c r="J1" s="2" t="s">
        <v>4</v>
      </c>
      <c r="K1" s="2" t="s">
        <v>149</v>
      </c>
      <c r="L1" s="2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150</v>
      </c>
      <c r="I2" s="2" t="s">
        <v>9</v>
      </c>
      <c r="J2" s="2"/>
      <c r="K2" s="5">
        <v>8.5</v>
      </c>
      <c r="L2" s="5">
        <f t="shared" ref="L2:L34" si="0"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151</v>
      </c>
      <c r="I3" s="2" t="s">
        <v>9</v>
      </c>
      <c r="J3" s="2"/>
      <c r="K3" s="5">
        <v>8.5</v>
      </c>
      <c r="L3" s="5">
        <f t="shared" si="0"/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152</v>
      </c>
      <c r="I4" s="2" t="s">
        <v>9</v>
      </c>
      <c r="J4" s="2"/>
      <c r="K4" s="5">
        <v>8.5</v>
      </c>
      <c r="L4" s="5">
        <f t="shared" si="0"/>
        <v>0</v>
      </c>
    </row>
    <row r="5" spans="1:12" ht="13.15" customHeight="1">
      <c r="A5" s="2">
        <v>1</v>
      </c>
      <c r="B5" s="4" t="s">
        <v>153</v>
      </c>
      <c r="C5" s="2" t="s">
        <v>9</v>
      </c>
      <c r="D5" s="2"/>
      <c r="E5" s="5">
        <v>8.8000000000000007</v>
      </c>
      <c r="F5" s="20">
        <f>D5*E5</f>
        <v>0</v>
      </c>
      <c r="G5" s="2">
        <v>39</v>
      </c>
      <c r="H5" s="4" t="s">
        <v>154</v>
      </c>
      <c r="I5" s="2" t="s">
        <v>9</v>
      </c>
      <c r="J5" s="2"/>
      <c r="K5" s="5">
        <v>8.5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5.7</v>
      </c>
      <c r="F6" s="20">
        <f t="shared" ref="F6:F35" si="1">D6*E6</f>
        <v>0</v>
      </c>
      <c r="G6" s="2">
        <v>40</v>
      </c>
      <c r="H6" s="4" t="s">
        <v>155</v>
      </c>
      <c r="I6" s="2" t="s">
        <v>9</v>
      </c>
      <c r="J6" s="2"/>
      <c r="K6" s="5">
        <v>8.5</v>
      </c>
      <c r="L6" s="5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6.3</v>
      </c>
      <c r="F7" s="20">
        <f t="shared" si="1"/>
        <v>0</v>
      </c>
      <c r="G7" s="2">
        <v>41</v>
      </c>
      <c r="H7" s="4" t="s">
        <v>157</v>
      </c>
      <c r="I7" s="2" t="s">
        <v>9</v>
      </c>
      <c r="J7" s="2"/>
      <c r="K7" s="5">
        <v>8.5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9</v>
      </c>
      <c r="F8" s="20">
        <f t="shared" si="1"/>
        <v>0</v>
      </c>
      <c r="G8" s="2">
        <v>42</v>
      </c>
      <c r="H8" s="4" t="s">
        <v>158</v>
      </c>
      <c r="I8" s="2" t="s">
        <v>9</v>
      </c>
      <c r="J8" s="2"/>
      <c r="K8" s="5">
        <v>3.3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5.8</v>
      </c>
      <c r="F9" s="20">
        <f t="shared" si="1"/>
        <v>0</v>
      </c>
      <c r="G9" s="2">
        <v>43</v>
      </c>
      <c r="H9" s="4" t="s">
        <v>159</v>
      </c>
      <c r="I9" s="2" t="s">
        <v>9</v>
      </c>
      <c r="J9" s="2"/>
      <c r="K9" s="5">
        <v>3.8</v>
      </c>
      <c r="L9" s="5">
        <f t="shared" si="0"/>
        <v>0</v>
      </c>
    </row>
    <row r="10" spans="1:12" ht="13.15" customHeight="1">
      <c r="A10" s="2">
        <v>6</v>
      </c>
      <c r="B10" s="4" t="s">
        <v>160</v>
      </c>
      <c r="C10" s="2" t="s">
        <v>9</v>
      </c>
      <c r="D10" s="2"/>
      <c r="E10" s="5">
        <v>7.4</v>
      </c>
      <c r="F10" s="20">
        <f t="shared" si="1"/>
        <v>0</v>
      </c>
      <c r="G10" s="2">
        <v>44</v>
      </c>
      <c r="H10" s="4" t="s">
        <v>13</v>
      </c>
      <c r="I10" s="2" t="s">
        <v>9</v>
      </c>
      <c r="J10" s="2"/>
      <c r="K10" s="5">
        <v>3.3</v>
      </c>
      <c r="L10" s="5">
        <f t="shared" si="0"/>
        <v>0</v>
      </c>
    </row>
    <row r="11" spans="1:12" ht="13.15" customHeight="1">
      <c r="A11" s="2">
        <v>7</v>
      </c>
      <c r="B11" s="4" t="s">
        <v>78</v>
      </c>
      <c r="C11" s="2" t="s">
        <v>9</v>
      </c>
      <c r="D11" s="2"/>
      <c r="E11" s="5">
        <v>8.1</v>
      </c>
      <c r="F11" s="20">
        <f t="shared" si="1"/>
        <v>0</v>
      </c>
      <c r="G11" s="2">
        <v>45</v>
      </c>
      <c r="H11" s="4" t="s">
        <v>17</v>
      </c>
      <c r="I11" s="2" t="s">
        <v>9</v>
      </c>
      <c r="J11" s="2"/>
      <c r="K11" s="5">
        <v>2.6</v>
      </c>
      <c r="L11" s="5">
        <f t="shared" si="0"/>
        <v>0</v>
      </c>
    </row>
    <row r="12" spans="1:12" ht="13.15" customHeight="1">
      <c r="A12" s="2">
        <v>8</v>
      </c>
      <c r="B12" s="4" t="s">
        <v>80</v>
      </c>
      <c r="C12" s="2" t="s">
        <v>9</v>
      </c>
      <c r="D12" s="2"/>
      <c r="E12" s="5">
        <v>5.4</v>
      </c>
      <c r="F12" s="20">
        <f t="shared" si="1"/>
        <v>0</v>
      </c>
      <c r="G12" s="2">
        <v>46</v>
      </c>
      <c r="H12" s="4" t="s">
        <v>161</v>
      </c>
      <c r="I12" s="2" t="s">
        <v>9</v>
      </c>
      <c r="J12" s="2"/>
      <c r="K12" s="5">
        <v>2.6</v>
      </c>
      <c r="L12" s="5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6.3</v>
      </c>
      <c r="F13" s="20">
        <f t="shared" si="1"/>
        <v>0</v>
      </c>
      <c r="G13" s="2">
        <v>47</v>
      </c>
      <c r="H13" s="4" t="s">
        <v>163</v>
      </c>
      <c r="I13" s="2" t="s">
        <v>9</v>
      </c>
      <c r="J13" s="2"/>
      <c r="K13" s="5">
        <v>4.2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6.9</v>
      </c>
      <c r="F14" s="20">
        <f t="shared" si="1"/>
        <v>0</v>
      </c>
      <c r="G14" s="2">
        <v>48</v>
      </c>
      <c r="H14" s="4" t="s">
        <v>164</v>
      </c>
      <c r="I14" s="2" t="s">
        <v>9</v>
      </c>
      <c r="J14" s="2"/>
      <c r="K14" s="5">
        <v>4.2</v>
      </c>
      <c r="L14" s="5">
        <f t="shared" si="0"/>
        <v>0</v>
      </c>
    </row>
    <row r="15" spans="1:12" ht="13.15" customHeight="1">
      <c r="A15" s="2">
        <v>11</v>
      </c>
      <c r="B15" s="4" t="s">
        <v>165</v>
      </c>
      <c r="C15" s="2" t="s">
        <v>9</v>
      </c>
      <c r="D15" s="2"/>
      <c r="E15" s="5">
        <v>5.2</v>
      </c>
      <c r="F15" s="20">
        <f t="shared" si="1"/>
        <v>0</v>
      </c>
      <c r="G15" s="2">
        <v>49</v>
      </c>
      <c r="H15" s="4" t="s">
        <v>166</v>
      </c>
      <c r="I15" s="2" t="s">
        <v>9</v>
      </c>
      <c r="J15" s="2"/>
      <c r="K15" s="5">
        <v>4.2</v>
      </c>
      <c r="L15" s="5">
        <f t="shared" si="0"/>
        <v>0</v>
      </c>
    </row>
    <row r="16" spans="1:12" ht="13.15" customHeight="1">
      <c r="A16" s="2">
        <v>12</v>
      </c>
      <c r="B16" s="4" t="s">
        <v>167</v>
      </c>
      <c r="C16" s="2" t="s">
        <v>9</v>
      </c>
      <c r="D16" s="2"/>
      <c r="E16" s="5">
        <v>7.2</v>
      </c>
      <c r="F16" s="20">
        <f>D16*E16</f>
        <v>0</v>
      </c>
      <c r="G16" s="2">
        <v>50</v>
      </c>
      <c r="H16" s="4" t="s">
        <v>168</v>
      </c>
      <c r="I16" s="2" t="s">
        <v>9</v>
      </c>
      <c r="J16" s="2"/>
      <c r="K16" s="5">
        <v>0</v>
      </c>
      <c r="L16" s="5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7.8</v>
      </c>
      <c r="F17" s="20">
        <f t="shared" si="1"/>
        <v>0</v>
      </c>
      <c r="G17" s="2">
        <v>51</v>
      </c>
      <c r="H17" s="4" t="s">
        <v>169</v>
      </c>
      <c r="I17" s="2" t="s">
        <v>9</v>
      </c>
      <c r="J17" s="2"/>
      <c r="K17" s="5">
        <v>4.2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5.4</v>
      </c>
      <c r="F18" s="20">
        <f t="shared" si="1"/>
        <v>0</v>
      </c>
      <c r="G18" s="2">
        <v>52</v>
      </c>
      <c r="H18" s="4" t="s">
        <v>170</v>
      </c>
      <c r="I18" s="2" t="s">
        <v>9</v>
      </c>
      <c r="J18" s="2"/>
      <c r="K18" s="5">
        <v>3.8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</v>
      </c>
      <c r="F19" s="20">
        <f t="shared" si="1"/>
        <v>0</v>
      </c>
      <c r="G19" s="2">
        <v>53</v>
      </c>
      <c r="H19" s="4" t="s">
        <v>171</v>
      </c>
      <c r="I19" s="2" t="s">
        <v>9</v>
      </c>
      <c r="J19" s="2"/>
      <c r="K19" s="5">
        <v>3.8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3</v>
      </c>
      <c r="F20" s="20">
        <f t="shared" si="1"/>
        <v>0</v>
      </c>
      <c r="G20" s="2">
        <v>54</v>
      </c>
      <c r="H20" s="4" t="s">
        <v>172</v>
      </c>
      <c r="I20" s="2" t="s">
        <v>9</v>
      </c>
      <c r="J20" s="2"/>
      <c r="K20" s="5">
        <v>3.8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1.7</v>
      </c>
      <c r="F21" s="20">
        <f t="shared" si="1"/>
        <v>0</v>
      </c>
      <c r="G21" s="2">
        <v>55</v>
      </c>
      <c r="H21" s="4" t="s">
        <v>173</v>
      </c>
      <c r="I21" s="2" t="s">
        <v>9</v>
      </c>
      <c r="J21" s="2"/>
      <c r="K21" s="5">
        <v>3.8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7.5</v>
      </c>
      <c r="F22" s="20">
        <f t="shared" si="1"/>
        <v>0</v>
      </c>
      <c r="G22" s="2">
        <v>56</v>
      </c>
      <c r="H22" s="4" t="s">
        <v>174</v>
      </c>
      <c r="I22" s="2" t="s">
        <v>9</v>
      </c>
      <c r="J22" s="2"/>
      <c r="K22" s="5">
        <v>10</v>
      </c>
      <c r="L22" s="5">
        <f t="shared" si="0"/>
        <v>0</v>
      </c>
    </row>
    <row r="23" spans="1:12" ht="13.15" customHeight="1">
      <c r="A23" s="2">
        <v>19</v>
      </c>
      <c r="B23" s="4" t="s">
        <v>175</v>
      </c>
      <c r="C23" s="2" t="s">
        <v>9</v>
      </c>
      <c r="D23" s="2"/>
      <c r="E23" s="5">
        <v>8</v>
      </c>
      <c r="F23" s="20">
        <f t="shared" si="1"/>
        <v>0</v>
      </c>
      <c r="G23" s="2">
        <v>57</v>
      </c>
      <c r="H23" s="4" t="s">
        <v>176</v>
      </c>
      <c r="I23" s="2" t="s">
        <v>9</v>
      </c>
      <c r="J23" s="4"/>
      <c r="K23" s="2">
        <v>8.8000000000000007</v>
      </c>
      <c r="L23" s="5">
        <f t="shared" si="0"/>
        <v>0</v>
      </c>
    </row>
    <row r="24" spans="1:12" ht="13.15" customHeight="1">
      <c r="A24" s="2">
        <v>20</v>
      </c>
      <c r="B24" s="4" t="s">
        <v>177</v>
      </c>
      <c r="C24" s="2" t="s">
        <v>9</v>
      </c>
      <c r="D24" s="2"/>
      <c r="E24" s="5">
        <v>8.4</v>
      </c>
      <c r="F24" s="20">
        <f t="shared" si="1"/>
        <v>0</v>
      </c>
      <c r="G24" s="2">
        <v>58</v>
      </c>
      <c r="H24" s="4" t="s">
        <v>178</v>
      </c>
      <c r="I24" s="2" t="s">
        <v>9</v>
      </c>
      <c r="J24" s="4"/>
      <c r="K24" s="2">
        <v>7.2</v>
      </c>
      <c r="L24" s="5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8.8000000000000007</v>
      </c>
      <c r="F25" s="20">
        <f t="shared" si="1"/>
        <v>0</v>
      </c>
      <c r="G25" s="2">
        <v>59</v>
      </c>
      <c r="H25" s="4" t="s">
        <v>179</v>
      </c>
      <c r="I25" s="2" t="s">
        <v>9</v>
      </c>
      <c r="J25" s="4"/>
      <c r="K25" s="2">
        <v>8.5</v>
      </c>
      <c r="L25" s="5">
        <f t="shared" si="0"/>
        <v>0</v>
      </c>
    </row>
    <row r="26" spans="1:12" ht="13.15" customHeight="1">
      <c r="A26" s="2">
        <v>22</v>
      </c>
      <c r="B26" s="4" t="s">
        <v>180</v>
      </c>
      <c r="C26" s="2" t="s">
        <v>9</v>
      </c>
      <c r="D26" s="2"/>
      <c r="E26" s="5">
        <v>6</v>
      </c>
      <c r="F26" s="20">
        <f t="shared" si="1"/>
        <v>0</v>
      </c>
      <c r="G26" s="2">
        <v>60</v>
      </c>
      <c r="H26" s="4" t="s">
        <v>131</v>
      </c>
      <c r="I26" s="2" t="s">
        <v>9</v>
      </c>
      <c r="J26" s="4"/>
      <c r="K26" s="2">
        <v>4.2</v>
      </c>
      <c r="L26" s="5">
        <f t="shared" si="0"/>
        <v>0</v>
      </c>
    </row>
    <row r="27" spans="1:12" ht="13.15" customHeight="1">
      <c r="A27" s="2">
        <v>23</v>
      </c>
      <c r="B27" s="4" t="s">
        <v>181</v>
      </c>
      <c r="C27" s="2" t="s">
        <v>9</v>
      </c>
      <c r="D27" s="2"/>
      <c r="E27" s="5">
        <v>3.8</v>
      </c>
      <c r="F27" s="20">
        <f t="shared" si="1"/>
        <v>0</v>
      </c>
      <c r="G27" s="2">
        <v>61</v>
      </c>
      <c r="H27" s="4" t="s">
        <v>182</v>
      </c>
      <c r="I27" s="2" t="s">
        <v>9</v>
      </c>
      <c r="J27" s="4"/>
      <c r="K27" s="2">
        <v>13.5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6.3</v>
      </c>
      <c r="F28" s="20">
        <f t="shared" si="1"/>
        <v>0</v>
      </c>
      <c r="G28" s="2">
        <v>62</v>
      </c>
      <c r="H28" s="4" t="s">
        <v>183</v>
      </c>
      <c r="I28" s="2" t="s">
        <v>9</v>
      </c>
      <c r="J28" s="4"/>
      <c r="K28" s="2">
        <v>12.8</v>
      </c>
      <c r="L28" s="5">
        <f t="shared" si="0"/>
        <v>0</v>
      </c>
    </row>
    <row r="29" spans="1:12" ht="13.15" customHeight="1">
      <c r="A29" s="2">
        <v>25</v>
      </c>
      <c r="B29" s="4" t="s">
        <v>184</v>
      </c>
      <c r="C29" s="2" t="s">
        <v>9</v>
      </c>
      <c r="D29" s="2"/>
      <c r="E29" s="5">
        <v>7.7</v>
      </c>
      <c r="F29" s="20">
        <f t="shared" si="1"/>
        <v>0</v>
      </c>
      <c r="G29" s="2">
        <v>63</v>
      </c>
      <c r="H29" s="4" t="s">
        <v>185</v>
      </c>
      <c r="I29" s="2" t="s">
        <v>9</v>
      </c>
      <c r="J29" s="4"/>
      <c r="K29" s="2">
        <v>8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6.2</v>
      </c>
      <c r="F30" s="5">
        <f t="shared" si="1"/>
        <v>0</v>
      </c>
      <c r="G30" s="2">
        <v>64</v>
      </c>
      <c r="H30" s="4" t="s">
        <v>186</v>
      </c>
      <c r="I30" s="2" t="s">
        <v>9</v>
      </c>
      <c r="J30" s="4"/>
      <c r="K30" s="2">
        <v>7.25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7</v>
      </c>
      <c r="F31" s="5">
        <f t="shared" si="1"/>
        <v>0</v>
      </c>
      <c r="G31" s="2">
        <v>65</v>
      </c>
      <c r="H31" s="4" t="s">
        <v>187</v>
      </c>
      <c r="I31" s="2" t="s">
        <v>9</v>
      </c>
      <c r="J31" s="4"/>
      <c r="K31" s="2">
        <v>10.8</v>
      </c>
      <c r="L31" s="5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10</v>
      </c>
      <c r="F32" s="20">
        <f t="shared" si="1"/>
        <v>0</v>
      </c>
      <c r="G32" s="2">
        <v>66</v>
      </c>
      <c r="H32" s="4" t="s">
        <v>188</v>
      </c>
      <c r="I32" s="2" t="s">
        <v>9</v>
      </c>
      <c r="J32" s="4"/>
      <c r="K32" s="2">
        <v>3.8</v>
      </c>
      <c r="L32" s="5">
        <f t="shared" si="0"/>
        <v>0</v>
      </c>
    </row>
    <row r="33" spans="1:12" ht="13.15" customHeight="1">
      <c r="A33" s="2">
        <v>29</v>
      </c>
      <c r="B33" s="4" t="s">
        <v>189</v>
      </c>
      <c r="C33" s="2" t="s">
        <v>9</v>
      </c>
      <c r="D33" s="2"/>
      <c r="E33" s="5">
        <v>1.5</v>
      </c>
      <c r="F33" s="5">
        <f t="shared" si="1"/>
        <v>0</v>
      </c>
      <c r="G33" s="2">
        <v>67</v>
      </c>
      <c r="H33" s="4" t="s">
        <v>190</v>
      </c>
      <c r="I33" s="2" t="s">
        <v>9</v>
      </c>
      <c r="J33" s="4"/>
      <c r="K33" s="2">
        <v>6.7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7.9</v>
      </c>
      <c r="F34" s="5">
        <f t="shared" si="1"/>
        <v>0</v>
      </c>
      <c r="G34" s="2">
        <v>68</v>
      </c>
      <c r="H34" s="4" t="s">
        <v>191</v>
      </c>
      <c r="I34" s="2" t="s">
        <v>9</v>
      </c>
      <c r="J34" s="4"/>
      <c r="K34" s="2">
        <v>6.7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7</v>
      </c>
      <c r="F35" s="20">
        <f t="shared" si="1"/>
        <v>0</v>
      </c>
      <c r="G35" s="2">
        <v>69</v>
      </c>
      <c r="H35" s="4" t="s">
        <v>192</v>
      </c>
      <c r="I35" s="2" t="s">
        <v>9</v>
      </c>
      <c r="J35" s="4"/>
      <c r="K35" s="2">
        <v>4.8</v>
      </c>
      <c r="L35" s="5">
        <f>J35*K35</f>
        <v>0</v>
      </c>
    </row>
    <row r="36" spans="1:12" ht="13.15" customHeight="1">
      <c r="A36" s="2">
        <v>32</v>
      </c>
      <c r="B36" s="4" t="s">
        <v>193</v>
      </c>
      <c r="C36" s="2" t="s">
        <v>9</v>
      </c>
      <c r="D36" s="2"/>
      <c r="E36" s="5">
        <v>10.25</v>
      </c>
      <c r="F36" s="20">
        <f>D36*E36</f>
        <v>0</v>
      </c>
      <c r="G36" s="2">
        <v>70</v>
      </c>
      <c r="H36" s="4" t="s">
        <v>194</v>
      </c>
      <c r="I36" s="2" t="s">
        <v>9</v>
      </c>
      <c r="J36" s="4"/>
      <c r="K36" s="2">
        <v>7.25</v>
      </c>
      <c r="L36" s="5">
        <f>J36*K36</f>
        <v>0</v>
      </c>
    </row>
    <row r="37" spans="1:12" ht="13.15" customHeight="1">
      <c r="A37" s="2">
        <v>33</v>
      </c>
      <c r="B37" s="4" t="s">
        <v>195</v>
      </c>
      <c r="C37" s="2" t="s">
        <v>9</v>
      </c>
      <c r="D37" s="2"/>
      <c r="E37" s="5">
        <v>6</v>
      </c>
      <c r="F37" s="20">
        <f>D37*E37</f>
        <v>0</v>
      </c>
      <c r="G37" s="2">
        <v>71</v>
      </c>
      <c r="H37" s="4" t="s">
        <v>196</v>
      </c>
      <c r="I37" s="2" t="s">
        <v>9</v>
      </c>
      <c r="J37" s="4"/>
      <c r="K37" s="2">
        <v>5.4</v>
      </c>
      <c r="L37" s="5">
        <f>J37*K37</f>
        <v>0</v>
      </c>
    </row>
    <row r="38" spans="1:12" ht="13.15" customHeight="1">
      <c r="A38" s="2">
        <v>34</v>
      </c>
      <c r="B38" s="4"/>
      <c r="C38" s="2" t="s">
        <v>9</v>
      </c>
      <c r="D38" s="2"/>
      <c r="E38" s="5">
        <v>0</v>
      </c>
      <c r="F38" s="20">
        <f>D38*E38</f>
        <v>0</v>
      </c>
      <c r="G38" s="2">
        <v>72</v>
      </c>
      <c r="H38" s="4" t="s">
        <v>197</v>
      </c>
      <c r="I38" s="2" t="s">
        <v>9</v>
      </c>
      <c r="J38" s="4">
        <v>95</v>
      </c>
      <c r="K38" s="2">
        <v>8.5</v>
      </c>
      <c r="L38" s="5">
        <f>J38*K38</f>
        <v>807.5</v>
      </c>
    </row>
    <row r="39" spans="1:12" ht="13.15" customHeight="1">
      <c r="A39" s="2">
        <v>35</v>
      </c>
      <c r="B39" s="4" t="s">
        <v>198</v>
      </c>
      <c r="C39" s="2" t="s">
        <v>9</v>
      </c>
      <c r="D39" s="2"/>
      <c r="E39" s="5">
        <v>8.5</v>
      </c>
      <c r="F39" s="20">
        <f>D39*E39</f>
        <v>0</v>
      </c>
      <c r="G39" s="2">
        <v>73</v>
      </c>
      <c r="H39" s="4" t="s">
        <v>199</v>
      </c>
      <c r="I39" s="2" t="s">
        <v>9</v>
      </c>
      <c r="J39" s="4"/>
      <c r="K39" s="2">
        <v>6.7</v>
      </c>
      <c r="L39" s="5">
        <f>J39*K39</f>
        <v>0</v>
      </c>
    </row>
    <row r="40" spans="1:12" ht="13.15" customHeight="1">
      <c r="K40" t="s">
        <v>200</v>
      </c>
      <c r="L40" s="25">
        <f>F5+F6+F7+F8+F9+F10+F11+F12+F13+F14+F15+F16+F17+F18+F19+F20+F21+F22+F23+F24+F25+F26+F27+F28+F29+F30+F31+F32+F33+F34+F35+F36+F37+F38+F39+L2+L3+L4+L5+L6+L7+L8+L9+L10+L11+L12+L13+L14+L15+L16+L17+L18+L19+L20+L21+L22+L23+L24+L25+L26+L27+L28+L29+L30+L31+L32+L33+L34+L35+L36+L37+L38+L39</f>
        <v>807.5</v>
      </c>
    </row>
    <row r="42" spans="1:12" ht="13.15" customHeight="1">
      <c r="H42" t="s">
        <v>201</v>
      </c>
      <c r="J42" t="s">
        <v>202</v>
      </c>
    </row>
  </sheetData>
  <mergeCells count="4">
    <mergeCell ref="A1:C1"/>
    <mergeCell ref="D1:F1"/>
    <mergeCell ref="A2:F2"/>
    <mergeCell ref="A3:F3"/>
  </mergeCells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>
  <sheetPr codeName="Лист73"/>
  <dimension ref="A1:L42"/>
  <sheetViews>
    <sheetView topLeftCell="A22" workbookViewId="0">
      <selection activeCell="N51" sqref="N51"/>
    </sheetView>
  </sheetViews>
  <sheetFormatPr defaultRowHeight="13.15" customHeight="1"/>
  <cols>
    <col min="1" max="1" width="5" style="17" customWidth="1"/>
    <col min="2" max="2" width="30.28515625" customWidth="1"/>
    <col min="3" max="3" width="6.85546875" customWidth="1"/>
    <col min="4" max="4" width="6.5703125" customWidth="1"/>
    <col min="6" max="6" width="8.85546875" style="17"/>
    <col min="7" max="7" width="4.7109375" style="17" customWidth="1"/>
    <col min="8" max="8" width="24.7109375" customWidth="1"/>
    <col min="9" max="9" width="6.7109375" customWidth="1"/>
    <col min="10" max="10" width="7" customWidth="1"/>
    <col min="12" max="12" width="8.85546875" style="17"/>
  </cols>
  <sheetData>
    <row r="1" spans="1:12" ht="13.15" customHeight="1">
      <c r="A1" s="30" t="s">
        <v>147</v>
      </c>
      <c r="B1" s="30"/>
      <c r="C1" s="30"/>
      <c r="D1" s="31" t="s">
        <v>148</v>
      </c>
      <c r="E1" s="30"/>
      <c r="F1" s="30"/>
      <c r="G1" s="16"/>
      <c r="H1" s="2" t="s">
        <v>2</v>
      </c>
      <c r="I1" s="1" t="s">
        <v>3</v>
      </c>
      <c r="J1" s="2" t="s">
        <v>4</v>
      </c>
      <c r="K1" s="2" t="s">
        <v>149</v>
      </c>
      <c r="L1" s="2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150</v>
      </c>
      <c r="I2" s="2" t="s">
        <v>9</v>
      </c>
      <c r="J2" s="2"/>
      <c r="K2" s="5">
        <v>8.5</v>
      </c>
      <c r="L2" s="5">
        <f t="shared" ref="L2:L34" si="0"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151</v>
      </c>
      <c r="I3" s="2" t="s">
        <v>9</v>
      </c>
      <c r="J3" s="2"/>
      <c r="K3" s="5">
        <v>8.5</v>
      </c>
      <c r="L3" s="5">
        <f t="shared" si="0"/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152</v>
      </c>
      <c r="I4" s="2" t="s">
        <v>9</v>
      </c>
      <c r="J4" s="2"/>
      <c r="K4" s="5">
        <v>8.5</v>
      </c>
      <c r="L4" s="5">
        <f t="shared" si="0"/>
        <v>0</v>
      </c>
    </row>
    <row r="5" spans="1:12" ht="13.15" customHeight="1">
      <c r="A5" s="2">
        <v>1</v>
      </c>
      <c r="B5" s="4" t="s">
        <v>153</v>
      </c>
      <c r="C5" s="2" t="s">
        <v>9</v>
      </c>
      <c r="D5" s="2"/>
      <c r="E5" s="5">
        <v>8.8000000000000007</v>
      </c>
      <c r="F5" s="20">
        <f>D5*E5</f>
        <v>0</v>
      </c>
      <c r="G5" s="2">
        <v>39</v>
      </c>
      <c r="H5" s="4" t="s">
        <v>154</v>
      </c>
      <c r="I5" s="2" t="s">
        <v>9</v>
      </c>
      <c r="J5" s="2"/>
      <c r="K5" s="5">
        <v>8.5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5.7</v>
      </c>
      <c r="F6" s="20">
        <f t="shared" ref="F6:F35" si="1">D6*E6</f>
        <v>0</v>
      </c>
      <c r="G6" s="2">
        <v>40</v>
      </c>
      <c r="H6" s="4" t="s">
        <v>155</v>
      </c>
      <c r="I6" s="2" t="s">
        <v>9</v>
      </c>
      <c r="J6" s="2"/>
      <c r="K6" s="5">
        <v>8.5</v>
      </c>
      <c r="L6" s="5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6.3</v>
      </c>
      <c r="F7" s="20">
        <f t="shared" si="1"/>
        <v>0</v>
      </c>
      <c r="G7" s="2">
        <v>41</v>
      </c>
      <c r="H7" s="4" t="s">
        <v>157</v>
      </c>
      <c r="I7" s="2" t="s">
        <v>9</v>
      </c>
      <c r="J7" s="2"/>
      <c r="K7" s="5">
        <v>8.5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9</v>
      </c>
      <c r="F8" s="20">
        <f t="shared" si="1"/>
        <v>0</v>
      </c>
      <c r="G8" s="2">
        <v>42</v>
      </c>
      <c r="H8" s="4" t="s">
        <v>158</v>
      </c>
      <c r="I8" s="2" t="s">
        <v>9</v>
      </c>
      <c r="J8" s="2"/>
      <c r="K8" s="5">
        <v>3.3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5.8</v>
      </c>
      <c r="F9" s="20">
        <f t="shared" si="1"/>
        <v>0</v>
      </c>
      <c r="G9" s="2">
        <v>43</v>
      </c>
      <c r="H9" s="4" t="s">
        <v>159</v>
      </c>
      <c r="I9" s="2" t="s">
        <v>9</v>
      </c>
      <c r="J9" s="2"/>
      <c r="K9" s="5">
        <v>3.8</v>
      </c>
      <c r="L9" s="5">
        <f t="shared" si="0"/>
        <v>0</v>
      </c>
    </row>
    <row r="10" spans="1:12" ht="13.15" customHeight="1">
      <c r="A10" s="2">
        <v>6</v>
      </c>
      <c r="B10" s="4" t="s">
        <v>160</v>
      </c>
      <c r="C10" s="2" t="s">
        <v>9</v>
      </c>
      <c r="D10" s="2"/>
      <c r="E10" s="5">
        <v>7.4</v>
      </c>
      <c r="F10" s="20">
        <f t="shared" si="1"/>
        <v>0</v>
      </c>
      <c r="G10" s="2">
        <v>44</v>
      </c>
      <c r="H10" s="4" t="s">
        <v>13</v>
      </c>
      <c r="I10" s="2" t="s">
        <v>9</v>
      </c>
      <c r="J10" s="2"/>
      <c r="K10" s="5">
        <v>3.3</v>
      </c>
      <c r="L10" s="5">
        <f t="shared" si="0"/>
        <v>0</v>
      </c>
    </row>
    <row r="11" spans="1:12" ht="13.15" customHeight="1">
      <c r="A11" s="2">
        <v>7</v>
      </c>
      <c r="B11" s="4" t="s">
        <v>78</v>
      </c>
      <c r="C11" s="2" t="s">
        <v>9</v>
      </c>
      <c r="D11" s="2"/>
      <c r="E11" s="5">
        <v>8.1</v>
      </c>
      <c r="F11" s="20">
        <f t="shared" si="1"/>
        <v>0</v>
      </c>
      <c r="G11" s="2">
        <v>45</v>
      </c>
      <c r="H11" s="4" t="s">
        <v>17</v>
      </c>
      <c r="I11" s="2" t="s">
        <v>9</v>
      </c>
      <c r="J11" s="2"/>
      <c r="K11" s="5">
        <v>2.6</v>
      </c>
      <c r="L11" s="5">
        <f t="shared" si="0"/>
        <v>0</v>
      </c>
    </row>
    <row r="12" spans="1:12" ht="13.15" customHeight="1">
      <c r="A12" s="2">
        <v>8</v>
      </c>
      <c r="B12" s="4" t="s">
        <v>80</v>
      </c>
      <c r="C12" s="2" t="s">
        <v>9</v>
      </c>
      <c r="D12" s="2"/>
      <c r="E12" s="5">
        <v>5.4</v>
      </c>
      <c r="F12" s="20">
        <f t="shared" si="1"/>
        <v>0</v>
      </c>
      <c r="G12" s="2">
        <v>46</v>
      </c>
      <c r="H12" s="4" t="s">
        <v>161</v>
      </c>
      <c r="I12" s="2" t="s">
        <v>9</v>
      </c>
      <c r="J12" s="2"/>
      <c r="K12" s="5">
        <v>2.6</v>
      </c>
      <c r="L12" s="5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6.3</v>
      </c>
      <c r="F13" s="20">
        <f t="shared" si="1"/>
        <v>0</v>
      </c>
      <c r="G13" s="2">
        <v>47</v>
      </c>
      <c r="H13" s="4" t="s">
        <v>163</v>
      </c>
      <c r="I13" s="2" t="s">
        <v>9</v>
      </c>
      <c r="J13" s="2"/>
      <c r="K13" s="5">
        <v>4.2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6.9</v>
      </c>
      <c r="F14" s="20">
        <f t="shared" si="1"/>
        <v>0</v>
      </c>
      <c r="G14" s="2">
        <v>48</v>
      </c>
      <c r="H14" s="4" t="s">
        <v>164</v>
      </c>
      <c r="I14" s="2" t="s">
        <v>9</v>
      </c>
      <c r="J14" s="2"/>
      <c r="K14" s="5">
        <v>4.2</v>
      </c>
      <c r="L14" s="5">
        <f t="shared" si="0"/>
        <v>0</v>
      </c>
    </row>
    <row r="15" spans="1:12" ht="13.15" customHeight="1">
      <c r="A15" s="2">
        <v>11</v>
      </c>
      <c r="B15" s="4" t="s">
        <v>165</v>
      </c>
      <c r="C15" s="2" t="s">
        <v>9</v>
      </c>
      <c r="D15" s="2"/>
      <c r="E15" s="5">
        <v>5.2</v>
      </c>
      <c r="F15" s="20">
        <f t="shared" si="1"/>
        <v>0</v>
      </c>
      <c r="G15" s="2">
        <v>49</v>
      </c>
      <c r="H15" s="4" t="s">
        <v>166</v>
      </c>
      <c r="I15" s="2" t="s">
        <v>9</v>
      </c>
      <c r="J15" s="2"/>
      <c r="K15" s="5">
        <v>4.2</v>
      </c>
      <c r="L15" s="5">
        <f t="shared" si="0"/>
        <v>0</v>
      </c>
    </row>
    <row r="16" spans="1:12" ht="13.15" customHeight="1">
      <c r="A16" s="2">
        <v>12</v>
      </c>
      <c r="B16" s="4" t="s">
        <v>167</v>
      </c>
      <c r="C16" s="2" t="s">
        <v>9</v>
      </c>
      <c r="D16" s="2"/>
      <c r="E16" s="5">
        <v>7.2</v>
      </c>
      <c r="F16" s="20">
        <f>D16*E16</f>
        <v>0</v>
      </c>
      <c r="G16" s="2">
        <v>50</v>
      </c>
      <c r="H16" s="4" t="s">
        <v>168</v>
      </c>
      <c r="I16" s="2" t="s">
        <v>9</v>
      </c>
      <c r="J16" s="2"/>
      <c r="K16" s="5">
        <v>0</v>
      </c>
      <c r="L16" s="5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7.8</v>
      </c>
      <c r="F17" s="20">
        <f t="shared" si="1"/>
        <v>0</v>
      </c>
      <c r="G17" s="2">
        <v>51</v>
      </c>
      <c r="H17" s="4" t="s">
        <v>169</v>
      </c>
      <c r="I17" s="2" t="s">
        <v>9</v>
      </c>
      <c r="J17" s="2"/>
      <c r="K17" s="5">
        <v>4.2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5.4</v>
      </c>
      <c r="F18" s="20">
        <f t="shared" si="1"/>
        <v>0</v>
      </c>
      <c r="G18" s="2">
        <v>52</v>
      </c>
      <c r="H18" s="4" t="s">
        <v>170</v>
      </c>
      <c r="I18" s="2" t="s">
        <v>9</v>
      </c>
      <c r="J18" s="2"/>
      <c r="K18" s="5">
        <v>3.8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</v>
      </c>
      <c r="F19" s="20">
        <f t="shared" si="1"/>
        <v>0</v>
      </c>
      <c r="G19" s="2">
        <v>53</v>
      </c>
      <c r="H19" s="4" t="s">
        <v>171</v>
      </c>
      <c r="I19" s="2" t="s">
        <v>9</v>
      </c>
      <c r="J19" s="2"/>
      <c r="K19" s="5">
        <v>3.8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3</v>
      </c>
      <c r="F20" s="20">
        <f t="shared" si="1"/>
        <v>0</v>
      </c>
      <c r="G20" s="2">
        <v>54</v>
      </c>
      <c r="H20" s="4" t="s">
        <v>172</v>
      </c>
      <c r="I20" s="2" t="s">
        <v>9</v>
      </c>
      <c r="J20" s="2"/>
      <c r="K20" s="5">
        <v>3.8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1.7</v>
      </c>
      <c r="F21" s="20">
        <f t="shared" si="1"/>
        <v>0</v>
      </c>
      <c r="G21" s="2">
        <v>55</v>
      </c>
      <c r="H21" s="4" t="s">
        <v>173</v>
      </c>
      <c r="I21" s="2" t="s">
        <v>9</v>
      </c>
      <c r="J21" s="2"/>
      <c r="K21" s="5">
        <v>3.8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7.5</v>
      </c>
      <c r="F22" s="20">
        <f t="shared" si="1"/>
        <v>0</v>
      </c>
      <c r="G22" s="2">
        <v>56</v>
      </c>
      <c r="H22" s="4" t="s">
        <v>174</v>
      </c>
      <c r="I22" s="2" t="s">
        <v>9</v>
      </c>
      <c r="J22" s="2"/>
      <c r="K22" s="5">
        <v>10</v>
      </c>
      <c r="L22" s="5">
        <f t="shared" si="0"/>
        <v>0</v>
      </c>
    </row>
    <row r="23" spans="1:12" ht="13.15" customHeight="1">
      <c r="A23" s="2">
        <v>19</v>
      </c>
      <c r="B23" s="4" t="s">
        <v>175</v>
      </c>
      <c r="C23" s="2" t="s">
        <v>9</v>
      </c>
      <c r="D23" s="2"/>
      <c r="E23" s="5">
        <v>8</v>
      </c>
      <c r="F23" s="20">
        <f t="shared" si="1"/>
        <v>0</v>
      </c>
      <c r="G23" s="2">
        <v>57</v>
      </c>
      <c r="H23" s="4" t="s">
        <v>176</v>
      </c>
      <c r="I23" s="2" t="s">
        <v>9</v>
      </c>
      <c r="J23" s="4"/>
      <c r="K23" s="2">
        <v>8.8000000000000007</v>
      </c>
      <c r="L23" s="5">
        <f t="shared" si="0"/>
        <v>0</v>
      </c>
    </row>
    <row r="24" spans="1:12" ht="13.15" customHeight="1">
      <c r="A24" s="2">
        <v>20</v>
      </c>
      <c r="B24" s="4" t="s">
        <v>177</v>
      </c>
      <c r="C24" s="2" t="s">
        <v>9</v>
      </c>
      <c r="D24" s="2"/>
      <c r="E24" s="5">
        <v>8.4</v>
      </c>
      <c r="F24" s="20">
        <f t="shared" si="1"/>
        <v>0</v>
      </c>
      <c r="G24" s="2">
        <v>58</v>
      </c>
      <c r="H24" s="4" t="s">
        <v>178</v>
      </c>
      <c r="I24" s="2" t="s">
        <v>9</v>
      </c>
      <c r="J24" s="4"/>
      <c r="K24" s="2">
        <v>7.2</v>
      </c>
      <c r="L24" s="5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8.8000000000000007</v>
      </c>
      <c r="F25" s="20">
        <f t="shared" si="1"/>
        <v>0</v>
      </c>
      <c r="G25" s="2">
        <v>59</v>
      </c>
      <c r="H25" s="4" t="s">
        <v>179</v>
      </c>
      <c r="I25" s="2" t="s">
        <v>9</v>
      </c>
      <c r="J25" s="4"/>
      <c r="K25" s="2">
        <v>8.5</v>
      </c>
      <c r="L25" s="5">
        <f t="shared" si="0"/>
        <v>0</v>
      </c>
    </row>
    <row r="26" spans="1:12" ht="13.15" customHeight="1">
      <c r="A26" s="2">
        <v>22</v>
      </c>
      <c r="B26" s="4" t="s">
        <v>180</v>
      </c>
      <c r="C26" s="2" t="s">
        <v>9</v>
      </c>
      <c r="D26" s="2"/>
      <c r="E26" s="5">
        <v>6</v>
      </c>
      <c r="F26" s="20">
        <f t="shared" si="1"/>
        <v>0</v>
      </c>
      <c r="G26" s="2">
        <v>60</v>
      </c>
      <c r="H26" s="4" t="s">
        <v>131</v>
      </c>
      <c r="I26" s="2" t="s">
        <v>9</v>
      </c>
      <c r="J26" s="4"/>
      <c r="K26" s="2">
        <v>4.2</v>
      </c>
      <c r="L26" s="5">
        <f t="shared" si="0"/>
        <v>0</v>
      </c>
    </row>
    <row r="27" spans="1:12" ht="13.15" customHeight="1">
      <c r="A27" s="2">
        <v>23</v>
      </c>
      <c r="B27" s="4" t="s">
        <v>181</v>
      </c>
      <c r="C27" s="2" t="s">
        <v>9</v>
      </c>
      <c r="D27" s="2"/>
      <c r="E27" s="5">
        <v>3.8</v>
      </c>
      <c r="F27" s="20">
        <f t="shared" si="1"/>
        <v>0</v>
      </c>
      <c r="G27" s="2">
        <v>61</v>
      </c>
      <c r="H27" s="4" t="s">
        <v>182</v>
      </c>
      <c r="I27" s="2" t="s">
        <v>9</v>
      </c>
      <c r="J27" s="4"/>
      <c r="K27" s="2">
        <v>13.5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6.3</v>
      </c>
      <c r="F28" s="20">
        <f t="shared" si="1"/>
        <v>0</v>
      </c>
      <c r="G28" s="2">
        <v>62</v>
      </c>
      <c r="H28" s="4" t="s">
        <v>183</v>
      </c>
      <c r="I28" s="2" t="s">
        <v>9</v>
      </c>
      <c r="J28" s="4"/>
      <c r="K28" s="2">
        <v>12.8</v>
      </c>
      <c r="L28" s="5">
        <f t="shared" si="0"/>
        <v>0</v>
      </c>
    </row>
    <row r="29" spans="1:12" ht="13.15" customHeight="1">
      <c r="A29" s="2">
        <v>25</v>
      </c>
      <c r="B29" s="4" t="s">
        <v>184</v>
      </c>
      <c r="C29" s="2" t="s">
        <v>9</v>
      </c>
      <c r="D29" s="2"/>
      <c r="E29" s="5">
        <v>7.7</v>
      </c>
      <c r="F29" s="20">
        <f t="shared" si="1"/>
        <v>0</v>
      </c>
      <c r="G29" s="2">
        <v>63</v>
      </c>
      <c r="H29" s="4" t="s">
        <v>185</v>
      </c>
      <c r="I29" s="2" t="s">
        <v>9</v>
      </c>
      <c r="J29" s="4"/>
      <c r="K29" s="2">
        <v>8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6.2</v>
      </c>
      <c r="F30" s="5">
        <f t="shared" si="1"/>
        <v>0</v>
      </c>
      <c r="G30" s="2">
        <v>64</v>
      </c>
      <c r="H30" s="4" t="s">
        <v>186</v>
      </c>
      <c r="I30" s="2" t="s">
        <v>9</v>
      </c>
      <c r="J30" s="4"/>
      <c r="K30" s="2">
        <v>7.25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7</v>
      </c>
      <c r="F31" s="5">
        <f t="shared" si="1"/>
        <v>0</v>
      </c>
      <c r="G31" s="2">
        <v>65</v>
      </c>
      <c r="H31" s="4" t="s">
        <v>187</v>
      </c>
      <c r="I31" s="2" t="s">
        <v>9</v>
      </c>
      <c r="J31" s="4"/>
      <c r="K31" s="2">
        <v>10.8</v>
      </c>
      <c r="L31" s="5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10</v>
      </c>
      <c r="F32" s="20">
        <f t="shared" si="1"/>
        <v>0</v>
      </c>
      <c r="G32" s="2">
        <v>66</v>
      </c>
      <c r="H32" s="4" t="s">
        <v>188</v>
      </c>
      <c r="I32" s="2" t="s">
        <v>9</v>
      </c>
      <c r="J32" s="4"/>
      <c r="K32" s="2">
        <v>3.8</v>
      </c>
      <c r="L32" s="5">
        <f t="shared" si="0"/>
        <v>0</v>
      </c>
    </row>
    <row r="33" spans="1:12" ht="13.15" customHeight="1">
      <c r="A33" s="2">
        <v>29</v>
      </c>
      <c r="B33" s="4" t="s">
        <v>189</v>
      </c>
      <c r="C33" s="2" t="s">
        <v>9</v>
      </c>
      <c r="D33" s="2"/>
      <c r="E33" s="5">
        <v>1.5</v>
      </c>
      <c r="F33" s="5">
        <f t="shared" si="1"/>
        <v>0</v>
      </c>
      <c r="G33" s="2">
        <v>67</v>
      </c>
      <c r="H33" s="4" t="s">
        <v>190</v>
      </c>
      <c r="I33" s="2" t="s">
        <v>9</v>
      </c>
      <c r="J33" s="4"/>
      <c r="K33" s="2">
        <v>6.7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7.9</v>
      </c>
      <c r="F34" s="5">
        <f t="shared" si="1"/>
        <v>0</v>
      </c>
      <c r="G34" s="2">
        <v>68</v>
      </c>
      <c r="H34" s="4" t="s">
        <v>191</v>
      </c>
      <c r="I34" s="2" t="s">
        <v>9</v>
      </c>
      <c r="J34" s="4"/>
      <c r="K34" s="2">
        <v>6.7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7</v>
      </c>
      <c r="F35" s="20">
        <f t="shared" si="1"/>
        <v>0</v>
      </c>
      <c r="G35" s="2">
        <v>69</v>
      </c>
      <c r="H35" s="4" t="s">
        <v>192</v>
      </c>
      <c r="I35" s="2" t="s">
        <v>9</v>
      </c>
      <c r="J35" s="4"/>
      <c r="K35" s="2">
        <v>4.8</v>
      </c>
      <c r="L35" s="5">
        <f>J35*K35</f>
        <v>0</v>
      </c>
    </row>
    <row r="36" spans="1:12" ht="13.15" customHeight="1">
      <c r="A36" s="2">
        <v>32</v>
      </c>
      <c r="B36" s="4" t="s">
        <v>193</v>
      </c>
      <c r="C36" s="2" t="s">
        <v>9</v>
      </c>
      <c r="D36" s="2"/>
      <c r="E36" s="5">
        <v>10.25</v>
      </c>
      <c r="F36" s="20">
        <f>D36*E36</f>
        <v>0</v>
      </c>
      <c r="G36" s="2">
        <v>70</v>
      </c>
      <c r="H36" s="4" t="s">
        <v>194</v>
      </c>
      <c r="I36" s="2" t="s">
        <v>9</v>
      </c>
      <c r="J36" s="4"/>
      <c r="K36" s="2">
        <v>7.25</v>
      </c>
      <c r="L36" s="5">
        <f>J36*K36</f>
        <v>0</v>
      </c>
    </row>
    <row r="37" spans="1:12" ht="13.15" customHeight="1">
      <c r="A37" s="2">
        <v>33</v>
      </c>
      <c r="B37" s="4" t="s">
        <v>195</v>
      </c>
      <c r="C37" s="2" t="s">
        <v>9</v>
      </c>
      <c r="D37" s="2"/>
      <c r="E37" s="5">
        <v>6</v>
      </c>
      <c r="F37" s="20">
        <f>D37*E37</f>
        <v>0</v>
      </c>
      <c r="G37" s="2">
        <v>71</v>
      </c>
      <c r="H37" s="4" t="s">
        <v>196</v>
      </c>
      <c r="I37" s="2" t="s">
        <v>9</v>
      </c>
      <c r="J37" s="4"/>
      <c r="K37" s="2">
        <v>5.4</v>
      </c>
      <c r="L37" s="5">
        <f>J37*K37</f>
        <v>0</v>
      </c>
    </row>
    <row r="38" spans="1:12" ht="13.15" customHeight="1">
      <c r="A38" s="2">
        <v>34</v>
      </c>
      <c r="B38" s="4"/>
      <c r="C38" s="2" t="s">
        <v>9</v>
      </c>
      <c r="D38" s="2"/>
      <c r="E38" s="5">
        <v>0</v>
      </c>
      <c r="F38" s="20">
        <f>D38*E38</f>
        <v>0</v>
      </c>
      <c r="G38" s="2">
        <v>72</v>
      </c>
      <c r="H38" s="4" t="s">
        <v>197</v>
      </c>
      <c r="I38" s="2" t="s">
        <v>9</v>
      </c>
      <c r="J38" s="4"/>
      <c r="K38" s="2">
        <v>8.5</v>
      </c>
      <c r="L38" s="5">
        <f>J38*K38</f>
        <v>0</v>
      </c>
    </row>
    <row r="39" spans="1:12" ht="13.15" customHeight="1">
      <c r="A39" s="2">
        <v>35</v>
      </c>
      <c r="B39" s="4" t="s">
        <v>198</v>
      </c>
      <c r="C39" s="2" t="s">
        <v>9</v>
      </c>
      <c r="D39" s="2"/>
      <c r="E39" s="5">
        <v>8.5</v>
      </c>
      <c r="F39" s="20">
        <f>D39*E39</f>
        <v>0</v>
      </c>
      <c r="G39" s="2">
        <v>73</v>
      </c>
      <c r="H39" s="4" t="s">
        <v>199</v>
      </c>
      <c r="I39" s="2" t="s">
        <v>9</v>
      </c>
      <c r="J39" s="4"/>
      <c r="K39" s="2">
        <v>6.7</v>
      </c>
      <c r="L39" s="5">
        <f>J39*K39</f>
        <v>0</v>
      </c>
    </row>
    <row r="40" spans="1:12" ht="13.15" customHeight="1">
      <c r="K40" t="s">
        <v>200</v>
      </c>
      <c r="L40" s="25">
        <f>F5+F6+F7+F8+F9+F10+F11+F12+F13+F14+F15+F16+F17+F18+F19+F20+F21+F22+F23+F24+F25+F26+F27+F28+F29+F30+F31+F32+F33+F34+F35+F36+F37+F38+F39+L2+L3+L4+L5+L6+L7+L8+L9+L10+L11+L12+L13+L14+L15+L16+L17+L18+L19+L20+L21+L22+L23+L24+L25+L26+L27+L28+L29+L30+L31+L32+L33+L34+L35+L36+L37+L38+L39</f>
        <v>0</v>
      </c>
    </row>
    <row r="42" spans="1:12" ht="13.15" customHeight="1">
      <c r="H42" t="s">
        <v>201</v>
      </c>
      <c r="J42" t="s">
        <v>202</v>
      </c>
    </row>
  </sheetData>
  <mergeCells count="4">
    <mergeCell ref="A1:C1"/>
    <mergeCell ref="D1:F1"/>
    <mergeCell ref="A2:F2"/>
    <mergeCell ref="A3:F3"/>
  </mergeCells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>
  <sheetPr codeName="Лист74"/>
  <dimension ref="A1:L42"/>
  <sheetViews>
    <sheetView topLeftCell="A22" workbookViewId="0">
      <selection activeCell="N51" sqref="N51"/>
    </sheetView>
  </sheetViews>
  <sheetFormatPr defaultRowHeight="13.15" customHeight="1"/>
  <cols>
    <col min="1" max="1" width="5" style="17" customWidth="1"/>
    <col min="2" max="2" width="30.28515625" customWidth="1"/>
    <col min="3" max="3" width="6.85546875" customWidth="1"/>
    <col min="4" max="4" width="6.5703125" customWidth="1"/>
    <col min="6" max="6" width="8.85546875" style="17"/>
    <col min="7" max="7" width="4.7109375" style="17" customWidth="1"/>
    <col min="8" max="8" width="24.7109375" customWidth="1"/>
    <col min="9" max="9" width="6.7109375" customWidth="1"/>
    <col min="10" max="10" width="7" customWidth="1"/>
    <col min="12" max="12" width="8.85546875" style="17"/>
  </cols>
  <sheetData>
    <row r="1" spans="1:12" ht="13.15" customHeight="1">
      <c r="A1" s="30" t="s">
        <v>147</v>
      </c>
      <c r="B1" s="30"/>
      <c r="C1" s="30"/>
      <c r="D1" s="31" t="s">
        <v>148</v>
      </c>
      <c r="E1" s="30"/>
      <c r="F1" s="30"/>
      <c r="G1" s="16"/>
      <c r="H1" s="2" t="s">
        <v>2</v>
      </c>
      <c r="I1" s="1" t="s">
        <v>3</v>
      </c>
      <c r="J1" s="2" t="s">
        <v>4</v>
      </c>
      <c r="K1" s="2" t="s">
        <v>149</v>
      </c>
      <c r="L1" s="2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150</v>
      </c>
      <c r="I2" s="2" t="s">
        <v>9</v>
      </c>
      <c r="J2" s="2"/>
      <c r="K2" s="5">
        <v>8.5</v>
      </c>
      <c r="L2" s="5">
        <f t="shared" ref="L2:L34" si="0"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151</v>
      </c>
      <c r="I3" s="2" t="s">
        <v>9</v>
      </c>
      <c r="J3" s="2"/>
      <c r="K3" s="5">
        <v>8.5</v>
      </c>
      <c r="L3" s="5">
        <f t="shared" si="0"/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152</v>
      </c>
      <c r="I4" s="2" t="s">
        <v>9</v>
      </c>
      <c r="J4" s="2"/>
      <c r="K4" s="5">
        <v>8.5</v>
      </c>
      <c r="L4" s="5">
        <f t="shared" si="0"/>
        <v>0</v>
      </c>
    </row>
    <row r="5" spans="1:12" ht="13.15" customHeight="1">
      <c r="A5" s="2">
        <v>1</v>
      </c>
      <c r="B5" s="4" t="s">
        <v>153</v>
      </c>
      <c r="C5" s="2" t="s">
        <v>9</v>
      </c>
      <c r="D5" s="2"/>
      <c r="E5" s="5">
        <v>8.8000000000000007</v>
      </c>
      <c r="F5" s="20">
        <f>D5*E5</f>
        <v>0</v>
      </c>
      <c r="G5" s="2">
        <v>39</v>
      </c>
      <c r="H5" s="4" t="s">
        <v>154</v>
      </c>
      <c r="I5" s="2" t="s">
        <v>9</v>
      </c>
      <c r="J5" s="2"/>
      <c r="K5" s="5">
        <v>8.5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5.7</v>
      </c>
      <c r="F6" s="20">
        <f t="shared" ref="F6:F35" si="1">D6*E6</f>
        <v>0</v>
      </c>
      <c r="G6" s="2">
        <v>40</v>
      </c>
      <c r="H6" s="4" t="s">
        <v>155</v>
      </c>
      <c r="I6" s="2" t="s">
        <v>9</v>
      </c>
      <c r="J6" s="2"/>
      <c r="K6" s="5">
        <v>8.5</v>
      </c>
      <c r="L6" s="5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6.3</v>
      </c>
      <c r="F7" s="20">
        <f t="shared" si="1"/>
        <v>0</v>
      </c>
      <c r="G7" s="2">
        <v>41</v>
      </c>
      <c r="H7" s="4" t="s">
        <v>157</v>
      </c>
      <c r="I7" s="2" t="s">
        <v>9</v>
      </c>
      <c r="J7" s="2"/>
      <c r="K7" s="5">
        <v>8.5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9</v>
      </c>
      <c r="F8" s="20">
        <f t="shared" si="1"/>
        <v>0</v>
      </c>
      <c r="G8" s="2">
        <v>42</v>
      </c>
      <c r="H8" s="4" t="s">
        <v>158</v>
      </c>
      <c r="I8" s="2" t="s">
        <v>9</v>
      </c>
      <c r="J8" s="2"/>
      <c r="K8" s="5">
        <v>3.3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5.8</v>
      </c>
      <c r="F9" s="20">
        <f t="shared" si="1"/>
        <v>0</v>
      </c>
      <c r="G9" s="2">
        <v>43</v>
      </c>
      <c r="H9" s="4" t="s">
        <v>159</v>
      </c>
      <c r="I9" s="2" t="s">
        <v>9</v>
      </c>
      <c r="J9" s="2"/>
      <c r="K9" s="5">
        <v>3.8</v>
      </c>
      <c r="L9" s="5">
        <f t="shared" si="0"/>
        <v>0</v>
      </c>
    </row>
    <row r="10" spans="1:12" ht="13.15" customHeight="1">
      <c r="A10" s="2">
        <v>6</v>
      </c>
      <c r="B10" s="4" t="s">
        <v>160</v>
      </c>
      <c r="C10" s="2" t="s">
        <v>9</v>
      </c>
      <c r="D10" s="2"/>
      <c r="E10" s="5">
        <v>7.4</v>
      </c>
      <c r="F10" s="20">
        <f t="shared" si="1"/>
        <v>0</v>
      </c>
      <c r="G10" s="2">
        <v>44</v>
      </c>
      <c r="H10" s="4" t="s">
        <v>13</v>
      </c>
      <c r="I10" s="2" t="s">
        <v>9</v>
      </c>
      <c r="J10" s="2"/>
      <c r="K10" s="5">
        <v>3.3</v>
      </c>
      <c r="L10" s="5">
        <f t="shared" si="0"/>
        <v>0</v>
      </c>
    </row>
    <row r="11" spans="1:12" ht="13.15" customHeight="1">
      <c r="A11" s="2">
        <v>7</v>
      </c>
      <c r="B11" s="4" t="s">
        <v>78</v>
      </c>
      <c r="C11" s="2" t="s">
        <v>9</v>
      </c>
      <c r="D11" s="2"/>
      <c r="E11" s="5">
        <v>8.1</v>
      </c>
      <c r="F11" s="20">
        <f t="shared" si="1"/>
        <v>0</v>
      </c>
      <c r="G11" s="2">
        <v>45</v>
      </c>
      <c r="H11" s="4" t="s">
        <v>17</v>
      </c>
      <c r="I11" s="2" t="s">
        <v>9</v>
      </c>
      <c r="J11" s="2"/>
      <c r="K11" s="5">
        <v>2.6</v>
      </c>
      <c r="L11" s="5">
        <f t="shared" si="0"/>
        <v>0</v>
      </c>
    </row>
    <row r="12" spans="1:12" ht="13.15" customHeight="1">
      <c r="A12" s="2">
        <v>8</v>
      </c>
      <c r="B12" s="4" t="s">
        <v>80</v>
      </c>
      <c r="C12" s="2" t="s">
        <v>9</v>
      </c>
      <c r="D12" s="2"/>
      <c r="E12" s="5">
        <v>5.4</v>
      </c>
      <c r="F12" s="20">
        <f t="shared" si="1"/>
        <v>0</v>
      </c>
      <c r="G12" s="2">
        <v>46</v>
      </c>
      <c r="H12" s="4" t="s">
        <v>161</v>
      </c>
      <c r="I12" s="2" t="s">
        <v>9</v>
      </c>
      <c r="J12" s="2"/>
      <c r="K12" s="5">
        <v>2.6</v>
      </c>
      <c r="L12" s="5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6.3</v>
      </c>
      <c r="F13" s="20">
        <f t="shared" si="1"/>
        <v>0</v>
      </c>
      <c r="G13" s="2">
        <v>47</v>
      </c>
      <c r="H13" s="4" t="s">
        <v>163</v>
      </c>
      <c r="I13" s="2" t="s">
        <v>9</v>
      </c>
      <c r="J13" s="2"/>
      <c r="K13" s="5">
        <v>4.2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6.9</v>
      </c>
      <c r="F14" s="20">
        <f t="shared" si="1"/>
        <v>0</v>
      </c>
      <c r="G14" s="2">
        <v>48</v>
      </c>
      <c r="H14" s="4" t="s">
        <v>164</v>
      </c>
      <c r="I14" s="2" t="s">
        <v>9</v>
      </c>
      <c r="J14" s="2"/>
      <c r="K14" s="5">
        <v>4.2</v>
      </c>
      <c r="L14" s="5">
        <f t="shared" si="0"/>
        <v>0</v>
      </c>
    </row>
    <row r="15" spans="1:12" ht="13.15" customHeight="1">
      <c r="A15" s="2">
        <v>11</v>
      </c>
      <c r="B15" s="4" t="s">
        <v>165</v>
      </c>
      <c r="C15" s="2" t="s">
        <v>9</v>
      </c>
      <c r="D15" s="2"/>
      <c r="E15" s="5">
        <v>5.2</v>
      </c>
      <c r="F15" s="20">
        <f t="shared" si="1"/>
        <v>0</v>
      </c>
      <c r="G15" s="2">
        <v>49</v>
      </c>
      <c r="H15" s="4" t="s">
        <v>166</v>
      </c>
      <c r="I15" s="2" t="s">
        <v>9</v>
      </c>
      <c r="J15" s="2"/>
      <c r="K15" s="5">
        <v>4.2</v>
      </c>
      <c r="L15" s="5">
        <f t="shared" si="0"/>
        <v>0</v>
      </c>
    </row>
    <row r="16" spans="1:12" ht="13.15" customHeight="1">
      <c r="A16" s="2">
        <v>12</v>
      </c>
      <c r="B16" s="4" t="s">
        <v>167</v>
      </c>
      <c r="C16" s="2" t="s">
        <v>9</v>
      </c>
      <c r="D16" s="2"/>
      <c r="E16" s="5">
        <v>7.2</v>
      </c>
      <c r="F16" s="20">
        <f>D16*E16</f>
        <v>0</v>
      </c>
      <c r="G16" s="2">
        <v>50</v>
      </c>
      <c r="H16" s="4" t="s">
        <v>168</v>
      </c>
      <c r="I16" s="2" t="s">
        <v>9</v>
      </c>
      <c r="J16" s="2"/>
      <c r="K16" s="5">
        <v>0</v>
      </c>
      <c r="L16" s="5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7.8</v>
      </c>
      <c r="F17" s="20">
        <f t="shared" si="1"/>
        <v>0</v>
      </c>
      <c r="G17" s="2">
        <v>51</v>
      </c>
      <c r="H17" s="4" t="s">
        <v>169</v>
      </c>
      <c r="I17" s="2" t="s">
        <v>9</v>
      </c>
      <c r="J17" s="2"/>
      <c r="K17" s="5">
        <v>4.2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5.4</v>
      </c>
      <c r="F18" s="20">
        <f t="shared" si="1"/>
        <v>0</v>
      </c>
      <c r="G18" s="2">
        <v>52</v>
      </c>
      <c r="H18" s="4" t="s">
        <v>170</v>
      </c>
      <c r="I18" s="2" t="s">
        <v>9</v>
      </c>
      <c r="J18" s="2"/>
      <c r="K18" s="5">
        <v>3.8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</v>
      </c>
      <c r="F19" s="20">
        <f t="shared" si="1"/>
        <v>0</v>
      </c>
      <c r="G19" s="2">
        <v>53</v>
      </c>
      <c r="H19" s="4" t="s">
        <v>171</v>
      </c>
      <c r="I19" s="2" t="s">
        <v>9</v>
      </c>
      <c r="J19" s="2"/>
      <c r="K19" s="5">
        <v>3.8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3</v>
      </c>
      <c r="F20" s="20">
        <f t="shared" si="1"/>
        <v>0</v>
      </c>
      <c r="G20" s="2">
        <v>54</v>
      </c>
      <c r="H20" s="4" t="s">
        <v>172</v>
      </c>
      <c r="I20" s="2" t="s">
        <v>9</v>
      </c>
      <c r="J20" s="2"/>
      <c r="K20" s="5">
        <v>3.8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1.7</v>
      </c>
      <c r="F21" s="20">
        <f t="shared" si="1"/>
        <v>0</v>
      </c>
      <c r="G21" s="2">
        <v>55</v>
      </c>
      <c r="H21" s="4" t="s">
        <v>173</v>
      </c>
      <c r="I21" s="2" t="s">
        <v>9</v>
      </c>
      <c r="J21" s="2"/>
      <c r="K21" s="5">
        <v>3.8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7.5</v>
      </c>
      <c r="F22" s="20">
        <f t="shared" si="1"/>
        <v>0</v>
      </c>
      <c r="G22" s="2">
        <v>56</v>
      </c>
      <c r="H22" s="4" t="s">
        <v>174</v>
      </c>
      <c r="I22" s="2" t="s">
        <v>9</v>
      </c>
      <c r="J22" s="2"/>
      <c r="K22" s="5">
        <v>10</v>
      </c>
      <c r="L22" s="5">
        <f t="shared" si="0"/>
        <v>0</v>
      </c>
    </row>
    <row r="23" spans="1:12" ht="13.15" customHeight="1">
      <c r="A23" s="2">
        <v>19</v>
      </c>
      <c r="B23" s="4" t="s">
        <v>175</v>
      </c>
      <c r="C23" s="2" t="s">
        <v>9</v>
      </c>
      <c r="D23" s="2"/>
      <c r="E23" s="5">
        <v>8</v>
      </c>
      <c r="F23" s="20">
        <f t="shared" si="1"/>
        <v>0</v>
      </c>
      <c r="G23" s="2">
        <v>57</v>
      </c>
      <c r="H23" s="4" t="s">
        <v>176</v>
      </c>
      <c r="I23" s="2" t="s">
        <v>9</v>
      </c>
      <c r="J23" s="4"/>
      <c r="K23" s="2">
        <v>8.8000000000000007</v>
      </c>
      <c r="L23" s="5">
        <f t="shared" si="0"/>
        <v>0</v>
      </c>
    </row>
    <row r="24" spans="1:12" ht="13.15" customHeight="1">
      <c r="A24" s="2">
        <v>20</v>
      </c>
      <c r="B24" s="4" t="s">
        <v>177</v>
      </c>
      <c r="C24" s="2" t="s">
        <v>9</v>
      </c>
      <c r="D24" s="2"/>
      <c r="E24" s="5">
        <v>8.4</v>
      </c>
      <c r="F24" s="20">
        <f t="shared" si="1"/>
        <v>0</v>
      </c>
      <c r="G24" s="2">
        <v>58</v>
      </c>
      <c r="H24" s="4" t="s">
        <v>178</v>
      </c>
      <c r="I24" s="2" t="s">
        <v>9</v>
      </c>
      <c r="J24" s="4"/>
      <c r="K24" s="2">
        <v>7.2</v>
      </c>
      <c r="L24" s="5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8.8000000000000007</v>
      </c>
      <c r="F25" s="20">
        <f t="shared" si="1"/>
        <v>0</v>
      </c>
      <c r="G25" s="2">
        <v>59</v>
      </c>
      <c r="H25" s="4" t="s">
        <v>179</v>
      </c>
      <c r="I25" s="2" t="s">
        <v>9</v>
      </c>
      <c r="J25" s="4"/>
      <c r="K25" s="2">
        <v>8.5</v>
      </c>
      <c r="L25" s="5">
        <f t="shared" si="0"/>
        <v>0</v>
      </c>
    </row>
    <row r="26" spans="1:12" ht="13.15" customHeight="1">
      <c r="A26" s="2">
        <v>22</v>
      </c>
      <c r="B26" s="4" t="s">
        <v>180</v>
      </c>
      <c r="C26" s="2" t="s">
        <v>9</v>
      </c>
      <c r="D26" s="2"/>
      <c r="E26" s="5">
        <v>6</v>
      </c>
      <c r="F26" s="20">
        <f t="shared" si="1"/>
        <v>0</v>
      </c>
      <c r="G26" s="2">
        <v>60</v>
      </c>
      <c r="H26" s="4" t="s">
        <v>131</v>
      </c>
      <c r="I26" s="2" t="s">
        <v>9</v>
      </c>
      <c r="J26" s="4"/>
      <c r="K26" s="2">
        <v>4.2</v>
      </c>
      <c r="L26" s="5">
        <f t="shared" si="0"/>
        <v>0</v>
      </c>
    </row>
    <row r="27" spans="1:12" ht="13.15" customHeight="1">
      <c r="A27" s="2">
        <v>23</v>
      </c>
      <c r="B27" s="4" t="s">
        <v>181</v>
      </c>
      <c r="C27" s="2" t="s">
        <v>9</v>
      </c>
      <c r="D27" s="2"/>
      <c r="E27" s="5">
        <v>3.8</v>
      </c>
      <c r="F27" s="20">
        <f t="shared" si="1"/>
        <v>0</v>
      </c>
      <c r="G27" s="2">
        <v>61</v>
      </c>
      <c r="H27" s="4" t="s">
        <v>182</v>
      </c>
      <c r="I27" s="2" t="s">
        <v>9</v>
      </c>
      <c r="J27" s="4"/>
      <c r="K27" s="2">
        <v>13.5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6.3</v>
      </c>
      <c r="F28" s="20">
        <f t="shared" si="1"/>
        <v>0</v>
      </c>
      <c r="G28" s="2">
        <v>62</v>
      </c>
      <c r="H28" s="4" t="s">
        <v>183</v>
      </c>
      <c r="I28" s="2" t="s">
        <v>9</v>
      </c>
      <c r="J28" s="4"/>
      <c r="K28" s="2">
        <v>12.8</v>
      </c>
      <c r="L28" s="5">
        <f t="shared" si="0"/>
        <v>0</v>
      </c>
    </row>
    <row r="29" spans="1:12" ht="13.15" customHeight="1">
      <c r="A29" s="2">
        <v>25</v>
      </c>
      <c r="B29" s="4" t="s">
        <v>184</v>
      </c>
      <c r="C29" s="2" t="s">
        <v>9</v>
      </c>
      <c r="D29" s="2"/>
      <c r="E29" s="5">
        <v>7.7</v>
      </c>
      <c r="F29" s="20">
        <f t="shared" si="1"/>
        <v>0</v>
      </c>
      <c r="G29" s="2">
        <v>63</v>
      </c>
      <c r="H29" s="4" t="s">
        <v>185</v>
      </c>
      <c r="I29" s="2" t="s">
        <v>9</v>
      </c>
      <c r="J29" s="4"/>
      <c r="K29" s="2">
        <v>8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6.2</v>
      </c>
      <c r="F30" s="5">
        <f t="shared" si="1"/>
        <v>0</v>
      </c>
      <c r="G30" s="2">
        <v>64</v>
      </c>
      <c r="H30" s="4" t="s">
        <v>186</v>
      </c>
      <c r="I30" s="2" t="s">
        <v>9</v>
      </c>
      <c r="J30" s="4"/>
      <c r="K30" s="2">
        <v>7.25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7</v>
      </c>
      <c r="F31" s="5">
        <f t="shared" si="1"/>
        <v>0</v>
      </c>
      <c r="G31" s="2">
        <v>65</v>
      </c>
      <c r="H31" s="4" t="s">
        <v>187</v>
      </c>
      <c r="I31" s="2" t="s">
        <v>9</v>
      </c>
      <c r="J31" s="4"/>
      <c r="K31" s="2">
        <v>10.8</v>
      </c>
      <c r="L31" s="5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10</v>
      </c>
      <c r="F32" s="20">
        <f t="shared" si="1"/>
        <v>0</v>
      </c>
      <c r="G32" s="2">
        <v>66</v>
      </c>
      <c r="H32" s="4" t="s">
        <v>188</v>
      </c>
      <c r="I32" s="2" t="s">
        <v>9</v>
      </c>
      <c r="J32" s="4"/>
      <c r="K32" s="2">
        <v>3.8</v>
      </c>
      <c r="L32" s="5">
        <f t="shared" si="0"/>
        <v>0</v>
      </c>
    </row>
    <row r="33" spans="1:12" ht="13.15" customHeight="1">
      <c r="A33" s="2">
        <v>29</v>
      </c>
      <c r="B33" s="4" t="s">
        <v>189</v>
      </c>
      <c r="C33" s="2" t="s">
        <v>9</v>
      </c>
      <c r="D33" s="2"/>
      <c r="E33" s="5">
        <v>1.5</v>
      </c>
      <c r="F33" s="5">
        <f t="shared" si="1"/>
        <v>0</v>
      </c>
      <c r="G33" s="2">
        <v>67</v>
      </c>
      <c r="H33" s="4" t="s">
        <v>190</v>
      </c>
      <c r="I33" s="2" t="s">
        <v>9</v>
      </c>
      <c r="J33" s="4"/>
      <c r="K33" s="2">
        <v>6.7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7.9</v>
      </c>
      <c r="F34" s="5">
        <f t="shared" si="1"/>
        <v>0</v>
      </c>
      <c r="G34" s="2">
        <v>68</v>
      </c>
      <c r="H34" s="4" t="s">
        <v>191</v>
      </c>
      <c r="I34" s="2" t="s">
        <v>9</v>
      </c>
      <c r="J34" s="4"/>
      <c r="K34" s="2">
        <v>6.7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7</v>
      </c>
      <c r="F35" s="20">
        <f t="shared" si="1"/>
        <v>0</v>
      </c>
      <c r="G35" s="2">
        <v>69</v>
      </c>
      <c r="H35" s="4" t="s">
        <v>192</v>
      </c>
      <c r="I35" s="2" t="s">
        <v>9</v>
      </c>
      <c r="J35" s="4"/>
      <c r="K35" s="2">
        <v>4.8</v>
      </c>
      <c r="L35" s="5">
        <f>J35*K35</f>
        <v>0</v>
      </c>
    </row>
    <row r="36" spans="1:12" ht="13.15" customHeight="1">
      <c r="A36" s="2">
        <v>32</v>
      </c>
      <c r="B36" s="4" t="s">
        <v>193</v>
      </c>
      <c r="C36" s="2" t="s">
        <v>9</v>
      </c>
      <c r="D36" s="2"/>
      <c r="E36" s="5">
        <v>10.25</v>
      </c>
      <c r="F36" s="20">
        <f>D36*E36</f>
        <v>0</v>
      </c>
      <c r="G36" s="2">
        <v>70</v>
      </c>
      <c r="H36" s="4" t="s">
        <v>194</v>
      </c>
      <c r="I36" s="2" t="s">
        <v>9</v>
      </c>
      <c r="J36" s="4"/>
      <c r="K36" s="2">
        <v>7.25</v>
      </c>
      <c r="L36" s="5">
        <f>J36*K36</f>
        <v>0</v>
      </c>
    </row>
    <row r="37" spans="1:12" ht="13.15" customHeight="1">
      <c r="A37" s="2">
        <v>33</v>
      </c>
      <c r="B37" s="4" t="s">
        <v>195</v>
      </c>
      <c r="C37" s="2" t="s">
        <v>9</v>
      </c>
      <c r="D37" s="2"/>
      <c r="E37" s="5">
        <v>6</v>
      </c>
      <c r="F37" s="20">
        <f>D37*E37</f>
        <v>0</v>
      </c>
      <c r="G37" s="2">
        <v>71</v>
      </c>
      <c r="H37" s="4" t="s">
        <v>196</v>
      </c>
      <c r="I37" s="2" t="s">
        <v>9</v>
      </c>
      <c r="J37" s="4"/>
      <c r="K37" s="2">
        <v>5.4</v>
      </c>
      <c r="L37" s="5">
        <f>J37*K37</f>
        <v>0</v>
      </c>
    </row>
    <row r="38" spans="1:12" ht="13.15" customHeight="1">
      <c r="A38" s="2">
        <v>34</v>
      </c>
      <c r="B38" s="4"/>
      <c r="C38" s="2" t="s">
        <v>9</v>
      </c>
      <c r="D38" s="2"/>
      <c r="E38" s="5">
        <v>0</v>
      </c>
      <c r="F38" s="20">
        <f>D38*E38</f>
        <v>0</v>
      </c>
      <c r="G38" s="2">
        <v>72</v>
      </c>
      <c r="H38" s="4" t="s">
        <v>197</v>
      </c>
      <c r="I38" s="2" t="s">
        <v>9</v>
      </c>
      <c r="J38" s="4"/>
      <c r="K38" s="2">
        <v>8.5</v>
      </c>
      <c r="L38" s="5">
        <f>J38*K38</f>
        <v>0</v>
      </c>
    </row>
    <row r="39" spans="1:12" ht="13.15" customHeight="1">
      <c r="A39" s="2">
        <v>35</v>
      </c>
      <c r="B39" s="4" t="s">
        <v>198</v>
      </c>
      <c r="C39" s="2" t="s">
        <v>9</v>
      </c>
      <c r="D39" s="2"/>
      <c r="E39" s="5">
        <v>8.5</v>
      </c>
      <c r="F39" s="20">
        <f>D39*E39</f>
        <v>0</v>
      </c>
      <c r="G39" s="2">
        <v>73</v>
      </c>
      <c r="H39" s="4" t="s">
        <v>199</v>
      </c>
      <c r="I39" s="2" t="s">
        <v>9</v>
      </c>
      <c r="J39" s="4"/>
      <c r="K39" s="2">
        <v>6.7</v>
      </c>
      <c r="L39" s="5">
        <f>J39*K39</f>
        <v>0</v>
      </c>
    </row>
    <row r="40" spans="1:12" ht="13.15" customHeight="1">
      <c r="K40" t="s">
        <v>200</v>
      </c>
      <c r="L40" s="25">
        <f>F5+F6+F7+F8+F9+F10+F11+F12+F13+F14+F15+F16+F17+F18+F19+F20+F21+F22+F23+F24+F25+F26+F27+F28+F29+F30+F31+F32+F33+F34+F35+F36+F37+F38+F39+L2+L3+L4+L5+L6+L7+L8+L9+L10+L11+L12+L13+L14+L15+L16+L17+L18+L19+L20+L21+L22+L23+L24+L25+L26+L27+L28+L29+L30+L31+L32+L33+L34+L35+L36+L37+L38+L39</f>
        <v>0</v>
      </c>
    </row>
    <row r="42" spans="1:12" ht="13.15" customHeight="1">
      <c r="H42" t="s">
        <v>201</v>
      </c>
      <c r="J42" t="s">
        <v>202</v>
      </c>
    </row>
  </sheetData>
  <mergeCells count="4">
    <mergeCell ref="A1:C1"/>
    <mergeCell ref="D1:F1"/>
    <mergeCell ref="A2:F2"/>
    <mergeCell ref="A3:F3"/>
  </mergeCells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>
  <sheetPr codeName="Лист75"/>
  <dimension ref="A1:L42"/>
  <sheetViews>
    <sheetView topLeftCell="A22" workbookViewId="0">
      <selection activeCell="N51" sqref="N51"/>
    </sheetView>
  </sheetViews>
  <sheetFormatPr defaultRowHeight="13.15" customHeight="1"/>
  <cols>
    <col min="1" max="1" width="5" style="17" customWidth="1"/>
    <col min="2" max="2" width="30.28515625" customWidth="1"/>
    <col min="3" max="3" width="6.85546875" customWidth="1"/>
    <col min="4" max="4" width="6.5703125" customWidth="1"/>
    <col min="6" max="6" width="8.85546875" style="17"/>
    <col min="7" max="7" width="4.7109375" style="17" customWidth="1"/>
    <col min="8" max="8" width="24.7109375" customWidth="1"/>
    <col min="9" max="9" width="6.7109375" customWidth="1"/>
    <col min="10" max="10" width="7" customWidth="1"/>
    <col min="12" max="12" width="8.85546875" style="17"/>
  </cols>
  <sheetData>
    <row r="1" spans="1:12" ht="13.15" customHeight="1">
      <c r="A1" s="30" t="s">
        <v>147</v>
      </c>
      <c r="B1" s="30"/>
      <c r="C1" s="30"/>
      <c r="D1" s="31" t="s">
        <v>148</v>
      </c>
      <c r="E1" s="30"/>
      <c r="F1" s="30"/>
      <c r="G1" s="16"/>
      <c r="H1" s="2" t="s">
        <v>2</v>
      </c>
      <c r="I1" s="1" t="s">
        <v>3</v>
      </c>
      <c r="J1" s="2" t="s">
        <v>4</v>
      </c>
      <c r="K1" s="2" t="s">
        <v>149</v>
      </c>
      <c r="L1" s="2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150</v>
      </c>
      <c r="I2" s="2" t="s">
        <v>9</v>
      </c>
      <c r="J2" s="2"/>
      <c r="K2" s="5">
        <v>8.5</v>
      </c>
      <c r="L2" s="5">
        <f t="shared" ref="L2:L34" si="0"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151</v>
      </c>
      <c r="I3" s="2" t="s">
        <v>9</v>
      </c>
      <c r="J3" s="2"/>
      <c r="K3" s="5">
        <v>8.5</v>
      </c>
      <c r="L3" s="5">
        <f t="shared" si="0"/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152</v>
      </c>
      <c r="I4" s="2" t="s">
        <v>9</v>
      </c>
      <c r="J4" s="2"/>
      <c r="K4" s="5">
        <v>8.5</v>
      </c>
      <c r="L4" s="5">
        <f t="shared" si="0"/>
        <v>0</v>
      </c>
    </row>
    <row r="5" spans="1:12" ht="13.15" customHeight="1">
      <c r="A5" s="2">
        <v>1</v>
      </c>
      <c r="B5" s="4" t="s">
        <v>153</v>
      </c>
      <c r="C5" s="2" t="s">
        <v>9</v>
      </c>
      <c r="D5" s="2"/>
      <c r="E5" s="5">
        <v>8.8000000000000007</v>
      </c>
      <c r="F5" s="20">
        <f>D5*E5</f>
        <v>0</v>
      </c>
      <c r="G5" s="2">
        <v>39</v>
      </c>
      <c r="H5" s="4" t="s">
        <v>154</v>
      </c>
      <c r="I5" s="2" t="s">
        <v>9</v>
      </c>
      <c r="J5" s="2"/>
      <c r="K5" s="5">
        <v>8.5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5.7</v>
      </c>
      <c r="F6" s="20">
        <f t="shared" ref="F6:F35" si="1">D6*E6</f>
        <v>0</v>
      </c>
      <c r="G6" s="2">
        <v>40</v>
      </c>
      <c r="H6" s="4" t="s">
        <v>155</v>
      </c>
      <c r="I6" s="2" t="s">
        <v>9</v>
      </c>
      <c r="J6" s="2"/>
      <c r="K6" s="5">
        <v>8.5</v>
      </c>
      <c r="L6" s="5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6.3</v>
      </c>
      <c r="F7" s="20">
        <f t="shared" si="1"/>
        <v>0</v>
      </c>
      <c r="G7" s="2">
        <v>41</v>
      </c>
      <c r="H7" s="4" t="s">
        <v>157</v>
      </c>
      <c r="I7" s="2" t="s">
        <v>9</v>
      </c>
      <c r="J7" s="2"/>
      <c r="K7" s="5">
        <v>8.5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9</v>
      </c>
      <c r="F8" s="20">
        <f t="shared" si="1"/>
        <v>0</v>
      </c>
      <c r="G8" s="2">
        <v>42</v>
      </c>
      <c r="H8" s="4" t="s">
        <v>158</v>
      </c>
      <c r="I8" s="2" t="s">
        <v>9</v>
      </c>
      <c r="J8" s="2"/>
      <c r="K8" s="5">
        <v>3.3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5.8</v>
      </c>
      <c r="F9" s="20">
        <f t="shared" si="1"/>
        <v>0</v>
      </c>
      <c r="G9" s="2">
        <v>43</v>
      </c>
      <c r="H9" s="4" t="s">
        <v>159</v>
      </c>
      <c r="I9" s="2" t="s">
        <v>9</v>
      </c>
      <c r="J9" s="2"/>
      <c r="K9" s="5">
        <v>3.8</v>
      </c>
      <c r="L9" s="5">
        <f t="shared" si="0"/>
        <v>0</v>
      </c>
    </row>
    <row r="10" spans="1:12" ht="13.15" customHeight="1">
      <c r="A10" s="2">
        <v>6</v>
      </c>
      <c r="B10" s="4" t="s">
        <v>160</v>
      </c>
      <c r="C10" s="2" t="s">
        <v>9</v>
      </c>
      <c r="D10" s="2"/>
      <c r="E10" s="5">
        <v>7.4</v>
      </c>
      <c r="F10" s="20">
        <f t="shared" si="1"/>
        <v>0</v>
      </c>
      <c r="G10" s="2">
        <v>44</v>
      </c>
      <c r="H10" s="4" t="s">
        <v>13</v>
      </c>
      <c r="I10" s="2" t="s">
        <v>9</v>
      </c>
      <c r="J10" s="2"/>
      <c r="K10" s="5">
        <v>3.3</v>
      </c>
      <c r="L10" s="5">
        <f t="shared" si="0"/>
        <v>0</v>
      </c>
    </row>
    <row r="11" spans="1:12" ht="13.15" customHeight="1">
      <c r="A11" s="2">
        <v>7</v>
      </c>
      <c r="B11" s="4" t="s">
        <v>78</v>
      </c>
      <c r="C11" s="2" t="s">
        <v>9</v>
      </c>
      <c r="D11" s="2"/>
      <c r="E11" s="5">
        <v>8.1</v>
      </c>
      <c r="F11" s="20">
        <f t="shared" si="1"/>
        <v>0</v>
      </c>
      <c r="G11" s="2">
        <v>45</v>
      </c>
      <c r="H11" s="4" t="s">
        <v>17</v>
      </c>
      <c r="I11" s="2" t="s">
        <v>9</v>
      </c>
      <c r="J11" s="2"/>
      <c r="K11" s="5">
        <v>2.6</v>
      </c>
      <c r="L11" s="5">
        <f t="shared" si="0"/>
        <v>0</v>
      </c>
    </row>
    <row r="12" spans="1:12" ht="13.15" customHeight="1">
      <c r="A12" s="2">
        <v>8</v>
      </c>
      <c r="B12" s="4" t="s">
        <v>80</v>
      </c>
      <c r="C12" s="2" t="s">
        <v>9</v>
      </c>
      <c r="D12" s="2"/>
      <c r="E12" s="5">
        <v>5.4</v>
      </c>
      <c r="F12" s="20">
        <f t="shared" si="1"/>
        <v>0</v>
      </c>
      <c r="G12" s="2">
        <v>46</v>
      </c>
      <c r="H12" s="4" t="s">
        <v>161</v>
      </c>
      <c r="I12" s="2" t="s">
        <v>9</v>
      </c>
      <c r="J12" s="2"/>
      <c r="K12" s="5">
        <v>2.6</v>
      </c>
      <c r="L12" s="5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6.3</v>
      </c>
      <c r="F13" s="20">
        <f t="shared" si="1"/>
        <v>0</v>
      </c>
      <c r="G13" s="2">
        <v>47</v>
      </c>
      <c r="H13" s="4" t="s">
        <v>163</v>
      </c>
      <c r="I13" s="2" t="s">
        <v>9</v>
      </c>
      <c r="J13" s="2"/>
      <c r="K13" s="5">
        <v>4.2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6.9</v>
      </c>
      <c r="F14" s="20">
        <f t="shared" si="1"/>
        <v>0</v>
      </c>
      <c r="G14" s="2">
        <v>48</v>
      </c>
      <c r="H14" s="4" t="s">
        <v>164</v>
      </c>
      <c r="I14" s="2" t="s">
        <v>9</v>
      </c>
      <c r="J14" s="2"/>
      <c r="K14" s="5">
        <v>4.2</v>
      </c>
      <c r="L14" s="5">
        <f t="shared" si="0"/>
        <v>0</v>
      </c>
    </row>
    <row r="15" spans="1:12" ht="13.15" customHeight="1">
      <c r="A15" s="2">
        <v>11</v>
      </c>
      <c r="B15" s="4" t="s">
        <v>165</v>
      </c>
      <c r="C15" s="2" t="s">
        <v>9</v>
      </c>
      <c r="D15" s="2"/>
      <c r="E15" s="5">
        <v>5.2</v>
      </c>
      <c r="F15" s="20">
        <f t="shared" si="1"/>
        <v>0</v>
      </c>
      <c r="G15" s="2">
        <v>49</v>
      </c>
      <c r="H15" s="4" t="s">
        <v>166</v>
      </c>
      <c r="I15" s="2" t="s">
        <v>9</v>
      </c>
      <c r="J15" s="2"/>
      <c r="K15" s="5">
        <v>4.2</v>
      </c>
      <c r="L15" s="5">
        <f t="shared" si="0"/>
        <v>0</v>
      </c>
    </row>
    <row r="16" spans="1:12" ht="13.15" customHeight="1">
      <c r="A16" s="2">
        <v>12</v>
      </c>
      <c r="B16" s="4" t="s">
        <v>167</v>
      </c>
      <c r="C16" s="2" t="s">
        <v>9</v>
      </c>
      <c r="D16" s="2"/>
      <c r="E16" s="5">
        <v>7.2</v>
      </c>
      <c r="F16" s="20">
        <f>D16*E16</f>
        <v>0</v>
      </c>
      <c r="G16" s="2">
        <v>50</v>
      </c>
      <c r="H16" s="4" t="s">
        <v>168</v>
      </c>
      <c r="I16" s="2" t="s">
        <v>9</v>
      </c>
      <c r="J16" s="2"/>
      <c r="K16" s="5">
        <v>0</v>
      </c>
      <c r="L16" s="5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7.8</v>
      </c>
      <c r="F17" s="20">
        <f t="shared" si="1"/>
        <v>0</v>
      </c>
      <c r="G17" s="2">
        <v>51</v>
      </c>
      <c r="H17" s="4" t="s">
        <v>169</v>
      </c>
      <c r="I17" s="2" t="s">
        <v>9</v>
      </c>
      <c r="J17" s="2"/>
      <c r="K17" s="5">
        <v>4.2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5.4</v>
      </c>
      <c r="F18" s="20">
        <f t="shared" si="1"/>
        <v>0</v>
      </c>
      <c r="G18" s="2">
        <v>52</v>
      </c>
      <c r="H18" s="4" t="s">
        <v>170</v>
      </c>
      <c r="I18" s="2" t="s">
        <v>9</v>
      </c>
      <c r="J18" s="2"/>
      <c r="K18" s="5">
        <v>3.8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</v>
      </c>
      <c r="F19" s="20">
        <f t="shared" si="1"/>
        <v>0</v>
      </c>
      <c r="G19" s="2">
        <v>53</v>
      </c>
      <c r="H19" s="4" t="s">
        <v>171</v>
      </c>
      <c r="I19" s="2" t="s">
        <v>9</v>
      </c>
      <c r="J19" s="2"/>
      <c r="K19" s="5">
        <v>3.8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3</v>
      </c>
      <c r="F20" s="20">
        <f t="shared" si="1"/>
        <v>0</v>
      </c>
      <c r="G20" s="2">
        <v>54</v>
      </c>
      <c r="H20" s="4" t="s">
        <v>172</v>
      </c>
      <c r="I20" s="2" t="s">
        <v>9</v>
      </c>
      <c r="J20" s="2"/>
      <c r="K20" s="5">
        <v>3.8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1.7</v>
      </c>
      <c r="F21" s="20">
        <f t="shared" si="1"/>
        <v>0</v>
      </c>
      <c r="G21" s="2">
        <v>55</v>
      </c>
      <c r="H21" s="4" t="s">
        <v>173</v>
      </c>
      <c r="I21" s="2" t="s">
        <v>9</v>
      </c>
      <c r="J21" s="2"/>
      <c r="K21" s="5">
        <v>3.8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7.5</v>
      </c>
      <c r="F22" s="20">
        <f t="shared" si="1"/>
        <v>0</v>
      </c>
      <c r="G22" s="2">
        <v>56</v>
      </c>
      <c r="H22" s="4" t="s">
        <v>174</v>
      </c>
      <c r="I22" s="2" t="s">
        <v>9</v>
      </c>
      <c r="J22" s="2"/>
      <c r="K22" s="5">
        <v>10</v>
      </c>
      <c r="L22" s="5">
        <f t="shared" si="0"/>
        <v>0</v>
      </c>
    </row>
    <row r="23" spans="1:12" ht="13.15" customHeight="1">
      <c r="A23" s="2">
        <v>19</v>
      </c>
      <c r="B23" s="4" t="s">
        <v>175</v>
      </c>
      <c r="C23" s="2" t="s">
        <v>9</v>
      </c>
      <c r="D23" s="2"/>
      <c r="E23" s="5">
        <v>8</v>
      </c>
      <c r="F23" s="20">
        <f t="shared" si="1"/>
        <v>0</v>
      </c>
      <c r="G23" s="2">
        <v>57</v>
      </c>
      <c r="H23" s="4" t="s">
        <v>176</v>
      </c>
      <c r="I23" s="2" t="s">
        <v>9</v>
      </c>
      <c r="J23" s="4"/>
      <c r="K23" s="2">
        <v>8.8000000000000007</v>
      </c>
      <c r="L23" s="5">
        <f t="shared" si="0"/>
        <v>0</v>
      </c>
    </row>
    <row r="24" spans="1:12" ht="13.15" customHeight="1">
      <c r="A24" s="2">
        <v>20</v>
      </c>
      <c r="B24" s="4" t="s">
        <v>177</v>
      </c>
      <c r="C24" s="2" t="s">
        <v>9</v>
      </c>
      <c r="D24" s="2"/>
      <c r="E24" s="5">
        <v>8.4</v>
      </c>
      <c r="F24" s="20">
        <f t="shared" si="1"/>
        <v>0</v>
      </c>
      <c r="G24" s="2">
        <v>58</v>
      </c>
      <c r="H24" s="4" t="s">
        <v>178</v>
      </c>
      <c r="I24" s="2" t="s">
        <v>9</v>
      </c>
      <c r="J24" s="4"/>
      <c r="K24" s="2">
        <v>7.2</v>
      </c>
      <c r="L24" s="5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8.8000000000000007</v>
      </c>
      <c r="F25" s="20">
        <f t="shared" si="1"/>
        <v>0</v>
      </c>
      <c r="G25" s="2">
        <v>59</v>
      </c>
      <c r="H25" s="4" t="s">
        <v>179</v>
      </c>
      <c r="I25" s="2" t="s">
        <v>9</v>
      </c>
      <c r="J25" s="4"/>
      <c r="K25" s="2">
        <v>8.5</v>
      </c>
      <c r="L25" s="5">
        <f t="shared" si="0"/>
        <v>0</v>
      </c>
    </row>
    <row r="26" spans="1:12" ht="13.15" customHeight="1">
      <c r="A26" s="2">
        <v>22</v>
      </c>
      <c r="B26" s="4" t="s">
        <v>180</v>
      </c>
      <c r="C26" s="2" t="s">
        <v>9</v>
      </c>
      <c r="D26" s="2"/>
      <c r="E26" s="5">
        <v>6</v>
      </c>
      <c r="F26" s="20">
        <f t="shared" si="1"/>
        <v>0</v>
      </c>
      <c r="G26" s="2">
        <v>60</v>
      </c>
      <c r="H26" s="4" t="s">
        <v>131</v>
      </c>
      <c r="I26" s="2" t="s">
        <v>9</v>
      </c>
      <c r="J26" s="4"/>
      <c r="K26" s="2">
        <v>4.2</v>
      </c>
      <c r="L26" s="5">
        <f t="shared" si="0"/>
        <v>0</v>
      </c>
    </row>
    <row r="27" spans="1:12" ht="13.15" customHeight="1">
      <c r="A27" s="2">
        <v>23</v>
      </c>
      <c r="B27" s="4" t="s">
        <v>181</v>
      </c>
      <c r="C27" s="2" t="s">
        <v>9</v>
      </c>
      <c r="D27" s="2"/>
      <c r="E27" s="5">
        <v>3.8</v>
      </c>
      <c r="F27" s="20">
        <f t="shared" si="1"/>
        <v>0</v>
      </c>
      <c r="G27" s="2">
        <v>61</v>
      </c>
      <c r="H27" s="4" t="s">
        <v>182</v>
      </c>
      <c r="I27" s="2" t="s">
        <v>9</v>
      </c>
      <c r="J27" s="4"/>
      <c r="K27" s="2">
        <v>13.5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6.3</v>
      </c>
      <c r="F28" s="20">
        <f t="shared" si="1"/>
        <v>0</v>
      </c>
      <c r="G28" s="2">
        <v>62</v>
      </c>
      <c r="H28" s="4" t="s">
        <v>183</v>
      </c>
      <c r="I28" s="2" t="s">
        <v>9</v>
      </c>
      <c r="J28" s="4"/>
      <c r="K28" s="2">
        <v>12.8</v>
      </c>
      <c r="L28" s="5">
        <f t="shared" si="0"/>
        <v>0</v>
      </c>
    </row>
    <row r="29" spans="1:12" ht="13.15" customHeight="1">
      <c r="A29" s="2">
        <v>25</v>
      </c>
      <c r="B29" s="4" t="s">
        <v>184</v>
      </c>
      <c r="C29" s="2" t="s">
        <v>9</v>
      </c>
      <c r="D29" s="2"/>
      <c r="E29" s="5">
        <v>7.7</v>
      </c>
      <c r="F29" s="20">
        <f t="shared" si="1"/>
        <v>0</v>
      </c>
      <c r="G29" s="2">
        <v>63</v>
      </c>
      <c r="H29" s="4" t="s">
        <v>185</v>
      </c>
      <c r="I29" s="2" t="s">
        <v>9</v>
      </c>
      <c r="J29" s="4"/>
      <c r="K29" s="2">
        <v>8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6.2</v>
      </c>
      <c r="F30" s="5">
        <f t="shared" si="1"/>
        <v>0</v>
      </c>
      <c r="G30" s="2">
        <v>64</v>
      </c>
      <c r="H30" s="4" t="s">
        <v>186</v>
      </c>
      <c r="I30" s="2" t="s">
        <v>9</v>
      </c>
      <c r="J30" s="4"/>
      <c r="K30" s="2">
        <v>7.25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7</v>
      </c>
      <c r="F31" s="5">
        <f t="shared" si="1"/>
        <v>0</v>
      </c>
      <c r="G31" s="2">
        <v>65</v>
      </c>
      <c r="H31" s="4" t="s">
        <v>187</v>
      </c>
      <c r="I31" s="2" t="s">
        <v>9</v>
      </c>
      <c r="J31" s="4"/>
      <c r="K31" s="2">
        <v>10.8</v>
      </c>
      <c r="L31" s="5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10</v>
      </c>
      <c r="F32" s="20">
        <f t="shared" si="1"/>
        <v>0</v>
      </c>
      <c r="G32" s="2">
        <v>66</v>
      </c>
      <c r="H32" s="4" t="s">
        <v>188</v>
      </c>
      <c r="I32" s="2" t="s">
        <v>9</v>
      </c>
      <c r="J32" s="4"/>
      <c r="K32" s="2">
        <v>3.8</v>
      </c>
      <c r="L32" s="5">
        <f t="shared" si="0"/>
        <v>0</v>
      </c>
    </row>
    <row r="33" spans="1:12" ht="13.15" customHeight="1">
      <c r="A33" s="2">
        <v>29</v>
      </c>
      <c r="B33" s="4" t="s">
        <v>189</v>
      </c>
      <c r="C33" s="2" t="s">
        <v>9</v>
      </c>
      <c r="D33" s="2"/>
      <c r="E33" s="5">
        <v>1.5</v>
      </c>
      <c r="F33" s="5">
        <f t="shared" si="1"/>
        <v>0</v>
      </c>
      <c r="G33" s="2">
        <v>67</v>
      </c>
      <c r="H33" s="4" t="s">
        <v>190</v>
      </c>
      <c r="I33" s="2" t="s">
        <v>9</v>
      </c>
      <c r="J33" s="4"/>
      <c r="K33" s="2">
        <v>6.7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7.9</v>
      </c>
      <c r="F34" s="5">
        <f t="shared" si="1"/>
        <v>0</v>
      </c>
      <c r="G34" s="2">
        <v>68</v>
      </c>
      <c r="H34" s="4" t="s">
        <v>191</v>
      </c>
      <c r="I34" s="2" t="s">
        <v>9</v>
      </c>
      <c r="J34" s="4"/>
      <c r="K34" s="2">
        <v>6.7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7</v>
      </c>
      <c r="F35" s="20">
        <f t="shared" si="1"/>
        <v>0</v>
      </c>
      <c r="G35" s="2">
        <v>69</v>
      </c>
      <c r="H35" s="4" t="s">
        <v>192</v>
      </c>
      <c r="I35" s="2" t="s">
        <v>9</v>
      </c>
      <c r="J35" s="4"/>
      <c r="K35" s="2">
        <v>4.8</v>
      </c>
      <c r="L35" s="5">
        <f>J35*K35</f>
        <v>0</v>
      </c>
    </row>
    <row r="36" spans="1:12" ht="13.15" customHeight="1">
      <c r="A36" s="2">
        <v>32</v>
      </c>
      <c r="B36" s="4" t="s">
        <v>193</v>
      </c>
      <c r="C36" s="2" t="s">
        <v>9</v>
      </c>
      <c r="D36" s="2"/>
      <c r="E36" s="5">
        <v>10.25</v>
      </c>
      <c r="F36" s="20">
        <f>D36*E36</f>
        <v>0</v>
      </c>
      <c r="G36" s="2">
        <v>70</v>
      </c>
      <c r="H36" s="4" t="s">
        <v>194</v>
      </c>
      <c r="I36" s="2" t="s">
        <v>9</v>
      </c>
      <c r="J36" s="4"/>
      <c r="K36" s="2">
        <v>7.25</v>
      </c>
      <c r="L36" s="5">
        <f>J36*K36</f>
        <v>0</v>
      </c>
    </row>
    <row r="37" spans="1:12" ht="13.15" customHeight="1">
      <c r="A37" s="2">
        <v>33</v>
      </c>
      <c r="B37" s="4" t="s">
        <v>195</v>
      </c>
      <c r="C37" s="2" t="s">
        <v>9</v>
      </c>
      <c r="D37" s="2"/>
      <c r="E37" s="5">
        <v>6</v>
      </c>
      <c r="F37" s="20">
        <f>D37*E37</f>
        <v>0</v>
      </c>
      <c r="G37" s="2">
        <v>71</v>
      </c>
      <c r="H37" s="4" t="s">
        <v>196</v>
      </c>
      <c r="I37" s="2" t="s">
        <v>9</v>
      </c>
      <c r="J37" s="4"/>
      <c r="K37" s="2">
        <v>5.4</v>
      </c>
      <c r="L37" s="5">
        <f>J37*K37</f>
        <v>0</v>
      </c>
    </row>
    <row r="38" spans="1:12" ht="13.15" customHeight="1">
      <c r="A38" s="2">
        <v>34</v>
      </c>
      <c r="B38" s="4"/>
      <c r="C38" s="2" t="s">
        <v>9</v>
      </c>
      <c r="D38" s="2"/>
      <c r="E38" s="5">
        <v>0</v>
      </c>
      <c r="F38" s="20">
        <f>D38*E38</f>
        <v>0</v>
      </c>
      <c r="G38" s="2">
        <v>72</v>
      </c>
      <c r="H38" s="4" t="s">
        <v>197</v>
      </c>
      <c r="I38" s="2" t="s">
        <v>9</v>
      </c>
      <c r="J38" s="4"/>
      <c r="K38" s="2">
        <v>8.5</v>
      </c>
      <c r="L38" s="5">
        <f>J38*K38</f>
        <v>0</v>
      </c>
    </row>
    <row r="39" spans="1:12" ht="13.15" customHeight="1">
      <c r="A39" s="2">
        <v>35</v>
      </c>
      <c r="B39" s="4" t="s">
        <v>198</v>
      </c>
      <c r="C39" s="2" t="s">
        <v>9</v>
      </c>
      <c r="D39" s="2"/>
      <c r="E39" s="5">
        <v>8.5</v>
      </c>
      <c r="F39" s="20">
        <f>D39*E39</f>
        <v>0</v>
      </c>
      <c r="G39" s="2">
        <v>73</v>
      </c>
      <c r="H39" s="4" t="s">
        <v>199</v>
      </c>
      <c r="I39" s="2" t="s">
        <v>9</v>
      </c>
      <c r="J39" s="4"/>
      <c r="K39" s="2">
        <v>6.7</v>
      </c>
      <c r="L39" s="5">
        <f>J39*K39</f>
        <v>0</v>
      </c>
    </row>
    <row r="40" spans="1:12" ht="13.15" customHeight="1">
      <c r="K40" t="s">
        <v>200</v>
      </c>
      <c r="L40" s="25">
        <f>F5+F6+F7+F8+F9+F10+F11+F12+F13+F14+F15+F16+F17+F18+F19+F20+F21+F22+F23+F24+F25+F26+F27+F28+F29+F30+F31+F32+F33+F34+F35+F36+F37+F38+F39+L2+L3+L4+L5+L6+L7+L8+L9+L10+L11+L12+L13+L14+L15+L16+L17+L18+L19+L20+L21+L22+L23+L24+L25+L26+L27+L28+L29+L30+L31+L32+L33+L34+L35+L36+L37+L38+L39</f>
        <v>0</v>
      </c>
    </row>
    <row r="42" spans="1:12" ht="13.15" customHeight="1">
      <c r="H42" t="s">
        <v>201</v>
      </c>
      <c r="J42" t="s">
        <v>202</v>
      </c>
    </row>
  </sheetData>
  <mergeCells count="4">
    <mergeCell ref="A1:C1"/>
    <mergeCell ref="D1:F1"/>
    <mergeCell ref="A2:F2"/>
    <mergeCell ref="A3:F3"/>
  </mergeCells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>
  <sheetPr codeName="Лист76"/>
  <dimension ref="A1:L42"/>
  <sheetViews>
    <sheetView topLeftCell="A22" workbookViewId="0">
      <selection activeCell="H36" sqref="H36"/>
    </sheetView>
  </sheetViews>
  <sheetFormatPr defaultRowHeight="13.15" customHeight="1"/>
  <cols>
    <col min="1" max="1" width="5" style="17" customWidth="1"/>
    <col min="2" max="2" width="30.28515625" customWidth="1"/>
    <col min="3" max="3" width="6.85546875" customWidth="1"/>
    <col min="4" max="4" width="6.5703125" customWidth="1"/>
    <col min="6" max="6" width="8.85546875" style="17"/>
    <col min="7" max="7" width="4.7109375" style="17" customWidth="1"/>
    <col min="8" max="8" width="24.7109375" customWidth="1"/>
    <col min="9" max="9" width="6.7109375" customWidth="1"/>
    <col min="10" max="10" width="7" customWidth="1"/>
    <col min="12" max="12" width="8.85546875" style="17"/>
  </cols>
  <sheetData>
    <row r="1" spans="1:12" ht="13.15" customHeight="1">
      <c r="A1" s="30" t="s">
        <v>147</v>
      </c>
      <c r="B1" s="30"/>
      <c r="C1" s="30"/>
      <c r="D1" s="31" t="s">
        <v>148</v>
      </c>
      <c r="E1" s="30"/>
      <c r="F1" s="30"/>
      <c r="G1" s="16"/>
      <c r="H1" s="2" t="s">
        <v>2</v>
      </c>
      <c r="I1" s="1" t="s">
        <v>3</v>
      </c>
      <c r="J1" s="2" t="s">
        <v>4</v>
      </c>
      <c r="K1" s="2" t="s">
        <v>149</v>
      </c>
      <c r="L1" s="2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150</v>
      </c>
      <c r="I2" s="2" t="s">
        <v>9</v>
      </c>
      <c r="J2" s="2"/>
      <c r="K2" s="5">
        <v>8.5</v>
      </c>
      <c r="L2" s="5">
        <f t="shared" ref="L2:L34" si="0"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151</v>
      </c>
      <c r="I3" s="2" t="s">
        <v>9</v>
      </c>
      <c r="J3" s="2"/>
      <c r="K3" s="5">
        <v>8.5</v>
      </c>
      <c r="L3" s="5">
        <f t="shared" si="0"/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152</v>
      </c>
      <c r="I4" s="2" t="s">
        <v>9</v>
      </c>
      <c r="J4" s="2"/>
      <c r="K4" s="5">
        <v>8.5</v>
      </c>
      <c r="L4" s="5">
        <f t="shared" si="0"/>
        <v>0</v>
      </c>
    </row>
    <row r="5" spans="1:12" ht="13.15" customHeight="1">
      <c r="A5" s="2">
        <v>1</v>
      </c>
      <c r="B5" s="4" t="s">
        <v>153</v>
      </c>
      <c r="C5" s="2" t="s">
        <v>9</v>
      </c>
      <c r="D5" s="2"/>
      <c r="E5" s="5">
        <v>8.8000000000000007</v>
      </c>
      <c r="F5" s="20">
        <f>D5*E5</f>
        <v>0</v>
      </c>
      <c r="G5" s="2">
        <v>39</v>
      </c>
      <c r="H5" s="4" t="s">
        <v>154</v>
      </c>
      <c r="I5" s="2" t="s">
        <v>9</v>
      </c>
      <c r="J5" s="2"/>
      <c r="K5" s="5">
        <v>8.5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5.7</v>
      </c>
      <c r="F6" s="20">
        <f t="shared" ref="F6:F35" si="1">D6*E6</f>
        <v>0</v>
      </c>
      <c r="G6" s="2">
        <v>40</v>
      </c>
      <c r="H6" s="4" t="s">
        <v>155</v>
      </c>
      <c r="I6" s="2" t="s">
        <v>9</v>
      </c>
      <c r="J6" s="2"/>
      <c r="K6" s="5">
        <v>8.5</v>
      </c>
      <c r="L6" s="5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6.3</v>
      </c>
      <c r="F7" s="20">
        <f t="shared" si="1"/>
        <v>0</v>
      </c>
      <c r="G7" s="2">
        <v>41</v>
      </c>
      <c r="H7" s="4" t="s">
        <v>157</v>
      </c>
      <c r="I7" s="2" t="s">
        <v>9</v>
      </c>
      <c r="J7" s="2"/>
      <c r="K7" s="5">
        <v>8.5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9</v>
      </c>
      <c r="F8" s="20">
        <f t="shared" si="1"/>
        <v>0</v>
      </c>
      <c r="G8" s="2">
        <v>42</v>
      </c>
      <c r="H8" s="4" t="s">
        <v>158</v>
      </c>
      <c r="I8" s="2" t="s">
        <v>9</v>
      </c>
      <c r="J8" s="2"/>
      <c r="K8" s="5">
        <v>3.3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5.8</v>
      </c>
      <c r="F9" s="20">
        <f t="shared" si="1"/>
        <v>0</v>
      </c>
      <c r="G9" s="2">
        <v>43</v>
      </c>
      <c r="H9" s="4" t="s">
        <v>159</v>
      </c>
      <c r="I9" s="2" t="s">
        <v>9</v>
      </c>
      <c r="J9" s="2"/>
      <c r="K9" s="5">
        <v>3.8</v>
      </c>
      <c r="L9" s="5">
        <f t="shared" si="0"/>
        <v>0</v>
      </c>
    </row>
    <row r="10" spans="1:12" ht="13.15" customHeight="1">
      <c r="A10" s="2">
        <v>6</v>
      </c>
      <c r="B10" s="4" t="s">
        <v>160</v>
      </c>
      <c r="C10" s="2" t="s">
        <v>9</v>
      </c>
      <c r="D10" s="2"/>
      <c r="E10" s="5">
        <v>7.4</v>
      </c>
      <c r="F10" s="20">
        <f t="shared" si="1"/>
        <v>0</v>
      </c>
      <c r="G10" s="2">
        <v>44</v>
      </c>
      <c r="H10" s="4" t="s">
        <v>13</v>
      </c>
      <c r="I10" s="2" t="s">
        <v>9</v>
      </c>
      <c r="J10" s="2"/>
      <c r="K10" s="5">
        <v>3.3</v>
      </c>
      <c r="L10" s="5">
        <f t="shared" si="0"/>
        <v>0</v>
      </c>
    </row>
    <row r="11" spans="1:12" ht="13.15" customHeight="1">
      <c r="A11" s="2">
        <v>7</v>
      </c>
      <c r="B11" s="4" t="s">
        <v>78</v>
      </c>
      <c r="C11" s="2" t="s">
        <v>9</v>
      </c>
      <c r="D11" s="2"/>
      <c r="E11" s="5">
        <v>8.1</v>
      </c>
      <c r="F11" s="20">
        <f t="shared" si="1"/>
        <v>0</v>
      </c>
      <c r="G11" s="2">
        <v>45</v>
      </c>
      <c r="H11" s="4" t="s">
        <v>17</v>
      </c>
      <c r="I11" s="2" t="s">
        <v>9</v>
      </c>
      <c r="J11" s="2"/>
      <c r="K11" s="5">
        <v>2.6</v>
      </c>
      <c r="L11" s="5">
        <f t="shared" si="0"/>
        <v>0</v>
      </c>
    </row>
    <row r="12" spans="1:12" ht="13.15" customHeight="1">
      <c r="A12" s="2">
        <v>8</v>
      </c>
      <c r="B12" s="4" t="s">
        <v>80</v>
      </c>
      <c r="C12" s="2" t="s">
        <v>9</v>
      </c>
      <c r="D12" s="2"/>
      <c r="E12" s="5">
        <v>5.4</v>
      </c>
      <c r="F12" s="20">
        <f t="shared" si="1"/>
        <v>0</v>
      </c>
      <c r="G12" s="2">
        <v>46</v>
      </c>
      <c r="H12" s="4" t="s">
        <v>161</v>
      </c>
      <c r="I12" s="2" t="s">
        <v>9</v>
      </c>
      <c r="J12" s="2"/>
      <c r="K12" s="5">
        <v>2.6</v>
      </c>
      <c r="L12" s="5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6.3</v>
      </c>
      <c r="F13" s="20">
        <f t="shared" si="1"/>
        <v>0</v>
      </c>
      <c r="G13" s="2">
        <v>47</v>
      </c>
      <c r="H13" s="4" t="s">
        <v>163</v>
      </c>
      <c r="I13" s="2" t="s">
        <v>9</v>
      </c>
      <c r="J13" s="2"/>
      <c r="K13" s="5">
        <v>4.2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6.9</v>
      </c>
      <c r="F14" s="20">
        <f t="shared" si="1"/>
        <v>0</v>
      </c>
      <c r="G14" s="2">
        <v>48</v>
      </c>
      <c r="H14" s="4" t="s">
        <v>164</v>
      </c>
      <c r="I14" s="2" t="s">
        <v>9</v>
      </c>
      <c r="J14" s="2"/>
      <c r="K14" s="5">
        <v>4.2</v>
      </c>
      <c r="L14" s="5">
        <f t="shared" si="0"/>
        <v>0</v>
      </c>
    </row>
    <row r="15" spans="1:12" ht="13.15" customHeight="1">
      <c r="A15" s="2">
        <v>11</v>
      </c>
      <c r="B15" s="4" t="s">
        <v>165</v>
      </c>
      <c r="C15" s="2" t="s">
        <v>9</v>
      </c>
      <c r="D15" s="2"/>
      <c r="E15" s="5">
        <v>5.2</v>
      </c>
      <c r="F15" s="20">
        <f t="shared" si="1"/>
        <v>0</v>
      </c>
      <c r="G15" s="2">
        <v>49</v>
      </c>
      <c r="H15" s="4" t="s">
        <v>166</v>
      </c>
      <c r="I15" s="2" t="s">
        <v>9</v>
      </c>
      <c r="J15" s="2"/>
      <c r="K15" s="5">
        <v>4.2</v>
      </c>
      <c r="L15" s="5">
        <f t="shared" si="0"/>
        <v>0</v>
      </c>
    </row>
    <row r="16" spans="1:12" ht="13.15" customHeight="1">
      <c r="A16" s="2">
        <v>12</v>
      </c>
      <c r="B16" s="4" t="s">
        <v>167</v>
      </c>
      <c r="C16" s="2" t="s">
        <v>9</v>
      </c>
      <c r="D16" s="2"/>
      <c r="E16" s="5">
        <v>7.2</v>
      </c>
      <c r="F16" s="20">
        <f>D16*E16</f>
        <v>0</v>
      </c>
      <c r="G16" s="2">
        <v>50</v>
      </c>
      <c r="H16" s="4" t="s">
        <v>168</v>
      </c>
      <c r="I16" s="2" t="s">
        <v>9</v>
      </c>
      <c r="J16" s="2"/>
      <c r="K16" s="5">
        <v>0</v>
      </c>
      <c r="L16" s="5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7.8</v>
      </c>
      <c r="F17" s="20">
        <f t="shared" si="1"/>
        <v>0</v>
      </c>
      <c r="G17" s="2">
        <v>51</v>
      </c>
      <c r="H17" s="4" t="s">
        <v>169</v>
      </c>
      <c r="I17" s="2" t="s">
        <v>9</v>
      </c>
      <c r="J17" s="2"/>
      <c r="K17" s="5">
        <v>4.2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5.4</v>
      </c>
      <c r="F18" s="20">
        <f t="shared" si="1"/>
        <v>0</v>
      </c>
      <c r="G18" s="2">
        <v>52</v>
      </c>
      <c r="H18" s="4" t="s">
        <v>170</v>
      </c>
      <c r="I18" s="2" t="s">
        <v>9</v>
      </c>
      <c r="J18" s="2"/>
      <c r="K18" s="5">
        <v>3.8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</v>
      </c>
      <c r="F19" s="20">
        <f t="shared" si="1"/>
        <v>0</v>
      </c>
      <c r="G19" s="2">
        <v>53</v>
      </c>
      <c r="H19" s="4" t="s">
        <v>171</v>
      </c>
      <c r="I19" s="2" t="s">
        <v>9</v>
      </c>
      <c r="J19" s="2"/>
      <c r="K19" s="5">
        <v>3.8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3</v>
      </c>
      <c r="F20" s="20">
        <f t="shared" si="1"/>
        <v>0</v>
      </c>
      <c r="G20" s="2">
        <v>54</v>
      </c>
      <c r="H20" s="4" t="s">
        <v>172</v>
      </c>
      <c r="I20" s="2" t="s">
        <v>9</v>
      </c>
      <c r="J20" s="2"/>
      <c r="K20" s="5">
        <v>3.8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1.7</v>
      </c>
      <c r="F21" s="20">
        <f t="shared" si="1"/>
        <v>0</v>
      </c>
      <c r="G21" s="2">
        <v>55</v>
      </c>
      <c r="H21" s="4" t="s">
        <v>173</v>
      </c>
      <c r="I21" s="2" t="s">
        <v>9</v>
      </c>
      <c r="J21" s="2"/>
      <c r="K21" s="5">
        <v>3.8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7.5</v>
      </c>
      <c r="F22" s="20">
        <f t="shared" si="1"/>
        <v>0</v>
      </c>
      <c r="G22" s="2">
        <v>56</v>
      </c>
      <c r="H22" s="4" t="s">
        <v>174</v>
      </c>
      <c r="I22" s="2" t="s">
        <v>9</v>
      </c>
      <c r="J22" s="2"/>
      <c r="K22" s="5">
        <v>10</v>
      </c>
      <c r="L22" s="5">
        <f t="shared" si="0"/>
        <v>0</v>
      </c>
    </row>
    <row r="23" spans="1:12" ht="13.15" customHeight="1">
      <c r="A23" s="2">
        <v>19</v>
      </c>
      <c r="B23" s="4" t="s">
        <v>175</v>
      </c>
      <c r="C23" s="2" t="s">
        <v>9</v>
      </c>
      <c r="D23" s="2"/>
      <c r="E23" s="5">
        <v>8</v>
      </c>
      <c r="F23" s="20">
        <f t="shared" si="1"/>
        <v>0</v>
      </c>
      <c r="G23" s="2">
        <v>57</v>
      </c>
      <c r="H23" s="4" t="s">
        <v>176</v>
      </c>
      <c r="I23" s="2" t="s">
        <v>9</v>
      </c>
      <c r="J23" s="4"/>
      <c r="K23" s="2">
        <v>8.8000000000000007</v>
      </c>
      <c r="L23" s="5">
        <f t="shared" si="0"/>
        <v>0</v>
      </c>
    </row>
    <row r="24" spans="1:12" ht="13.15" customHeight="1">
      <c r="A24" s="2">
        <v>20</v>
      </c>
      <c r="B24" s="4" t="s">
        <v>177</v>
      </c>
      <c r="C24" s="2" t="s">
        <v>9</v>
      </c>
      <c r="D24" s="2"/>
      <c r="E24" s="5">
        <v>8.4</v>
      </c>
      <c r="F24" s="20">
        <f t="shared" si="1"/>
        <v>0</v>
      </c>
      <c r="G24" s="2">
        <v>58</v>
      </c>
      <c r="H24" s="4" t="s">
        <v>178</v>
      </c>
      <c r="I24" s="2" t="s">
        <v>9</v>
      </c>
      <c r="J24" s="4"/>
      <c r="K24" s="2">
        <v>7.2</v>
      </c>
      <c r="L24" s="5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8.8000000000000007</v>
      </c>
      <c r="F25" s="20">
        <f t="shared" si="1"/>
        <v>0</v>
      </c>
      <c r="G25" s="2">
        <v>59</v>
      </c>
      <c r="H25" s="4" t="s">
        <v>179</v>
      </c>
      <c r="I25" s="2" t="s">
        <v>9</v>
      </c>
      <c r="J25" s="4"/>
      <c r="K25" s="2">
        <v>8.5</v>
      </c>
      <c r="L25" s="5">
        <f t="shared" si="0"/>
        <v>0</v>
      </c>
    </row>
    <row r="26" spans="1:12" ht="13.15" customHeight="1">
      <c r="A26" s="2">
        <v>22</v>
      </c>
      <c r="B26" s="4" t="s">
        <v>180</v>
      </c>
      <c r="C26" s="2" t="s">
        <v>9</v>
      </c>
      <c r="D26" s="2"/>
      <c r="E26" s="5">
        <v>6</v>
      </c>
      <c r="F26" s="20">
        <f t="shared" si="1"/>
        <v>0</v>
      </c>
      <c r="G26" s="2">
        <v>60</v>
      </c>
      <c r="H26" s="4" t="s">
        <v>131</v>
      </c>
      <c r="I26" s="2" t="s">
        <v>9</v>
      </c>
      <c r="J26" s="4"/>
      <c r="K26" s="2">
        <v>4.2</v>
      </c>
      <c r="L26" s="5">
        <f t="shared" si="0"/>
        <v>0</v>
      </c>
    </row>
    <row r="27" spans="1:12" ht="13.15" customHeight="1">
      <c r="A27" s="2">
        <v>23</v>
      </c>
      <c r="B27" s="4" t="s">
        <v>181</v>
      </c>
      <c r="C27" s="2" t="s">
        <v>9</v>
      </c>
      <c r="D27" s="2"/>
      <c r="E27" s="5">
        <v>3.8</v>
      </c>
      <c r="F27" s="20">
        <f t="shared" si="1"/>
        <v>0</v>
      </c>
      <c r="G27" s="2">
        <v>61</v>
      </c>
      <c r="H27" s="4" t="s">
        <v>182</v>
      </c>
      <c r="I27" s="2" t="s">
        <v>9</v>
      </c>
      <c r="J27" s="4"/>
      <c r="K27" s="2">
        <v>13.5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6.3</v>
      </c>
      <c r="F28" s="20">
        <f t="shared" si="1"/>
        <v>0</v>
      </c>
      <c r="G28" s="2">
        <v>62</v>
      </c>
      <c r="H28" s="4" t="s">
        <v>183</v>
      </c>
      <c r="I28" s="2" t="s">
        <v>9</v>
      </c>
      <c r="J28" s="4"/>
      <c r="K28" s="2">
        <v>12.8</v>
      </c>
      <c r="L28" s="5">
        <f t="shared" si="0"/>
        <v>0</v>
      </c>
    </row>
    <row r="29" spans="1:12" ht="13.15" customHeight="1">
      <c r="A29" s="2">
        <v>25</v>
      </c>
      <c r="B29" s="4" t="s">
        <v>184</v>
      </c>
      <c r="C29" s="2" t="s">
        <v>9</v>
      </c>
      <c r="D29" s="2"/>
      <c r="E29" s="5">
        <v>7.7</v>
      </c>
      <c r="F29" s="20">
        <f t="shared" si="1"/>
        <v>0</v>
      </c>
      <c r="G29" s="2">
        <v>63</v>
      </c>
      <c r="H29" s="4" t="s">
        <v>185</v>
      </c>
      <c r="I29" s="2" t="s">
        <v>9</v>
      </c>
      <c r="J29" s="4"/>
      <c r="K29" s="2">
        <v>8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6.2</v>
      </c>
      <c r="F30" s="5">
        <f t="shared" si="1"/>
        <v>0</v>
      </c>
      <c r="G30" s="2">
        <v>64</v>
      </c>
      <c r="H30" s="4" t="s">
        <v>186</v>
      </c>
      <c r="I30" s="2" t="s">
        <v>9</v>
      </c>
      <c r="J30" s="4"/>
      <c r="K30" s="2">
        <v>7.25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7</v>
      </c>
      <c r="F31" s="5">
        <f t="shared" si="1"/>
        <v>0</v>
      </c>
      <c r="G31" s="2">
        <v>65</v>
      </c>
      <c r="H31" s="4" t="s">
        <v>187</v>
      </c>
      <c r="I31" s="2" t="s">
        <v>9</v>
      </c>
      <c r="J31" s="4"/>
      <c r="K31" s="2">
        <v>10.8</v>
      </c>
      <c r="L31" s="5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10</v>
      </c>
      <c r="F32" s="20">
        <f t="shared" si="1"/>
        <v>0</v>
      </c>
      <c r="G32" s="2">
        <v>66</v>
      </c>
      <c r="H32" s="4" t="s">
        <v>188</v>
      </c>
      <c r="I32" s="2" t="s">
        <v>9</v>
      </c>
      <c r="J32" s="4"/>
      <c r="K32" s="2">
        <v>3.8</v>
      </c>
      <c r="L32" s="5">
        <f t="shared" si="0"/>
        <v>0</v>
      </c>
    </row>
    <row r="33" spans="1:12" ht="13.15" customHeight="1">
      <c r="A33" s="2">
        <v>29</v>
      </c>
      <c r="B33" s="4" t="s">
        <v>189</v>
      </c>
      <c r="C33" s="2" t="s">
        <v>9</v>
      </c>
      <c r="D33" s="2"/>
      <c r="E33" s="5">
        <v>1.5</v>
      </c>
      <c r="F33" s="5">
        <f t="shared" si="1"/>
        <v>0</v>
      </c>
      <c r="G33" s="2">
        <v>67</v>
      </c>
      <c r="H33" s="4" t="s">
        <v>190</v>
      </c>
      <c r="I33" s="2" t="s">
        <v>9</v>
      </c>
      <c r="J33" s="4"/>
      <c r="K33" s="2">
        <v>6.7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7.9</v>
      </c>
      <c r="F34" s="5">
        <f t="shared" si="1"/>
        <v>0</v>
      </c>
      <c r="G34" s="2">
        <v>68</v>
      </c>
      <c r="H34" s="4" t="s">
        <v>191</v>
      </c>
      <c r="I34" s="2" t="s">
        <v>9</v>
      </c>
      <c r="J34" s="4"/>
      <c r="K34" s="2">
        <v>6.7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7</v>
      </c>
      <c r="F35" s="20">
        <f t="shared" si="1"/>
        <v>0</v>
      </c>
      <c r="G35" s="2">
        <v>69</v>
      </c>
      <c r="H35" s="4" t="s">
        <v>192</v>
      </c>
      <c r="I35" s="2" t="s">
        <v>9</v>
      </c>
      <c r="J35" s="4"/>
      <c r="K35" s="2">
        <v>4.8</v>
      </c>
      <c r="L35" s="5">
        <f>J35*K35</f>
        <v>0</v>
      </c>
    </row>
    <row r="36" spans="1:12" ht="13.15" customHeight="1">
      <c r="A36" s="2">
        <v>32</v>
      </c>
      <c r="B36" s="4" t="s">
        <v>193</v>
      </c>
      <c r="C36" s="2" t="s">
        <v>9</v>
      </c>
      <c r="D36" s="2"/>
      <c r="E36" s="5">
        <v>10.25</v>
      </c>
      <c r="F36" s="20">
        <f>D36*E36</f>
        <v>0</v>
      </c>
      <c r="G36" s="2">
        <v>70</v>
      </c>
      <c r="H36" s="4" t="s">
        <v>194</v>
      </c>
      <c r="I36" s="2" t="s">
        <v>9</v>
      </c>
      <c r="J36" s="4"/>
      <c r="K36" s="2">
        <v>7.25</v>
      </c>
      <c r="L36" s="5">
        <f>J36*K36</f>
        <v>0</v>
      </c>
    </row>
    <row r="37" spans="1:12" ht="13.15" customHeight="1">
      <c r="A37" s="2">
        <v>33</v>
      </c>
      <c r="B37" s="4" t="s">
        <v>195</v>
      </c>
      <c r="C37" s="2" t="s">
        <v>9</v>
      </c>
      <c r="D37" s="2"/>
      <c r="E37" s="5">
        <v>6</v>
      </c>
      <c r="F37" s="20">
        <f>D37*E37</f>
        <v>0</v>
      </c>
      <c r="G37" s="2">
        <v>71</v>
      </c>
      <c r="H37" s="4" t="s">
        <v>196</v>
      </c>
      <c r="I37" s="2" t="s">
        <v>9</v>
      </c>
      <c r="J37" s="4"/>
      <c r="K37" s="2">
        <v>5.4</v>
      </c>
      <c r="L37" s="5">
        <f>J37*K37</f>
        <v>0</v>
      </c>
    </row>
    <row r="38" spans="1:12" ht="13.15" customHeight="1">
      <c r="A38" s="2">
        <v>34</v>
      </c>
      <c r="B38" s="4"/>
      <c r="C38" s="2" t="s">
        <v>9</v>
      </c>
      <c r="D38" s="2"/>
      <c r="E38" s="5">
        <v>0</v>
      </c>
      <c r="F38" s="20">
        <f>D38*E38</f>
        <v>0</v>
      </c>
      <c r="G38" s="2">
        <v>72</v>
      </c>
      <c r="H38" s="4" t="s">
        <v>197</v>
      </c>
      <c r="I38" s="2" t="s">
        <v>9</v>
      </c>
      <c r="J38" s="4"/>
      <c r="K38" s="2">
        <v>8.5</v>
      </c>
      <c r="L38" s="5">
        <f>J38*K38</f>
        <v>0</v>
      </c>
    </row>
    <row r="39" spans="1:12" ht="13.15" customHeight="1">
      <c r="A39" s="2">
        <v>35</v>
      </c>
      <c r="B39" s="4" t="s">
        <v>198</v>
      </c>
      <c r="C39" s="2" t="s">
        <v>9</v>
      </c>
      <c r="D39" s="2"/>
      <c r="E39" s="5">
        <v>8.5</v>
      </c>
      <c r="F39" s="20">
        <f>D39*E39</f>
        <v>0</v>
      </c>
      <c r="G39" s="2">
        <v>73</v>
      </c>
      <c r="H39" s="4" t="s">
        <v>199</v>
      </c>
      <c r="I39" s="2" t="s">
        <v>9</v>
      </c>
      <c r="J39" s="4"/>
      <c r="K39" s="2">
        <v>6.7</v>
      </c>
      <c r="L39" s="5">
        <f>J39*K39</f>
        <v>0</v>
      </c>
    </row>
    <row r="40" spans="1:12" ht="13.15" customHeight="1">
      <c r="K40" t="s">
        <v>200</v>
      </c>
      <c r="L40" s="25">
        <f>F5+F6+F7+F8+F9+F10+F11+F12+F13+F14+F15+F16+F17+F18+F19+F20+F21+F22+F23+F24+F25+F26+F27+F28+F29+F30+F31+F32+F33+F34+F35+F36+F37+F38+F39+L2+L3+L4+L5+L6+L7+L8+L9+L10+L11+L12+L13+L14+L15+L16+L17+L18+L19+L20+L21+L22+L23+L24+L25+L26+L27+L28+L29+L30+L31+L32+L33+L34+L35+L36+L37+L38+L39</f>
        <v>0</v>
      </c>
    </row>
    <row r="42" spans="1:12" ht="13.15" customHeight="1">
      <c r="H42" t="s">
        <v>201</v>
      </c>
      <c r="J42" t="s">
        <v>202</v>
      </c>
    </row>
  </sheetData>
  <mergeCells count="4">
    <mergeCell ref="A1:C1"/>
    <mergeCell ref="D1:F1"/>
    <mergeCell ref="A2:F2"/>
    <mergeCell ref="A3:F3"/>
  </mergeCells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>
  <sheetPr codeName="Лист77"/>
  <dimension ref="A1:L42"/>
  <sheetViews>
    <sheetView topLeftCell="A22" workbookViewId="0">
      <selection activeCell="N51" sqref="N51"/>
    </sheetView>
  </sheetViews>
  <sheetFormatPr defaultRowHeight="13.15" customHeight="1"/>
  <cols>
    <col min="1" max="1" width="5" style="17" customWidth="1"/>
    <col min="2" max="2" width="30.28515625" customWidth="1"/>
    <col min="3" max="3" width="6.85546875" customWidth="1"/>
    <col min="4" max="4" width="6.5703125" customWidth="1"/>
    <col min="6" max="6" width="8.85546875" style="17"/>
    <col min="7" max="7" width="4.7109375" style="17" customWidth="1"/>
    <col min="8" max="8" width="24.7109375" customWidth="1"/>
    <col min="9" max="9" width="6.7109375" customWidth="1"/>
    <col min="10" max="10" width="7" customWidth="1"/>
    <col min="12" max="12" width="8.85546875" style="17"/>
  </cols>
  <sheetData>
    <row r="1" spans="1:12" ht="13.15" customHeight="1">
      <c r="A1" s="30" t="s">
        <v>147</v>
      </c>
      <c r="B1" s="30"/>
      <c r="C1" s="30"/>
      <c r="D1" s="31" t="s">
        <v>148</v>
      </c>
      <c r="E1" s="30"/>
      <c r="F1" s="30"/>
      <c r="G1" s="16"/>
      <c r="H1" s="2" t="s">
        <v>2</v>
      </c>
      <c r="I1" s="1" t="s">
        <v>3</v>
      </c>
      <c r="J1" s="2" t="s">
        <v>4</v>
      </c>
      <c r="K1" s="2" t="s">
        <v>149</v>
      </c>
      <c r="L1" s="2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150</v>
      </c>
      <c r="I2" s="2" t="s">
        <v>9</v>
      </c>
      <c r="J2" s="2"/>
      <c r="K2" s="5">
        <v>8.5</v>
      </c>
      <c r="L2" s="5">
        <f t="shared" ref="L2:L34" si="0"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151</v>
      </c>
      <c r="I3" s="2" t="s">
        <v>9</v>
      </c>
      <c r="J3" s="2"/>
      <c r="K3" s="5">
        <v>8.5</v>
      </c>
      <c r="L3" s="5">
        <f t="shared" si="0"/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152</v>
      </c>
      <c r="I4" s="2" t="s">
        <v>9</v>
      </c>
      <c r="J4" s="2"/>
      <c r="K4" s="5">
        <v>8.5</v>
      </c>
      <c r="L4" s="5">
        <f t="shared" si="0"/>
        <v>0</v>
      </c>
    </row>
    <row r="5" spans="1:12" ht="13.15" customHeight="1">
      <c r="A5" s="2">
        <v>1</v>
      </c>
      <c r="B5" s="4" t="s">
        <v>153</v>
      </c>
      <c r="C5" s="2" t="s">
        <v>9</v>
      </c>
      <c r="D5" s="2"/>
      <c r="E5" s="5">
        <v>8.8000000000000007</v>
      </c>
      <c r="F5" s="20">
        <f>D5*E5</f>
        <v>0</v>
      </c>
      <c r="G5" s="2">
        <v>39</v>
      </c>
      <c r="H5" s="4" t="s">
        <v>154</v>
      </c>
      <c r="I5" s="2" t="s">
        <v>9</v>
      </c>
      <c r="J5" s="2"/>
      <c r="K5" s="5">
        <v>8.5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5.7</v>
      </c>
      <c r="F6" s="20">
        <f t="shared" ref="F6:F35" si="1">D6*E6</f>
        <v>0</v>
      </c>
      <c r="G6" s="2">
        <v>40</v>
      </c>
      <c r="H6" s="4" t="s">
        <v>155</v>
      </c>
      <c r="I6" s="2" t="s">
        <v>9</v>
      </c>
      <c r="J6" s="2"/>
      <c r="K6" s="5">
        <v>8.5</v>
      </c>
      <c r="L6" s="5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6.3</v>
      </c>
      <c r="F7" s="20">
        <f t="shared" si="1"/>
        <v>0</v>
      </c>
      <c r="G7" s="2">
        <v>41</v>
      </c>
      <c r="H7" s="4" t="s">
        <v>157</v>
      </c>
      <c r="I7" s="2" t="s">
        <v>9</v>
      </c>
      <c r="J7" s="2"/>
      <c r="K7" s="5">
        <v>8.5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9</v>
      </c>
      <c r="F8" s="20">
        <f t="shared" si="1"/>
        <v>0</v>
      </c>
      <c r="G8" s="2">
        <v>42</v>
      </c>
      <c r="H8" s="4" t="s">
        <v>158</v>
      </c>
      <c r="I8" s="2" t="s">
        <v>9</v>
      </c>
      <c r="J8" s="2"/>
      <c r="K8" s="5">
        <v>3.3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5.8</v>
      </c>
      <c r="F9" s="20">
        <f t="shared" si="1"/>
        <v>0</v>
      </c>
      <c r="G9" s="2">
        <v>43</v>
      </c>
      <c r="H9" s="4" t="s">
        <v>159</v>
      </c>
      <c r="I9" s="2" t="s">
        <v>9</v>
      </c>
      <c r="J9" s="2"/>
      <c r="K9" s="5">
        <v>3.8</v>
      </c>
      <c r="L9" s="5">
        <f t="shared" si="0"/>
        <v>0</v>
      </c>
    </row>
    <row r="10" spans="1:12" ht="13.15" customHeight="1">
      <c r="A10" s="2">
        <v>6</v>
      </c>
      <c r="B10" s="4" t="s">
        <v>160</v>
      </c>
      <c r="C10" s="2" t="s">
        <v>9</v>
      </c>
      <c r="D10" s="2"/>
      <c r="E10" s="5">
        <v>7.4</v>
      </c>
      <c r="F10" s="20">
        <f t="shared" si="1"/>
        <v>0</v>
      </c>
      <c r="G10" s="2">
        <v>44</v>
      </c>
      <c r="H10" s="4" t="s">
        <v>13</v>
      </c>
      <c r="I10" s="2" t="s">
        <v>9</v>
      </c>
      <c r="J10" s="2"/>
      <c r="K10" s="5">
        <v>3.3</v>
      </c>
      <c r="L10" s="5">
        <f t="shared" si="0"/>
        <v>0</v>
      </c>
    </row>
    <row r="11" spans="1:12" ht="13.15" customHeight="1">
      <c r="A11" s="2">
        <v>7</v>
      </c>
      <c r="B11" s="4" t="s">
        <v>78</v>
      </c>
      <c r="C11" s="2" t="s">
        <v>9</v>
      </c>
      <c r="D11" s="2"/>
      <c r="E11" s="5">
        <v>8.1</v>
      </c>
      <c r="F11" s="20">
        <f t="shared" si="1"/>
        <v>0</v>
      </c>
      <c r="G11" s="2">
        <v>45</v>
      </c>
      <c r="H11" s="4" t="s">
        <v>17</v>
      </c>
      <c r="I11" s="2" t="s">
        <v>9</v>
      </c>
      <c r="J11" s="2"/>
      <c r="K11" s="5">
        <v>2.6</v>
      </c>
      <c r="L11" s="5">
        <f t="shared" si="0"/>
        <v>0</v>
      </c>
    </row>
    <row r="12" spans="1:12" ht="13.15" customHeight="1">
      <c r="A12" s="2">
        <v>8</v>
      </c>
      <c r="B12" s="4" t="s">
        <v>80</v>
      </c>
      <c r="C12" s="2" t="s">
        <v>9</v>
      </c>
      <c r="D12" s="2"/>
      <c r="E12" s="5">
        <v>5.4</v>
      </c>
      <c r="F12" s="20">
        <f t="shared" si="1"/>
        <v>0</v>
      </c>
      <c r="G12" s="2">
        <v>46</v>
      </c>
      <c r="H12" s="4" t="s">
        <v>161</v>
      </c>
      <c r="I12" s="2" t="s">
        <v>9</v>
      </c>
      <c r="J12" s="2"/>
      <c r="K12" s="5">
        <v>2.6</v>
      </c>
      <c r="L12" s="5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6.3</v>
      </c>
      <c r="F13" s="20">
        <f t="shared" si="1"/>
        <v>0</v>
      </c>
      <c r="G13" s="2">
        <v>47</v>
      </c>
      <c r="H13" s="4" t="s">
        <v>163</v>
      </c>
      <c r="I13" s="2" t="s">
        <v>9</v>
      </c>
      <c r="J13" s="2"/>
      <c r="K13" s="5">
        <v>4.2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6.9</v>
      </c>
      <c r="F14" s="20">
        <f t="shared" si="1"/>
        <v>0</v>
      </c>
      <c r="G14" s="2">
        <v>48</v>
      </c>
      <c r="H14" s="4" t="s">
        <v>164</v>
      </c>
      <c r="I14" s="2" t="s">
        <v>9</v>
      </c>
      <c r="J14" s="2"/>
      <c r="K14" s="5">
        <v>4.2</v>
      </c>
      <c r="L14" s="5">
        <f t="shared" si="0"/>
        <v>0</v>
      </c>
    </row>
    <row r="15" spans="1:12" ht="13.15" customHeight="1">
      <c r="A15" s="2">
        <v>11</v>
      </c>
      <c r="B15" s="4" t="s">
        <v>165</v>
      </c>
      <c r="C15" s="2" t="s">
        <v>9</v>
      </c>
      <c r="D15" s="2"/>
      <c r="E15" s="5">
        <v>5.2</v>
      </c>
      <c r="F15" s="20">
        <f t="shared" si="1"/>
        <v>0</v>
      </c>
      <c r="G15" s="2">
        <v>49</v>
      </c>
      <c r="H15" s="4" t="s">
        <v>166</v>
      </c>
      <c r="I15" s="2" t="s">
        <v>9</v>
      </c>
      <c r="J15" s="2"/>
      <c r="K15" s="5">
        <v>4.2</v>
      </c>
      <c r="L15" s="5">
        <f t="shared" si="0"/>
        <v>0</v>
      </c>
    </row>
    <row r="16" spans="1:12" ht="13.15" customHeight="1">
      <c r="A16" s="2">
        <v>12</v>
      </c>
      <c r="B16" s="4" t="s">
        <v>167</v>
      </c>
      <c r="C16" s="2" t="s">
        <v>9</v>
      </c>
      <c r="D16" s="2"/>
      <c r="E16" s="5">
        <v>7.2</v>
      </c>
      <c r="F16" s="20">
        <f>D16*E16</f>
        <v>0</v>
      </c>
      <c r="G16" s="2">
        <v>50</v>
      </c>
      <c r="H16" s="4" t="s">
        <v>168</v>
      </c>
      <c r="I16" s="2" t="s">
        <v>9</v>
      </c>
      <c r="J16" s="2"/>
      <c r="K16" s="5">
        <v>0</v>
      </c>
      <c r="L16" s="5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7.8</v>
      </c>
      <c r="F17" s="20">
        <f t="shared" si="1"/>
        <v>0</v>
      </c>
      <c r="G17" s="2">
        <v>51</v>
      </c>
      <c r="H17" s="4" t="s">
        <v>169</v>
      </c>
      <c r="I17" s="2" t="s">
        <v>9</v>
      </c>
      <c r="J17" s="2"/>
      <c r="K17" s="5">
        <v>4.2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5.4</v>
      </c>
      <c r="F18" s="20">
        <f t="shared" si="1"/>
        <v>0</v>
      </c>
      <c r="G18" s="2">
        <v>52</v>
      </c>
      <c r="H18" s="4" t="s">
        <v>170</v>
      </c>
      <c r="I18" s="2" t="s">
        <v>9</v>
      </c>
      <c r="J18" s="2"/>
      <c r="K18" s="5">
        <v>3.8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</v>
      </c>
      <c r="F19" s="20">
        <f t="shared" si="1"/>
        <v>0</v>
      </c>
      <c r="G19" s="2">
        <v>53</v>
      </c>
      <c r="H19" s="4" t="s">
        <v>171</v>
      </c>
      <c r="I19" s="2" t="s">
        <v>9</v>
      </c>
      <c r="J19" s="2"/>
      <c r="K19" s="5">
        <v>3.8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3</v>
      </c>
      <c r="F20" s="20">
        <f t="shared" si="1"/>
        <v>0</v>
      </c>
      <c r="G20" s="2">
        <v>54</v>
      </c>
      <c r="H20" s="4" t="s">
        <v>172</v>
      </c>
      <c r="I20" s="2" t="s">
        <v>9</v>
      </c>
      <c r="J20" s="2"/>
      <c r="K20" s="5">
        <v>3.8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1.7</v>
      </c>
      <c r="F21" s="20">
        <f t="shared" si="1"/>
        <v>0</v>
      </c>
      <c r="G21" s="2">
        <v>55</v>
      </c>
      <c r="H21" s="4" t="s">
        <v>173</v>
      </c>
      <c r="I21" s="2" t="s">
        <v>9</v>
      </c>
      <c r="J21" s="2"/>
      <c r="K21" s="5">
        <v>3.8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7.5</v>
      </c>
      <c r="F22" s="20">
        <f t="shared" si="1"/>
        <v>0</v>
      </c>
      <c r="G22" s="2">
        <v>56</v>
      </c>
      <c r="H22" s="4" t="s">
        <v>174</v>
      </c>
      <c r="I22" s="2" t="s">
        <v>9</v>
      </c>
      <c r="J22" s="2"/>
      <c r="K22" s="5">
        <v>10</v>
      </c>
      <c r="L22" s="5">
        <f t="shared" si="0"/>
        <v>0</v>
      </c>
    </row>
    <row r="23" spans="1:12" ht="13.15" customHeight="1">
      <c r="A23" s="2">
        <v>19</v>
      </c>
      <c r="B23" s="4" t="s">
        <v>175</v>
      </c>
      <c r="C23" s="2" t="s">
        <v>9</v>
      </c>
      <c r="D23" s="2"/>
      <c r="E23" s="5">
        <v>8</v>
      </c>
      <c r="F23" s="20">
        <f t="shared" si="1"/>
        <v>0</v>
      </c>
      <c r="G23" s="2">
        <v>57</v>
      </c>
      <c r="H23" s="4" t="s">
        <v>176</v>
      </c>
      <c r="I23" s="2" t="s">
        <v>9</v>
      </c>
      <c r="J23" s="4"/>
      <c r="K23" s="2">
        <v>8.8000000000000007</v>
      </c>
      <c r="L23" s="5">
        <f t="shared" si="0"/>
        <v>0</v>
      </c>
    </row>
    <row r="24" spans="1:12" ht="13.15" customHeight="1">
      <c r="A24" s="2">
        <v>20</v>
      </c>
      <c r="B24" s="4" t="s">
        <v>177</v>
      </c>
      <c r="C24" s="2" t="s">
        <v>9</v>
      </c>
      <c r="D24" s="2"/>
      <c r="E24" s="5">
        <v>8.4</v>
      </c>
      <c r="F24" s="20">
        <f t="shared" si="1"/>
        <v>0</v>
      </c>
      <c r="G24" s="2">
        <v>58</v>
      </c>
      <c r="H24" s="4" t="s">
        <v>178</v>
      </c>
      <c r="I24" s="2" t="s">
        <v>9</v>
      </c>
      <c r="J24" s="4"/>
      <c r="K24" s="2">
        <v>7.2</v>
      </c>
      <c r="L24" s="5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8.8000000000000007</v>
      </c>
      <c r="F25" s="20">
        <f t="shared" si="1"/>
        <v>0</v>
      </c>
      <c r="G25" s="2">
        <v>59</v>
      </c>
      <c r="H25" s="4" t="s">
        <v>179</v>
      </c>
      <c r="I25" s="2" t="s">
        <v>9</v>
      </c>
      <c r="J25" s="4"/>
      <c r="K25" s="2">
        <v>8.5</v>
      </c>
      <c r="L25" s="5">
        <f t="shared" si="0"/>
        <v>0</v>
      </c>
    </row>
    <row r="26" spans="1:12" ht="13.15" customHeight="1">
      <c r="A26" s="2">
        <v>22</v>
      </c>
      <c r="B26" s="4" t="s">
        <v>180</v>
      </c>
      <c r="C26" s="2" t="s">
        <v>9</v>
      </c>
      <c r="D26" s="2"/>
      <c r="E26" s="5">
        <v>6</v>
      </c>
      <c r="F26" s="20">
        <f t="shared" si="1"/>
        <v>0</v>
      </c>
      <c r="G26" s="2">
        <v>60</v>
      </c>
      <c r="H26" s="4" t="s">
        <v>131</v>
      </c>
      <c r="I26" s="2" t="s">
        <v>9</v>
      </c>
      <c r="J26" s="4"/>
      <c r="K26" s="2">
        <v>4.2</v>
      </c>
      <c r="L26" s="5">
        <f t="shared" si="0"/>
        <v>0</v>
      </c>
    </row>
    <row r="27" spans="1:12" ht="13.15" customHeight="1">
      <c r="A27" s="2">
        <v>23</v>
      </c>
      <c r="B27" s="4" t="s">
        <v>181</v>
      </c>
      <c r="C27" s="2" t="s">
        <v>9</v>
      </c>
      <c r="D27" s="2"/>
      <c r="E27" s="5">
        <v>3.8</v>
      </c>
      <c r="F27" s="20">
        <f t="shared" si="1"/>
        <v>0</v>
      </c>
      <c r="G27" s="2">
        <v>61</v>
      </c>
      <c r="H27" s="4" t="s">
        <v>182</v>
      </c>
      <c r="I27" s="2" t="s">
        <v>9</v>
      </c>
      <c r="J27" s="4"/>
      <c r="K27" s="2">
        <v>13.5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6.3</v>
      </c>
      <c r="F28" s="20">
        <f t="shared" si="1"/>
        <v>0</v>
      </c>
      <c r="G28" s="2">
        <v>62</v>
      </c>
      <c r="H28" s="4" t="s">
        <v>183</v>
      </c>
      <c r="I28" s="2" t="s">
        <v>9</v>
      </c>
      <c r="J28" s="4"/>
      <c r="K28" s="2">
        <v>12.8</v>
      </c>
      <c r="L28" s="5">
        <f t="shared" si="0"/>
        <v>0</v>
      </c>
    </row>
    <row r="29" spans="1:12" ht="13.15" customHeight="1">
      <c r="A29" s="2">
        <v>25</v>
      </c>
      <c r="B29" s="4" t="s">
        <v>184</v>
      </c>
      <c r="C29" s="2" t="s">
        <v>9</v>
      </c>
      <c r="D29" s="2"/>
      <c r="E29" s="5">
        <v>7.7</v>
      </c>
      <c r="F29" s="20">
        <f t="shared" si="1"/>
        <v>0</v>
      </c>
      <c r="G29" s="2">
        <v>63</v>
      </c>
      <c r="H29" s="4" t="s">
        <v>185</v>
      </c>
      <c r="I29" s="2" t="s">
        <v>9</v>
      </c>
      <c r="J29" s="4"/>
      <c r="K29" s="2">
        <v>8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6.2</v>
      </c>
      <c r="F30" s="5">
        <f t="shared" si="1"/>
        <v>0</v>
      </c>
      <c r="G30" s="2">
        <v>64</v>
      </c>
      <c r="H30" s="4" t="s">
        <v>186</v>
      </c>
      <c r="I30" s="2" t="s">
        <v>9</v>
      </c>
      <c r="J30" s="4"/>
      <c r="K30" s="2">
        <v>7.25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7</v>
      </c>
      <c r="F31" s="5">
        <f t="shared" si="1"/>
        <v>0</v>
      </c>
      <c r="G31" s="2">
        <v>65</v>
      </c>
      <c r="H31" s="4" t="s">
        <v>187</v>
      </c>
      <c r="I31" s="2" t="s">
        <v>9</v>
      </c>
      <c r="J31" s="4"/>
      <c r="K31" s="2">
        <v>10.8</v>
      </c>
      <c r="L31" s="5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10</v>
      </c>
      <c r="F32" s="20">
        <f t="shared" si="1"/>
        <v>0</v>
      </c>
      <c r="G32" s="2">
        <v>66</v>
      </c>
      <c r="H32" s="4" t="s">
        <v>188</v>
      </c>
      <c r="I32" s="2" t="s">
        <v>9</v>
      </c>
      <c r="J32" s="4"/>
      <c r="K32" s="2">
        <v>3.8</v>
      </c>
      <c r="L32" s="5">
        <f t="shared" si="0"/>
        <v>0</v>
      </c>
    </row>
    <row r="33" spans="1:12" ht="13.15" customHeight="1">
      <c r="A33" s="2">
        <v>29</v>
      </c>
      <c r="B33" s="4" t="s">
        <v>189</v>
      </c>
      <c r="C33" s="2" t="s">
        <v>9</v>
      </c>
      <c r="D33" s="2"/>
      <c r="E33" s="5">
        <v>1.5</v>
      </c>
      <c r="F33" s="5">
        <f t="shared" si="1"/>
        <v>0</v>
      </c>
      <c r="G33" s="2">
        <v>67</v>
      </c>
      <c r="H33" s="4" t="s">
        <v>190</v>
      </c>
      <c r="I33" s="2" t="s">
        <v>9</v>
      </c>
      <c r="J33" s="4"/>
      <c r="K33" s="2">
        <v>6.7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7.9</v>
      </c>
      <c r="F34" s="5">
        <f t="shared" si="1"/>
        <v>0</v>
      </c>
      <c r="G34" s="2">
        <v>68</v>
      </c>
      <c r="H34" s="4" t="s">
        <v>191</v>
      </c>
      <c r="I34" s="2" t="s">
        <v>9</v>
      </c>
      <c r="J34" s="4"/>
      <c r="K34" s="2">
        <v>6.7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7</v>
      </c>
      <c r="F35" s="20">
        <f t="shared" si="1"/>
        <v>0</v>
      </c>
      <c r="G35" s="2">
        <v>69</v>
      </c>
      <c r="H35" s="4" t="s">
        <v>192</v>
      </c>
      <c r="I35" s="2" t="s">
        <v>9</v>
      </c>
      <c r="J35" s="4"/>
      <c r="K35" s="2">
        <v>4.8</v>
      </c>
      <c r="L35" s="5">
        <f>J35*K35</f>
        <v>0</v>
      </c>
    </row>
    <row r="36" spans="1:12" ht="13.15" customHeight="1">
      <c r="A36" s="2">
        <v>32</v>
      </c>
      <c r="B36" s="4" t="s">
        <v>193</v>
      </c>
      <c r="C36" s="2" t="s">
        <v>9</v>
      </c>
      <c r="D36" s="2"/>
      <c r="E36" s="5">
        <v>10.25</v>
      </c>
      <c r="F36" s="20">
        <f>D36*E36</f>
        <v>0</v>
      </c>
      <c r="G36" s="2">
        <v>70</v>
      </c>
      <c r="H36" s="4" t="s">
        <v>194</v>
      </c>
      <c r="I36" s="2" t="s">
        <v>9</v>
      </c>
      <c r="J36" s="4"/>
      <c r="K36" s="2">
        <v>7.25</v>
      </c>
      <c r="L36" s="5">
        <f>J36*K36</f>
        <v>0</v>
      </c>
    </row>
    <row r="37" spans="1:12" ht="13.15" customHeight="1">
      <c r="A37" s="2">
        <v>33</v>
      </c>
      <c r="B37" s="4" t="s">
        <v>195</v>
      </c>
      <c r="C37" s="2" t="s">
        <v>9</v>
      </c>
      <c r="D37" s="2"/>
      <c r="E37" s="5">
        <v>6</v>
      </c>
      <c r="F37" s="20">
        <f>D37*E37</f>
        <v>0</v>
      </c>
      <c r="G37" s="2">
        <v>71</v>
      </c>
      <c r="H37" s="4" t="s">
        <v>196</v>
      </c>
      <c r="I37" s="2" t="s">
        <v>9</v>
      </c>
      <c r="J37" s="4"/>
      <c r="K37" s="2">
        <v>5.4</v>
      </c>
      <c r="L37" s="5">
        <f>J37*K37</f>
        <v>0</v>
      </c>
    </row>
    <row r="38" spans="1:12" ht="13.15" customHeight="1">
      <c r="A38" s="2">
        <v>34</v>
      </c>
      <c r="B38" s="4"/>
      <c r="C38" s="2" t="s">
        <v>9</v>
      </c>
      <c r="D38" s="2"/>
      <c r="E38" s="5">
        <v>0</v>
      </c>
      <c r="F38" s="20">
        <f>D38*E38</f>
        <v>0</v>
      </c>
      <c r="G38" s="2">
        <v>72</v>
      </c>
      <c r="H38" s="4" t="s">
        <v>197</v>
      </c>
      <c r="I38" s="2" t="s">
        <v>9</v>
      </c>
      <c r="J38" s="4"/>
      <c r="K38" s="2">
        <v>8.5</v>
      </c>
      <c r="L38" s="5">
        <f>J38*K38</f>
        <v>0</v>
      </c>
    </row>
    <row r="39" spans="1:12" ht="13.15" customHeight="1">
      <c r="A39" s="2">
        <v>35</v>
      </c>
      <c r="B39" s="4" t="s">
        <v>198</v>
      </c>
      <c r="C39" s="2" t="s">
        <v>9</v>
      </c>
      <c r="D39" s="2"/>
      <c r="E39" s="5">
        <v>8.5</v>
      </c>
      <c r="F39" s="20">
        <f>D39*E39</f>
        <v>0</v>
      </c>
      <c r="G39" s="2">
        <v>73</v>
      </c>
      <c r="H39" s="4" t="s">
        <v>199</v>
      </c>
      <c r="I39" s="2" t="s">
        <v>9</v>
      </c>
      <c r="J39" s="4"/>
      <c r="K39" s="2">
        <v>6.7</v>
      </c>
      <c r="L39" s="5">
        <f>J39*K39</f>
        <v>0</v>
      </c>
    </row>
    <row r="40" spans="1:12" ht="13.15" customHeight="1">
      <c r="K40" t="s">
        <v>200</v>
      </c>
      <c r="L40" s="25">
        <f>F5+F6+F7+F8+F9+F10+F11+F12+F13+F14+F15+F16+F17+F18+F19+F20+F21+F22+F23+F24+F25+F26+F27+F28+F29+F30+F31+F32+F33+F34+F35+F36+F37+F38+F39+L2+L3+L4+L5+L6+L7+L8+L9+L10+L11+L12+L13+L14+L15+L16+L17+L18+L19+L20+L21+L22+L23+L24+L25+L26+L27+L28+L29+L30+L31+L32+L33+L34+L35+L36+L37+L38+L39</f>
        <v>0</v>
      </c>
    </row>
    <row r="42" spans="1:12" ht="13.15" customHeight="1">
      <c r="H42" t="s">
        <v>201</v>
      </c>
      <c r="J42" t="s">
        <v>202</v>
      </c>
    </row>
  </sheetData>
  <mergeCells count="4">
    <mergeCell ref="A1:C1"/>
    <mergeCell ref="D1:F1"/>
    <mergeCell ref="A2:F2"/>
    <mergeCell ref="A3:F3"/>
  </mergeCells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>
  <sheetPr codeName="Лист78"/>
  <dimension ref="A1:L42"/>
  <sheetViews>
    <sheetView topLeftCell="A22" workbookViewId="0">
      <selection activeCell="N51" sqref="N51"/>
    </sheetView>
  </sheetViews>
  <sheetFormatPr defaultRowHeight="13.15" customHeight="1"/>
  <cols>
    <col min="1" max="1" width="5" style="17" customWidth="1"/>
    <col min="2" max="2" width="30.28515625" customWidth="1"/>
    <col min="3" max="3" width="6.85546875" customWidth="1"/>
    <col min="4" max="4" width="6.5703125" customWidth="1"/>
    <col min="6" max="6" width="8.85546875" style="17"/>
    <col min="7" max="7" width="4.7109375" style="17" customWidth="1"/>
    <col min="8" max="8" width="24.7109375" customWidth="1"/>
    <col min="9" max="9" width="6.7109375" customWidth="1"/>
    <col min="10" max="10" width="7" customWidth="1"/>
    <col min="12" max="12" width="8.85546875" style="17"/>
  </cols>
  <sheetData>
    <row r="1" spans="1:12" ht="13.15" customHeight="1">
      <c r="A1" s="30" t="s">
        <v>147</v>
      </c>
      <c r="B1" s="30"/>
      <c r="C1" s="30"/>
      <c r="D1" s="31" t="s">
        <v>148</v>
      </c>
      <c r="E1" s="30"/>
      <c r="F1" s="30"/>
      <c r="G1" s="16"/>
      <c r="H1" s="2" t="s">
        <v>2</v>
      </c>
      <c r="I1" s="1" t="s">
        <v>3</v>
      </c>
      <c r="J1" s="2" t="s">
        <v>4</v>
      </c>
      <c r="K1" s="2" t="s">
        <v>149</v>
      </c>
      <c r="L1" s="2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150</v>
      </c>
      <c r="I2" s="2" t="s">
        <v>9</v>
      </c>
      <c r="J2" s="2"/>
      <c r="K2" s="5">
        <v>8.5</v>
      </c>
      <c r="L2" s="5">
        <f t="shared" ref="L2:L34" si="0"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151</v>
      </c>
      <c r="I3" s="2" t="s">
        <v>9</v>
      </c>
      <c r="J3" s="2"/>
      <c r="K3" s="5">
        <v>8.5</v>
      </c>
      <c r="L3" s="5">
        <f t="shared" si="0"/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152</v>
      </c>
      <c r="I4" s="2" t="s">
        <v>9</v>
      </c>
      <c r="J4" s="2"/>
      <c r="K4" s="5">
        <v>8.5</v>
      </c>
      <c r="L4" s="5">
        <f t="shared" si="0"/>
        <v>0</v>
      </c>
    </row>
    <row r="5" spans="1:12" ht="13.15" customHeight="1">
      <c r="A5" s="2">
        <v>1</v>
      </c>
      <c r="B5" s="4" t="s">
        <v>153</v>
      </c>
      <c r="C5" s="2" t="s">
        <v>9</v>
      </c>
      <c r="D5" s="2"/>
      <c r="E5" s="5">
        <v>8.8000000000000007</v>
      </c>
      <c r="F5" s="20">
        <f>D5*E5</f>
        <v>0</v>
      </c>
      <c r="G5" s="2">
        <v>39</v>
      </c>
      <c r="H5" s="4" t="s">
        <v>154</v>
      </c>
      <c r="I5" s="2" t="s">
        <v>9</v>
      </c>
      <c r="J5" s="2"/>
      <c r="K5" s="5">
        <v>8.5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5.7</v>
      </c>
      <c r="F6" s="20">
        <f t="shared" ref="F6:F35" si="1">D6*E6</f>
        <v>0</v>
      </c>
      <c r="G6" s="2">
        <v>40</v>
      </c>
      <c r="H6" s="4" t="s">
        <v>155</v>
      </c>
      <c r="I6" s="2" t="s">
        <v>9</v>
      </c>
      <c r="J6" s="2"/>
      <c r="K6" s="5">
        <v>8.5</v>
      </c>
      <c r="L6" s="5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6.3</v>
      </c>
      <c r="F7" s="20">
        <f t="shared" si="1"/>
        <v>0</v>
      </c>
      <c r="G7" s="2">
        <v>41</v>
      </c>
      <c r="H7" s="4" t="s">
        <v>157</v>
      </c>
      <c r="I7" s="2" t="s">
        <v>9</v>
      </c>
      <c r="J7" s="2"/>
      <c r="K7" s="5">
        <v>8.5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9</v>
      </c>
      <c r="F8" s="20">
        <f t="shared" si="1"/>
        <v>0</v>
      </c>
      <c r="G8" s="2">
        <v>42</v>
      </c>
      <c r="H8" s="4" t="s">
        <v>158</v>
      </c>
      <c r="I8" s="2" t="s">
        <v>9</v>
      </c>
      <c r="J8" s="2"/>
      <c r="K8" s="5">
        <v>3.3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5.8</v>
      </c>
      <c r="F9" s="20">
        <f t="shared" si="1"/>
        <v>0</v>
      </c>
      <c r="G9" s="2">
        <v>43</v>
      </c>
      <c r="H9" s="4" t="s">
        <v>159</v>
      </c>
      <c r="I9" s="2" t="s">
        <v>9</v>
      </c>
      <c r="J9" s="2"/>
      <c r="K9" s="5">
        <v>3.8</v>
      </c>
      <c r="L9" s="5">
        <f t="shared" si="0"/>
        <v>0</v>
      </c>
    </row>
    <row r="10" spans="1:12" ht="13.15" customHeight="1">
      <c r="A10" s="2">
        <v>6</v>
      </c>
      <c r="B10" s="4" t="s">
        <v>160</v>
      </c>
      <c r="C10" s="2" t="s">
        <v>9</v>
      </c>
      <c r="D10" s="2"/>
      <c r="E10" s="5">
        <v>7.4</v>
      </c>
      <c r="F10" s="20">
        <f t="shared" si="1"/>
        <v>0</v>
      </c>
      <c r="G10" s="2">
        <v>44</v>
      </c>
      <c r="H10" s="4" t="s">
        <v>13</v>
      </c>
      <c r="I10" s="2" t="s">
        <v>9</v>
      </c>
      <c r="J10" s="2"/>
      <c r="K10" s="5">
        <v>3.3</v>
      </c>
      <c r="L10" s="5">
        <f t="shared" si="0"/>
        <v>0</v>
      </c>
    </row>
    <row r="11" spans="1:12" ht="13.15" customHeight="1">
      <c r="A11" s="2">
        <v>7</v>
      </c>
      <c r="B11" s="4" t="s">
        <v>78</v>
      </c>
      <c r="C11" s="2" t="s">
        <v>9</v>
      </c>
      <c r="D11" s="2"/>
      <c r="E11" s="5">
        <v>8.1</v>
      </c>
      <c r="F11" s="20">
        <f t="shared" si="1"/>
        <v>0</v>
      </c>
      <c r="G11" s="2">
        <v>45</v>
      </c>
      <c r="H11" s="4" t="s">
        <v>17</v>
      </c>
      <c r="I11" s="2" t="s">
        <v>9</v>
      </c>
      <c r="J11" s="2"/>
      <c r="K11" s="5">
        <v>2.6</v>
      </c>
      <c r="L11" s="5">
        <f t="shared" si="0"/>
        <v>0</v>
      </c>
    </row>
    <row r="12" spans="1:12" ht="13.15" customHeight="1">
      <c r="A12" s="2">
        <v>8</v>
      </c>
      <c r="B12" s="4" t="s">
        <v>80</v>
      </c>
      <c r="C12" s="2" t="s">
        <v>9</v>
      </c>
      <c r="D12" s="2"/>
      <c r="E12" s="5">
        <v>5.4</v>
      </c>
      <c r="F12" s="20">
        <f t="shared" si="1"/>
        <v>0</v>
      </c>
      <c r="G12" s="2">
        <v>46</v>
      </c>
      <c r="H12" s="4" t="s">
        <v>161</v>
      </c>
      <c r="I12" s="2" t="s">
        <v>9</v>
      </c>
      <c r="J12" s="2"/>
      <c r="K12" s="5">
        <v>2.6</v>
      </c>
      <c r="L12" s="5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6.3</v>
      </c>
      <c r="F13" s="20">
        <f t="shared" si="1"/>
        <v>0</v>
      </c>
      <c r="G13" s="2">
        <v>47</v>
      </c>
      <c r="H13" s="4" t="s">
        <v>163</v>
      </c>
      <c r="I13" s="2" t="s">
        <v>9</v>
      </c>
      <c r="J13" s="2"/>
      <c r="K13" s="5">
        <v>4.2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6.9</v>
      </c>
      <c r="F14" s="20">
        <f t="shared" si="1"/>
        <v>0</v>
      </c>
      <c r="G14" s="2">
        <v>48</v>
      </c>
      <c r="H14" s="4" t="s">
        <v>164</v>
      </c>
      <c r="I14" s="2" t="s">
        <v>9</v>
      </c>
      <c r="J14" s="2"/>
      <c r="K14" s="5">
        <v>4.2</v>
      </c>
      <c r="L14" s="5">
        <f t="shared" si="0"/>
        <v>0</v>
      </c>
    </row>
    <row r="15" spans="1:12" ht="13.15" customHeight="1">
      <c r="A15" s="2">
        <v>11</v>
      </c>
      <c r="B15" s="4" t="s">
        <v>165</v>
      </c>
      <c r="C15" s="2" t="s">
        <v>9</v>
      </c>
      <c r="D15" s="2"/>
      <c r="E15" s="5">
        <v>5.2</v>
      </c>
      <c r="F15" s="20">
        <f t="shared" si="1"/>
        <v>0</v>
      </c>
      <c r="G15" s="2">
        <v>49</v>
      </c>
      <c r="H15" s="4" t="s">
        <v>166</v>
      </c>
      <c r="I15" s="2" t="s">
        <v>9</v>
      </c>
      <c r="J15" s="2"/>
      <c r="K15" s="5">
        <v>4.2</v>
      </c>
      <c r="L15" s="5">
        <f t="shared" si="0"/>
        <v>0</v>
      </c>
    </row>
    <row r="16" spans="1:12" ht="13.15" customHeight="1">
      <c r="A16" s="2">
        <v>12</v>
      </c>
      <c r="B16" s="4" t="s">
        <v>167</v>
      </c>
      <c r="C16" s="2" t="s">
        <v>9</v>
      </c>
      <c r="D16" s="2"/>
      <c r="E16" s="5">
        <v>7.2</v>
      </c>
      <c r="F16" s="20">
        <f>D16*E16</f>
        <v>0</v>
      </c>
      <c r="G16" s="2">
        <v>50</v>
      </c>
      <c r="H16" s="4" t="s">
        <v>168</v>
      </c>
      <c r="I16" s="2" t="s">
        <v>9</v>
      </c>
      <c r="J16" s="2"/>
      <c r="K16" s="5">
        <v>0</v>
      </c>
      <c r="L16" s="5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7.8</v>
      </c>
      <c r="F17" s="20">
        <f t="shared" si="1"/>
        <v>0</v>
      </c>
      <c r="G17" s="2">
        <v>51</v>
      </c>
      <c r="H17" s="4" t="s">
        <v>169</v>
      </c>
      <c r="I17" s="2" t="s">
        <v>9</v>
      </c>
      <c r="J17" s="2"/>
      <c r="K17" s="5">
        <v>4.2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5.4</v>
      </c>
      <c r="F18" s="20">
        <f t="shared" si="1"/>
        <v>0</v>
      </c>
      <c r="G18" s="2">
        <v>52</v>
      </c>
      <c r="H18" s="4" t="s">
        <v>170</v>
      </c>
      <c r="I18" s="2" t="s">
        <v>9</v>
      </c>
      <c r="J18" s="2"/>
      <c r="K18" s="5">
        <v>3.8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</v>
      </c>
      <c r="F19" s="20">
        <f t="shared" si="1"/>
        <v>0</v>
      </c>
      <c r="G19" s="2">
        <v>53</v>
      </c>
      <c r="H19" s="4" t="s">
        <v>171</v>
      </c>
      <c r="I19" s="2" t="s">
        <v>9</v>
      </c>
      <c r="J19" s="2"/>
      <c r="K19" s="5">
        <v>3.8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3</v>
      </c>
      <c r="F20" s="20">
        <f t="shared" si="1"/>
        <v>0</v>
      </c>
      <c r="G20" s="2">
        <v>54</v>
      </c>
      <c r="H20" s="4" t="s">
        <v>172</v>
      </c>
      <c r="I20" s="2" t="s">
        <v>9</v>
      </c>
      <c r="J20" s="2"/>
      <c r="K20" s="5">
        <v>3.8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1.7</v>
      </c>
      <c r="F21" s="20">
        <f t="shared" si="1"/>
        <v>0</v>
      </c>
      <c r="G21" s="2">
        <v>55</v>
      </c>
      <c r="H21" s="4" t="s">
        <v>173</v>
      </c>
      <c r="I21" s="2" t="s">
        <v>9</v>
      </c>
      <c r="J21" s="2"/>
      <c r="K21" s="5">
        <v>3.8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7.5</v>
      </c>
      <c r="F22" s="20">
        <f t="shared" si="1"/>
        <v>0</v>
      </c>
      <c r="G22" s="2">
        <v>56</v>
      </c>
      <c r="H22" s="4" t="s">
        <v>174</v>
      </c>
      <c r="I22" s="2" t="s">
        <v>9</v>
      </c>
      <c r="J22" s="2"/>
      <c r="K22" s="5">
        <v>10</v>
      </c>
      <c r="L22" s="5">
        <f t="shared" si="0"/>
        <v>0</v>
      </c>
    </row>
    <row r="23" spans="1:12" ht="13.15" customHeight="1">
      <c r="A23" s="2">
        <v>19</v>
      </c>
      <c r="B23" s="4" t="s">
        <v>175</v>
      </c>
      <c r="C23" s="2" t="s">
        <v>9</v>
      </c>
      <c r="D23" s="2"/>
      <c r="E23" s="5">
        <v>8</v>
      </c>
      <c r="F23" s="20">
        <f t="shared" si="1"/>
        <v>0</v>
      </c>
      <c r="G23" s="2">
        <v>57</v>
      </c>
      <c r="H23" s="4" t="s">
        <v>176</v>
      </c>
      <c r="I23" s="2" t="s">
        <v>9</v>
      </c>
      <c r="J23" s="4"/>
      <c r="K23" s="2">
        <v>8.8000000000000007</v>
      </c>
      <c r="L23" s="5">
        <f t="shared" si="0"/>
        <v>0</v>
      </c>
    </row>
    <row r="24" spans="1:12" ht="13.15" customHeight="1">
      <c r="A24" s="2">
        <v>20</v>
      </c>
      <c r="B24" s="4" t="s">
        <v>177</v>
      </c>
      <c r="C24" s="2" t="s">
        <v>9</v>
      </c>
      <c r="D24" s="2"/>
      <c r="E24" s="5">
        <v>8.4</v>
      </c>
      <c r="F24" s="20">
        <f t="shared" si="1"/>
        <v>0</v>
      </c>
      <c r="G24" s="2">
        <v>58</v>
      </c>
      <c r="H24" s="4" t="s">
        <v>178</v>
      </c>
      <c r="I24" s="2" t="s">
        <v>9</v>
      </c>
      <c r="J24" s="4"/>
      <c r="K24" s="2">
        <v>7.2</v>
      </c>
      <c r="L24" s="5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8.8000000000000007</v>
      </c>
      <c r="F25" s="20">
        <f t="shared" si="1"/>
        <v>0</v>
      </c>
      <c r="G25" s="2">
        <v>59</v>
      </c>
      <c r="H25" s="4" t="s">
        <v>179</v>
      </c>
      <c r="I25" s="2" t="s">
        <v>9</v>
      </c>
      <c r="J25" s="4"/>
      <c r="K25" s="2">
        <v>8.5</v>
      </c>
      <c r="L25" s="5">
        <f t="shared" si="0"/>
        <v>0</v>
      </c>
    </row>
    <row r="26" spans="1:12" ht="13.15" customHeight="1">
      <c r="A26" s="2">
        <v>22</v>
      </c>
      <c r="B26" s="4" t="s">
        <v>180</v>
      </c>
      <c r="C26" s="2" t="s">
        <v>9</v>
      </c>
      <c r="D26" s="2"/>
      <c r="E26" s="5">
        <v>6</v>
      </c>
      <c r="F26" s="20">
        <f t="shared" si="1"/>
        <v>0</v>
      </c>
      <c r="G26" s="2">
        <v>60</v>
      </c>
      <c r="H26" s="4" t="s">
        <v>131</v>
      </c>
      <c r="I26" s="2" t="s">
        <v>9</v>
      </c>
      <c r="J26" s="4"/>
      <c r="K26" s="2">
        <v>4.2</v>
      </c>
      <c r="L26" s="5">
        <f t="shared" si="0"/>
        <v>0</v>
      </c>
    </row>
    <row r="27" spans="1:12" ht="13.15" customHeight="1">
      <c r="A27" s="2">
        <v>23</v>
      </c>
      <c r="B27" s="4" t="s">
        <v>181</v>
      </c>
      <c r="C27" s="2" t="s">
        <v>9</v>
      </c>
      <c r="D27" s="2"/>
      <c r="E27" s="5">
        <v>3.8</v>
      </c>
      <c r="F27" s="20">
        <f t="shared" si="1"/>
        <v>0</v>
      </c>
      <c r="G27" s="2">
        <v>61</v>
      </c>
      <c r="H27" s="4" t="s">
        <v>182</v>
      </c>
      <c r="I27" s="2" t="s">
        <v>9</v>
      </c>
      <c r="J27" s="4"/>
      <c r="K27" s="2">
        <v>13.5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6.3</v>
      </c>
      <c r="F28" s="20">
        <f t="shared" si="1"/>
        <v>0</v>
      </c>
      <c r="G28" s="2">
        <v>62</v>
      </c>
      <c r="H28" s="4" t="s">
        <v>183</v>
      </c>
      <c r="I28" s="2" t="s">
        <v>9</v>
      </c>
      <c r="J28" s="4"/>
      <c r="K28" s="2">
        <v>12.8</v>
      </c>
      <c r="L28" s="5">
        <f t="shared" si="0"/>
        <v>0</v>
      </c>
    </row>
    <row r="29" spans="1:12" ht="13.15" customHeight="1">
      <c r="A29" s="2">
        <v>25</v>
      </c>
      <c r="B29" s="4" t="s">
        <v>184</v>
      </c>
      <c r="C29" s="2" t="s">
        <v>9</v>
      </c>
      <c r="D29" s="2"/>
      <c r="E29" s="5">
        <v>7.7</v>
      </c>
      <c r="F29" s="20">
        <f t="shared" si="1"/>
        <v>0</v>
      </c>
      <c r="G29" s="2">
        <v>63</v>
      </c>
      <c r="H29" s="4" t="s">
        <v>185</v>
      </c>
      <c r="I29" s="2" t="s">
        <v>9</v>
      </c>
      <c r="J29" s="4"/>
      <c r="K29" s="2">
        <v>8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6.2</v>
      </c>
      <c r="F30" s="5">
        <f t="shared" si="1"/>
        <v>0</v>
      </c>
      <c r="G30" s="2">
        <v>64</v>
      </c>
      <c r="H30" s="4" t="s">
        <v>186</v>
      </c>
      <c r="I30" s="2" t="s">
        <v>9</v>
      </c>
      <c r="J30" s="4"/>
      <c r="K30" s="2">
        <v>7.25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7</v>
      </c>
      <c r="F31" s="5">
        <f t="shared" si="1"/>
        <v>0</v>
      </c>
      <c r="G31" s="2">
        <v>65</v>
      </c>
      <c r="H31" s="4" t="s">
        <v>187</v>
      </c>
      <c r="I31" s="2" t="s">
        <v>9</v>
      </c>
      <c r="J31" s="4"/>
      <c r="K31" s="2">
        <v>10.8</v>
      </c>
      <c r="L31" s="5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10</v>
      </c>
      <c r="F32" s="20">
        <f t="shared" si="1"/>
        <v>0</v>
      </c>
      <c r="G32" s="2">
        <v>66</v>
      </c>
      <c r="H32" s="4" t="s">
        <v>188</v>
      </c>
      <c r="I32" s="2" t="s">
        <v>9</v>
      </c>
      <c r="J32" s="4"/>
      <c r="K32" s="2">
        <v>3.8</v>
      </c>
      <c r="L32" s="5">
        <f t="shared" si="0"/>
        <v>0</v>
      </c>
    </row>
    <row r="33" spans="1:12" ht="13.15" customHeight="1">
      <c r="A33" s="2">
        <v>29</v>
      </c>
      <c r="B33" s="4" t="s">
        <v>189</v>
      </c>
      <c r="C33" s="2" t="s">
        <v>9</v>
      </c>
      <c r="D33" s="2"/>
      <c r="E33" s="5">
        <v>1.5</v>
      </c>
      <c r="F33" s="5">
        <f t="shared" si="1"/>
        <v>0</v>
      </c>
      <c r="G33" s="2">
        <v>67</v>
      </c>
      <c r="H33" s="4" t="s">
        <v>190</v>
      </c>
      <c r="I33" s="2" t="s">
        <v>9</v>
      </c>
      <c r="J33" s="4"/>
      <c r="K33" s="2">
        <v>6.7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7.9</v>
      </c>
      <c r="F34" s="5">
        <f t="shared" si="1"/>
        <v>0</v>
      </c>
      <c r="G34" s="2">
        <v>68</v>
      </c>
      <c r="H34" s="4" t="s">
        <v>191</v>
      </c>
      <c r="I34" s="2" t="s">
        <v>9</v>
      </c>
      <c r="J34" s="4"/>
      <c r="K34" s="2">
        <v>6.7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7</v>
      </c>
      <c r="F35" s="20">
        <f t="shared" si="1"/>
        <v>0</v>
      </c>
      <c r="G35" s="2">
        <v>69</v>
      </c>
      <c r="H35" s="4" t="s">
        <v>192</v>
      </c>
      <c r="I35" s="2" t="s">
        <v>9</v>
      </c>
      <c r="J35" s="4"/>
      <c r="K35" s="2">
        <v>4.8</v>
      </c>
      <c r="L35" s="5">
        <f>J35*K35</f>
        <v>0</v>
      </c>
    </row>
    <row r="36" spans="1:12" ht="13.15" customHeight="1">
      <c r="A36" s="2">
        <v>32</v>
      </c>
      <c r="B36" s="4" t="s">
        <v>193</v>
      </c>
      <c r="C36" s="2" t="s">
        <v>9</v>
      </c>
      <c r="D36" s="2"/>
      <c r="E36" s="5">
        <v>10.25</v>
      </c>
      <c r="F36" s="20">
        <f>D36*E36</f>
        <v>0</v>
      </c>
      <c r="G36" s="2">
        <v>70</v>
      </c>
      <c r="H36" s="4" t="s">
        <v>194</v>
      </c>
      <c r="I36" s="2" t="s">
        <v>9</v>
      </c>
      <c r="J36" s="4"/>
      <c r="K36" s="2">
        <v>7.25</v>
      </c>
      <c r="L36" s="5">
        <f>J36*K36</f>
        <v>0</v>
      </c>
    </row>
    <row r="37" spans="1:12" ht="13.15" customHeight="1">
      <c r="A37" s="2">
        <v>33</v>
      </c>
      <c r="B37" s="4" t="s">
        <v>195</v>
      </c>
      <c r="C37" s="2" t="s">
        <v>9</v>
      </c>
      <c r="D37" s="2"/>
      <c r="E37" s="5">
        <v>6</v>
      </c>
      <c r="F37" s="20">
        <f>D37*E37</f>
        <v>0</v>
      </c>
      <c r="G37" s="2">
        <v>71</v>
      </c>
      <c r="H37" s="4" t="s">
        <v>196</v>
      </c>
      <c r="I37" s="2" t="s">
        <v>9</v>
      </c>
      <c r="J37" s="4"/>
      <c r="K37" s="2">
        <v>5.4</v>
      </c>
      <c r="L37" s="5">
        <f>J37*K37</f>
        <v>0</v>
      </c>
    </row>
    <row r="38" spans="1:12" ht="13.15" customHeight="1">
      <c r="A38" s="2">
        <v>34</v>
      </c>
      <c r="B38" s="4"/>
      <c r="C38" s="2" t="s">
        <v>9</v>
      </c>
      <c r="D38" s="2"/>
      <c r="E38" s="5">
        <v>0</v>
      </c>
      <c r="F38" s="20">
        <f>D38*E38</f>
        <v>0</v>
      </c>
      <c r="G38" s="2">
        <v>72</v>
      </c>
      <c r="H38" s="4" t="s">
        <v>197</v>
      </c>
      <c r="I38" s="2" t="s">
        <v>9</v>
      </c>
      <c r="J38" s="4"/>
      <c r="K38" s="2">
        <v>8.5</v>
      </c>
      <c r="L38" s="5">
        <f>J38*K38</f>
        <v>0</v>
      </c>
    </row>
    <row r="39" spans="1:12" ht="13.15" customHeight="1">
      <c r="A39" s="2">
        <v>35</v>
      </c>
      <c r="B39" s="4" t="s">
        <v>198</v>
      </c>
      <c r="C39" s="2" t="s">
        <v>9</v>
      </c>
      <c r="D39" s="2"/>
      <c r="E39" s="5">
        <v>8.5</v>
      </c>
      <c r="F39" s="20">
        <f>D39*E39</f>
        <v>0</v>
      </c>
      <c r="G39" s="2">
        <v>73</v>
      </c>
      <c r="H39" s="4" t="s">
        <v>199</v>
      </c>
      <c r="I39" s="2" t="s">
        <v>9</v>
      </c>
      <c r="J39" s="4"/>
      <c r="K39" s="2">
        <v>6.7</v>
      </c>
      <c r="L39" s="5">
        <f>J39*K39</f>
        <v>0</v>
      </c>
    </row>
    <row r="40" spans="1:12" ht="13.15" customHeight="1">
      <c r="K40" t="s">
        <v>200</v>
      </c>
      <c r="L40" s="25">
        <f>F5+F6+F7+F8+F9+F10+F11+F12+F13+F14+F15+F16+F17+F18+F19+F20+F21+F22+F23+F24+F25+F26+F27+F28+F29+F30+F31+F32+F33+F34+F35+F36+F37+F38+F39+L2+L3+L4+L5+L6+L7+L8+L9+L10+L11+L12+L13+L14+L15+L16+L17+L18+L19+L20+L21+L22+L23+L24+L25+L26+L27+L28+L29+L30+L31+L32+L33+L34+L35+L36+L37+L38+L39</f>
        <v>0</v>
      </c>
    </row>
    <row r="42" spans="1:12" ht="13.15" customHeight="1">
      <c r="H42" t="s">
        <v>201</v>
      </c>
      <c r="J42" t="s">
        <v>202</v>
      </c>
    </row>
  </sheetData>
  <mergeCells count="4">
    <mergeCell ref="A1:C1"/>
    <mergeCell ref="D1:F1"/>
    <mergeCell ref="A2:F2"/>
    <mergeCell ref="A3:F3"/>
  </mergeCells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>
  <sheetPr codeName="Лист79"/>
  <dimension ref="A1:L42"/>
  <sheetViews>
    <sheetView topLeftCell="A22" workbookViewId="0">
      <selection activeCell="N51" sqref="N51"/>
    </sheetView>
  </sheetViews>
  <sheetFormatPr defaultRowHeight="13.15" customHeight="1"/>
  <cols>
    <col min="1" max="1" width="5" style="17" customWidth="1"/>
    <col min="2" max="2" width="30.28515625" customWidth="1"/>
    <col min="3" max="3" width="6.85546875" customWidth="1"/>
    <col min="4" max="4" width="6.5703125" customWidth="1"/>
    <col min="6" max="6" width="8.85546875" style="17"/>
    <col min="7" max="7" width="4.7109375" style="17" customWidth="1"/>
    <col min="8" max="8" width="24.7109375" customWidth="1"/>
    <col min="9" max="9" width="6.7109375" customWidth="1"/>
    <col min="10" max="10" width="7" customWidth="1"/>
    <col min="12" max="12" width="8.85546875" style="17"/>
  </cols>
  <sheetData>
    <row r="1" spans="1:12" ht="13.15" customHeight="1">
      <c r="A1" s="30" t="s">
        <v>147</v>
      </c>
      <c r="B1" s="30"/>
      <c r="C1" s="30"/>
      <c r="D1" s="31" t="s">
        <v>148</v>
      </c>
      <c r="E1" s="30"/>
      <c r="F1" s="30"/>
      <c r="G1" s="16"/>
      <c r="H1" s="2" t="s">
        <v>2</v>
      </c>
      <c r="I1" s="1" t="s">
        <v>3</v>
      </c>
      <c r="J1" s="2" t="s">
        <v>4</v>
      </c>
      <c r="K1" s="2" t="s">
        <v>149</v>
      </c>
      <c r="L1" s="2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150</v>
      </c>
      <c r="I2" s="2" t="s">
        <v>9</v>
      </c>
      <c r="J2" s="2"/>
      <c r="K2" s="5">
        <v>8.5</v>
      </c>
      <c r="L2" s="5">
        <f t="shared" ref="L2:L34" si="0"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151</v>
      </c>
      <c r="I3" s="2" t="s">
        <v>9</v>
      </c>
      <c r="J3" s="2"/>
      <c r="K3" s="5">
        <v>8.5</v>
      </c>
      <c r="L3" s="5">
        <f t="shared" si="0"/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152</v>
      </c>
      <c r="I4" s="2" t="s">
        <v>9</v>
      </c>
      <c r="J4" s="2"/>
      <c r="K4" s="5">
        <v>8.5</v>
      </c>
      <c r="L4" s="5">
        <f t="shared" si="0"/>
        <v>0</v>
      </c>
    </row>
    <row r="5" spans="1:12" ht="13.15" customHeight="1">
      <c r="A5" s="2">
        <v>1</v>
      </c>
      <c r="B5" s="4" t="s">
        <v>153</v>
      </c>
      <c r="C5" s="2" t="s">
        <v>9</v>
      </c>
      <c r="D5" s="2"/>
      <c r="E5" s="5">
        <v>8.8000000000000007</v>
      </c>
      <c r="F5" s="20">
        <f>D5*E5</f>
        <v>0</v>
      </c>
      <c r="G5" s="2">
        <v>39</v>
      </c>
      <c r="H5" s="4" t="s">
        <v>154</v>
      </c>
      <c r="I5" s="2" t="s">
        <v>9</v>
      </c>
      <c r="J5" s="2"/>
      <c r="K5" s="5">
        <v>8.5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5.7</v>
      </c>
      <c r="F6" s="20">
        <f t="shared" ref="F6:F35" si="1">D6*E6</f>
        <v>0</v>
      </c>
      <c r="G6" s="2">
        <v>40</v>
      </c>
      <c r="H6" s="4" t="s">
        <v>155</v>
      </c>
      <c r="I6" s="2" t="s">
        <v>9</v>
      </c>
      <c r="J6" s="2"/>
      <c r="K6" s="5">
        <v>8.5</v>
      </c>
      <c r="L6" s="5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6.3</v>
      </c>
      <c r="F7" s="20">
        <f t="shared" si="1"/>
        <v>0</v>
      </c>
      <c r="G7" s="2">
        <v>41</v>
      </c>
      <c r="H7" s="4" t="s">
        <v>157</v>
      </c>
      <c r="I7" s="2" t="s">
        <v>9</v>
      </c>
      <c r="J7" s="2"/>
      <c r="K7" s="5">
        <v>8.5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9</v>
      </c>
      <c r="F8" s="20">
        <f t="shared" si="1"/>
        <v>0</v>
      </c>
      <c r="G8" s="2">
        <v>42</v>
      </c>
      <c r="H8" s="4" t="s">
        <v>158</v>
      </c>
      <c r="I8" s="2" t="s">
        <v>9</v>
      </c>
      <c r="J8" s="2"/>
      <c r="K8" s="5">
        <v>3.3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5.8</v>
      </c>
      <c r="F9" s="20">
        <f t="shared" si="1"/>
        <v>0</v>
      </c>
      <c r="G9" s="2">
        <v>43</v>
      </c>
      <c r="H9" s="4" t="s">
        <v>159</v>
      </c>
      <c r="I9" s="2" t="s">
        <v>9</v>
      </c>
      <c r="J9" s="2"/>
      <c r="K9" s="5">
        <v>3.8</v>
      </c>
      <c r="L9" s="5">
        <f t="shared" si="0"/>
        <v>0</v>
      </c>
    </row>
    <row r="10" spans="1:12" ht="13.15" customHeight="1">
      <c r="A10" s="2">
        <v>6</v>
      </c>
      <c r="B10" s="4" t="s">
        <v>160</v>
      </c>
      <c r="C10" s="2" t="s">
        <v>9</v>
      </c>
      <c r="D10" s="2"/>
      <c r="E10" s="5">
        <v>7.4</v>
      </c>
      <c r="F10" s="20">
        <f t="shared" si="1"/>
        <v>0</v>
      </c>
      <c r="G10" s="2">
        <v>44</v>
      </c>
      <c r="H10" s="4" t="s">
        <v>13</v>
      </c>
      <c r="I10" s="2" t="s">
        <v>9</v>
      </c>
      <c r="J10" s="2"/>
      <c r="K10" s="5">
        <v>3.3</v>
      </c>
      <c r="L10" s="5">
        <f t="shared" si="0"/>
        <v>0</v>
      </c>
    </row>
    <row r="11" spans="1:12" ht="13.15" customHeight="1">
      <c r="A11" s="2">
        <v>7</v>
      </c>
      <c r="B11" s="4" t="s">
        <v>78</v>
      </c>
      <c r="C11" s="2" t="s">
        <v>9</v>
      </c>
      <c r="D11" s="2"/>
      <c r="E11" s="5">
        <v>8.1</v>
      </c>
      <c r="F11" s="20">
        <f t="shared" si="1"/>
        <v>0</v>
      </c>
      <c r="G11" s="2">
        <v>45</v>
      </c>
      <c r="H11" s="4" t="s">
        <v>17</v>
      </c>
      <c r="I11" s="2" t="s">
        <v>9</v>
      </c>
      <c r="J11" s="2"/>
      <c r="K11" s="5">
        <v>2.6</v>
      </c>
      <c r="L11" s="5">
        <f t="shared" si="0"/>
        <v>0</v>
      </c>
    </row>
    <row r="12" spans="1:12" ht="13.15" customHeight="1">
      <c r="A12" s="2">
        <v>8</v>
      </c>
      <c r="B12" s="4" t="s">
        <v>80</v>
      </c>
      <c r="C12" s="2" t="s">
        <v>9</v>
      </c>
      <c r="D12" s="2"/>
      <c r="E12" s="5">
        <v>5.4</v>
      </c>
      <c r="F12" s="20">
        <f t="shared" si="1"/>
        <v>0</v>
      </c>
      <c r="G12" s="2">
        <v>46</v>
      </c>
      <c r="H12" s="4" t="s">
        <v>161</v>
      </c>
      <c r="I12" s="2" t="s">
        <v>9</v>
      </c>
      <c r="J12" s="2"/>
      <c r="K12" s="5">
        <v>2.6</v>
      </c>
      <c r="L12" s="5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6.3</v>
      </c>
      <c r="F13" s="20">
        <f t="shared" si="1"/>
        <v>0</v>
      </c>
      <c r="G13" s="2">
        <v>47</v>
      </c>
      <c r="H13" s="4" t="s">
        <v>163</v>
      </c>
      <c r="I13" s="2" t="s">
        <v>9</v>
      </c>
      <c r="J13" s="2"/>
      <c r="K13" s="5">
        <v>4.2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6.9</v>
      </c>
      <c r="F14" s="20">
        <f t="shared" si="1"/>
        <v>0</v>
      </c>
      <c r="G14" s="2">
        <v>48</v>
      </c>
      <c r="H14" s="4" t="s">
        <v>164</v>
      </c>
      <c r="I14" s="2" t="s">
        <v>9</v>
      </c>
      <c r="J14" s="2"/>
      <c r="K14" s="5">
        <v>4.2</v>
      </c>
      <c r="L14" s="5">
        <f t="shared" si="0"/>
        <v>0</v>
      </c>
    </row>
    <row r="15" spans="1:12" ht="13.15" customHeight="1">
      <c r="A15" s="2">
        <v>11</v>
      </c>
      <c r="B15" s="4" t="s">
        <v>165</v>
      </c>
      <c r="C15" s="2" t="s">
        <v>9</v>
      </c>
      <c r="D15" s="2"/>
      <c r="E15" s="5">
        <v>5.2</v>
      </c>
      <c r="F15" s="20">
        <f t="shared" si="1"/>
        <v>0</v>
      </c>
      <c r="G15" s="2">
        <v>49</v>
      </c>
      <c r="H15" s="4" t="s">
        <v>166</v>
      </c>
      <c r="I15" s="2" t="s">
        <v>9</v>
      </c>
      <c r="J15" s="2"/>
      <c r="K15" s="5">
        <v>4.2</v>
      </c>
      <c r="L15" s="5">
        <f t="shared" si="0"/>
        <v>0</v>
      </c>
    </row>
    <row r="16" spans="1:12" ht="13.15" customHeight="1">
      <c r="A16" s="2">
        <v>12</v>
      </c>
      <c r="B16" s="4" t="s">
        <v>167</v>
      </c>
      <c r="C16" s="2" t="s">
        <v>9</v>
      </c>
      <c r="D16" s="2"/>
      <c r="E16" s="5">
        <v>7.2</v>
      </c>
      <c r="F16" s="20">
        <f>D16*E16</f>
        <v>0</v>
      </c>
      <c r="G16" s="2">
        <v>50</v>
      </c>
      <c r="H16" s="4" t="s">
        <v>168</v>
      </c>
      <c r="I16" s="2" t="s">
        <v>9</v>
      </c>
      <c r="J16" s="2"/>
      <c r="K16" s="5">
        <v>0</v>
      </c>
      <c r="L16" s="5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7.8</v>
      </c>
      <c r="F17" s="20">
        <f t="shared" si="1"/>
        <v>0</v>
      </c>
      <c r="G17" s="2">
        <v>51</v>
      </c>
      <c r="H17" s="4" t="s">
        <v>169</v>
      </c>
      <c r="I17" s="2" t="s">
        <v>9</v>
      </c>
      <c r="J17" s="2"/>
      <c r="K17" s="5">
        <v>4.2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5.4</v>
      </c>
      <c r="F18" s="20">
        <f t="shared" si="1"/>
        <v>0</v>
      </c>
      <c r="G18" s="2">
        <v>52</v>
      </c>
      <c r="H18" s="4" t="s">
        <v>170</v>
      </c>
      <c r="I18" s="2" t="s">
        <v>9</v>
      </c>
      <c r="J18" s="2"/>
      <c r="K18" s="5">
        <v>3.8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</v>
      </c>
      <c r="F19" s="20">
        <f t="shared" si="1"/>
        <v>0</v>
      </c>
      <c r="G19" s="2">
        <v>53</v>
      </c>
      <c r="H19" s="4" t="s">
        <v>171</v>
      </c>
      <c r="I19" s="2" t="s">
        <v>9</v>
      </c>
      <c r="J19" s="2"/>
      <c r="K19" s="5">
        <v>3.8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3</v>
      </c>
      <c r="F20" s="20">
        <f t="shared" si="1"/>
        <v>0</v>
      </c>
      <c r="G20" s="2">
        <v>54</v>
      </c>
      <c r="H20" s="4" t="s">
        <v>172</v>
      </c>
      <c r="I20" s="2" t="s">
        <v>9</v>
      </c>
      <c r="J20" s="2"/>
      <c r="K20" s="5">
        <v>3.8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1.7</v>
      </c>
      <c r="F21" s="20">
        <f t="shared" si="1"/>
        <v>0</v>
      </c>
      <c r="G21" s="2">
        <v>55</v>
      </c>
      <c r="H21" s="4" t="s">
        <v>173</v>
      </c>
      <c r="I21" s="2" t="s">
        <v>9</v>
      </c>
      <c r="J21" s="2"/>
      <c r="K21" s="5">
        <v>3.8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7.5</v>
      </c>
      <c r="F22" s="20">
        <f t="shared" si="1"/>
        <v>0</v>
      </c>
      <c r="G22" s="2">
        <v>56</v>
      </c>
      <c r="H22" s="4" t="s">
        <v>174</v>
      </c>
      <c r="I22" s="2" t="s">
        <v>9</v>
      </c>
      <c r="J22" s="2"/>
      <c r="K22" s="5">
        <v>10</v>
      </c>
      <c r="L22" s="5">
        <f t="shared" si="0"/>
        <v>0</v>
      </c>
    </row>
    <row r="23" spans="1:12" ht="13.15" customHeight="1">
      <c r="A23" s="2">
        <v>19</v>
      </c>
      <c r="B23" s="4" t="s">
        <v>175</v>
      </c>
      <c r="C23" s="2" t="s">
        <v>9</v>
      </c>
      <c r="D23" s="2"/>
      <c r="E23" s="5">
        <v>8</v>
      </c>
      <c r="F23" s="20">
        <f t="shared" si="1"/>
        <v>0</v>
      </c>
      <c r="G23" s="2">
        <v>57</v>
      </c>
      <c r="H23" s="4" t="s">
        <v>176</v>
      </c>
      <c r="I23" s="2" t="s">
        <v>9</v>
      </c>
      <c r="J23" s="4"/>
      <c r="K23" s="2">
        <v>8.8000000000000007</v>
      </c>
      <c r="L23" s="5">
        <f t="shared" si="0"/>
        <v>0</v>
      </c>
    </row>
    <row r="24" spans="1:12" ht="13.15" customHeight="1">
      <c r="A24" s="2">
        <v>20</v>
      </c>
      <c r="B24" s="4" t="s">
        <v>177</v>
      </c>
      <c r="C24" s="2" t="s">
        <v>9</v>
      </c>
      <c r="D24" s="2"/>
      <c r="E24" s="5">
        <v>8.4</v>
      </c>
      <c r="F24" s="20">
        <f t="shared" si="1"/>
        <v>0</v>
      </c>
      <c r="G24" s="2">
        <v>58</v>
      </c>
      <c r="H24" s="4" t="s">
        <v>178</v>
      </c>
      <c r="I24" s="2" t="s">
        <v>9</v>
      </c>
      <c r="J24" s="4"/>
      <c r="K24" s="2">
        <v>7.2</v>
      </c>
      <c r="L24" s="5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8.8000000000000007</v>
      </c>
      <c r="F25" s="20">
        <f t="shared" si="1"/>
        <v>0</v>
      </c>
      <c r="G25" s="2">
        <v>59</v>
      </c>
      <c r="H25" s="4" t="s">
        <v>179</v>
      </c>
      <c r="I25" s="2" t="s">
        <v>9</v>
      </c>
      <c r="J25" s="4"/>
      <c r="K25" s="2">
        <v>8.5</v>
      </c>
      <c r="L25" s="5">
        <f t="shared" si="0"/>
        <v>0</v>
      </c>
    </row>
    <row r="26" spans="1:12" ht="13.15" customHeight="1">
      <c r="A26" s="2">
        <v>22</v>
      </c>
      <c r="B26" s="4" t="s">
        <v>180</v>
      </c>
      <c r="C26" s="2" t="s">
        <v>9</v>
      </c>
      <c r="D26" s="2"/>
      <c r="E26" s="5">
        <v>6</v>
      </c>
      <c r="F26" s="20">
        <f t="shared" si="1"/>
        <v>0</v>
      </c>
      <c r="G26" s="2">
        <v>60</v>
      </c>
      <c r="H26" s="4" t="s">
        <v>131</v>
      </c>
      <c r="I26" s="2" t="s">
        <v>9</v>
      </c>
      <c r="J26" s="4"/>
      <c r="K26" s="2">
        <v>4.2</v>
      </c>
      <c r="L26" s="5">
        <f t="shared" si="0"/>
        <v>0</v>
      </c>
    </row>
    <row r="27" spans="1:12" ht="13.15" customHeight="1">
      <c r="A27" s="2">
        <v>23</v>
      </c>
      <c r="B27" s="4" t="s">
        <v>181</v>
      </c>
      <c r="C27" s="2" t="s">
        <v>9</v>
      </c>
      <c r="D27" s="2"/>
      <c r="E27" s="5">
        <v>3.8</v>
      </c>
      <c r="F27" s="20">
        <f t="shared" si="1"/>
        <v>0</v>
      </c>
      <c r="G27" s="2">
        <v>61</v>
      </c>
      <c r="H27" s="4" t="s">
        <v>182</v>
      </c>
      <c r="I27" s="2" t="s">
        <v>9</v>
      </c>
      <c r="J27" s="4"/>
      <c r="K27" s="2">
        <v>13.5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6.3</v>
      </c>
      <c r="F28" s="20">
        <f t="shared" si="1"/>
        <v>0</v>
      </c>
      <c r="G28" s="2">
        <v>62</v>
      </c>
      <c r="H28" s="4" t="s">
        <v>183</v>
      </c>
      <c r="I28" s="2" t="s">
        <v>9</v>
      </c>
      <c r="J28" s="4"/>
      <c r="K28" s="2">
        <v>12.8</v>
      </c>
      <c r="L28" s="5">
        <f t="shared" si="0"/>
        <v>0</v>
      </c>
    </row>
    <row r="29" spans="1:12" ht="13.15" customHeight="1">
      <c r="A29" s="2">
        <v>25</v>
      </c>
      <c r="B29" s="4" t="s">
        <v>184</v>
      </c>
      <c r="C29" s="2" t="s">
        <v>9</v>
      </c>
      <c r="D29" s="2"/>
      <c r="E29" s="5">
        <v>7.7</v>
      </c>
      <c r="F29" s="20">
        <f t="shared" si="1"/>
        <v>0</v>
      </c>
      <c r="G29" s="2">
        <v>63</v>
      </c>
      <c r="H29" s="4" t="s">
        <v>185</v>
      </c>
      <c r="I29" s="2" t="s">
        <v>9</v>
      </c>
      <c r="J29" s="4"/>
      <c r="K29" s="2">
        <v>8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6.2</v>
      </c>
      <c r="F30" s="5">
        <f t="shared" si="1"/>
        <v>0</v>
      </c>
      <c r="G30" s="2">
        <v>64</v>
      </c>
      <c r="H30" s="4" t="s">
        <v>186</v>
      </c>
      <c r="I30" s="2" t="s">
        <v>9</v>
      </c>
      <c r="J30" s="4"/>
      <c r="K30" s="2">
        <v>7.25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7</v>
      </c>
      <c r="F31" s="5">
        <f t="shared" si="1"/>
        <v>0</v>
      </c>
      <c r="G31" s="2">
        <v>65</v>
      </c>
      <c r="H31" s="4" t="s">
        <v>187</v>
      </c>
      <c r="I31" s="2" t="s">
        <v>9</v>
      </c>
      <c r="J31" s="4"/>
      <c r="K31" s="2">
        <v>10.8</v>
      </c>
      <c r="L31" s="5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10</v>
      </c>
      <c r="F32" s="20">
        <f t="shared" si="1"/>
        <v>0</v>
      </c>
      <c r="G32" s="2">
        <v>66</v>
      </c>
      <c r="H32" s="4" t="s">
        <v>188</v>
      </c>
      <c r="I32" s="2" t="s">
        <v>9</v>
      </c>
      <c r="J32" s="4"/>
      <c r="K32" s="2">
        <v>3.8</v>
      </c>
      <c r="L32" s="5">
        <f t="shared" si="0"/>
        <v>0</v>
      </c>
    </row>
    <row r="33" spans="1:12" ht="13.15" customHeight="1">
      <c r="A33" s="2">
        <v>29</v>
      </c>
      <c r="B33" s="4" t="s">
        <v>189</v>
      </c>
      <c r="C33" s="2" t="s">
        <v>9</v>
      </c>
      <c r="D33" s="2"/>
      <c r="E33" s="5">
        <v>1.5</v>
      </c>
      <c r="F33" s="5">
        <f t="shared" si="1"/>
        <v>0</v>
      </c>
      <c r="G33" s="2">
        <v>67</v>
      </c>
      <c r="H33" s="4" t="s">
        <v>190</v>
      </c>
      <c r="I33" s="2" t="s">
        <v>9</v>
      </c>
      <c r="J33" s="4"/>
      <c r="K33" s="2">
        <v>6.7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7.9</v>
      </c>
      <c r="F34" s="5">
        <f t="shared" si="1"/>
        <v>0</v>
      </c>
      <c r="G34" s="2">
        <v>68</v>
      </c>
      <c r="H34" s="4" t="s">
        <v>191</v>
      </c>
      <c r="I34" s="2" t="s">
        <v>9</v>
      </c>
      <c r="J34" s="4"/>
      <c r="K34" s="2">
        <v>6.7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7</v>
      </c>
      <c r="F35" s="20">
        <f t="shared" si="1"/>
        <v>0</v>
      </c>
      <c r="G35" s="2">
        <v>69</v>
      </c>
      <c r="H35" s="4" t="s">
        <v>192</v>
      </c>
      <c r="I35" s="2" t="s">
        <v>9</v>
      </c>
      <c r="J35" s="4"/>
      <c r="K35" s="2">
        <v>4.8</v>
      </c>
      <c r="L35" s="5">
        <f>J35*K35</f>
        <v>0</v>
      </c>
    </row>
    <row r="36" spans="1:12" ht="13.15" customHeight="1">
      <c r="A36" s="2">
        <v>32</v>
      </c>
      <c r="B36" s="4" t="s">
        <v>193</v>
      </c>
      <c r="C36" s="2" t="s">
        <v>9</v>
      </c>
      <c r="D36" s="2"/>
      <c r="E36" s="5">
        <v>10.25</v>
      </c>
      <c r="F36" s="20">
        <f>D36*E36</f>
        <v>0</v>
      </c>
      <c r="G36" s="2">
        <v>70</v>
      </c>
      <c r="H36" s="4" t="s">
        <v>194</v>
      </c>
      <c r="I36" s="2" t="s">
        <v>9</v>
      </c>
      <c r="J36" s="4"/>
      <c r="K36" s="2">
        <v>7.25</v>
      </c>
      <c r="L36" s="5">
        <f>J36*K36</f>
        <v>0</v>
      </c>
    </row>
    <row r="37" spans="1:12" ht="13.15" customHeight="1">
      <c r="A37" s="2">
        <v>33</v>
      </c>
      <c r="B37" s="4" t="s">
        <v>195</v>
      </c>
      <c r="C37" s="2" t="s">
        <v>9</v>
      </c>
      <c r="D37" s="2"/>
      <c r="E37" s="5">
        <v>6</v>
      </c>
      <c r="F37" s="20">
        <f>D37*E37</f>
        <v>0</v>
      </c>
      <c r="G37" s="2">
        <v>71</v>
      </c>
      <c r="H37" s="4" t="s">
        <v>196</v>
      </c>
      <c r="I37" s="2" t="s">
        <v>9</v>
      </c>
      <c r="J37" s="4"/>
      <c r="K37" s="2">
        <v>5.4</v>
      </c>
      <c r="L37" s="5">
        <f>J37*K37</f>
        <v>0</v>
      </c>
    </row>
    <row r="38" spans="1:12" ht="13.15" customHeight="1">
      <c r="A38" s="2">
        <v>34</v>
      </c>
      <c r="B38" s="4"/>
      <c r="C38" s="2" t="s">
        <v>9</v>
      </c>
      <c r="D38" s="2"/>
      <c r="E38" s="5">
        <v>0</v>
      </c>
      <c r="F38" s="20">
        <f>D38*E38</f>
        <v>0</v>
      </c>
      <c r="G38" s="2">
        <v>72</v>
      </c>
      <c r="H38" s="4" t="s">
        <v>197</v>
      </c>
      <c r="I38" s="2" t="s">
        <v>9</v>
      </c>
      <c r="J38" s="4"/>
      <c r="K38" s="2">
        <v>8.5</v>
      </c>
      <c r="L38" s="5">
        <f>J38*K38</f>
        <v>0</v>
      </c>
    </row>
    <row r="39" spans="1:12" ht="13.15" customHeight="1">
      <c r="A39" s="2">
        <v>35</v>
      </c>
      <c r="B39" s="4" t="s">
        <v>198</v>
      </c>
      <c r="C39" s="2" t="s">
        <v>9</v>
      </c>
      <c r="D39" s="2"/>
      <c r="E39" s="5">
        <v>8.5</v>
      </c>
      <c r="F39" s="20">
        <f>D39*E39</f>
        <v>0</v>
      </c>
      <c r="G39" s="2">
        <v>73</v>
      </c>
      <c r="H39" s="4" t="s">
        <v>199</v>
      </c>
      <c r="I39" s="2" t="s">
        <v>9</v>
      </c>
      <c r="J39" s="4"/>
      <c r="K39" s="2">
        <v>6.7</v>
      </c>
      <c r="L39" s="5">
        <f>J39*K39</f>
        <v>0</v>
      </c>
    </row>
    <row r="40" spans="1:12" ht="13.15" customHeight="1">
      <c r="K40" t="s">
        <v>200</v>
      </c>
      <c r="L40" s="25">
        <f>F5+F6+F7+F8+F9+F10+F11+F12+F13+F14+F15+F16+F17+F18+F19+F20+F21+F22+F23+F24+F25+F26+F27+F28+F29+F30+F31+F32+F33+F34+F35+F36+F37+F38+F39+L2+L3+L4+L5+L6+L7+L8+L9+L10+L11+L12+L13+L14+L15+L16+L17+L18+L19+L20+L21+L22+L23+L24+L25+L26+L27+L28+L29+L30+L31+L32+L33+L34+L35+L36+L37+L38+L39</f>
        <v>0</v>
      </c>
    </row>
    <row r="42" spans="1:12" ht="13.15" customHeight="1">
      <c r="H42" t="s">
        <v>201</v>
      </c>
      <c r="J42" t="s">
        <v>202</v>
      </c>
    </row>
  </sheetData>
  <mergeCells count="4">
    <mergeCell ref="A1:C1"/>
    <mergeCell ref="D1:F1"/>
    <mergeCell ref="A2:F2"/>
    <mergeCell ref="A3:F3"/>
  </mergeCells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>
  <sheetPr codeName="Лист80"/>
  <dimension ref="A1:L42"/>
  <sheetViews>
    <sheetView topLeftCell="A22" workbookViewId="0">
      <selection activeCell="N51" sqref="N51"/>
    </sheetView>
  </sheetViews>
  <sheetFormatPr defaultRowHeight="13.15" customHeight="1"/>
  <cols>
    <col min="1" max="1" width="5" style="17" customWidth="1"/>
    <col min="2" max="2" width="30.28515625" customWidth="1"/>
    <col min="3" max="3" width="6.85546875" customWidth="1"/>
    <col min="4" max="4" width="6.5703125" customWidth="1"/>
    <col min="6" max="6" width="8.85546875" style="17"/>
    <col min="7" max="7" width="4.7109375" style="17" customWidth="1"/>
    <col min="8" max="8" width="24.7109375" customWidth="1"/>
    <col min="9" max="9" width="6.7109375" customWidth="1"/>
    <col min="10" max="10" width="7" customWidth="1"/>
    <col min="12" max="12" width="8.85546875" style="17"/>
  </cols>
  <sheetData>
    <row r="1" spans="1:12" ht="13.15" customHeight="1">
      <c r="A1" s="30" t="s">
        <v>147</v>
      </c>
      <c r="B1" s="30"/>
      <c r="C1" s="30"/>
      <c r="D1" s="31" t="s">
        <v>148</v>
      </c>
      <c r="E1" s="30"/>
      <c r="F1" s="30"/>
      <c r="G1" s="16"/>
      <c r="H1" s="2" t="s">
        <v>2</v>
      </c>
      <c r="I1" s="1" t="s">
        <v>3</v>
      </c>
      <c r="J1" s="2" t="s">
        <v>4</v>
      </c>
      <c r="K1" s="2" t="s">
        <v>149</v>
      </c>
      <c r="L1" s="2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150</v>
      </c>
      <c r="I2" s="2" t="s">
        <v>9</v>
      </c>
      <c r="J2" s="2"/>
      <c r="K2" s="5">
        <v>8.5</v>
      </c>
      <c r="L2" s="5">
        <f t="shared" ref="L2:L34" si="0"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151</v>
      </c>
      <c r="I3" s="2" t="s">
        <v>9</v>
      </c>
      <c r="J3" s="2"/>
      <c r="K3" s="5">
        <v>8.5</v>
      </c>
      <c r="L3" s="5">
        <f t="shared" si="0"/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152</v>
      </c>
      <c r="I4" s="2" t="s">
        <v>9</v>
      </c>
      <c r="J4" s="2"/>
      <c r="K4" s="5">
        <v>8.5</v>
      </c>
      <c r="L4" s="5">
        <f t="shared" si="0"/>
        <v>0</v>
      </c>
    </row>
    <row r="5" spans="1:12" ht="13.15" customHeight="1">
      <c r="A5" s="2">
        <v>1</v>
      </c>
      <c r="B5" s="4" t="s">
        <v>153</v>
      </c>
      <c r="C5" s="2" t="s">
        <v>9</v>
      </c>
      <c r="D5" s="2"/>
      <c r="E5" s="5">
        <v>8.8000000000000007</v>
      </c>
      <c r="F5" s="20">
        <f>D5*E5</f>
        <v>0</v>
      </c>
      <c r="G5" s="2">
        <v>39</v>
      </c>
      <c r="H5" s="4" t="s">
        <v>154</v>
      </c>
      <c r="I5" s="2" t="s">
        <v>9</v>
      </c>
      <c r="J5" s="2"/>
      <c r="K5" s="5">
        <v>8.5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5.7</v>
      </c>
      <c r="F6" s="20">
        <f t="shared" ref="F6:F35" si="1">D6*E6</f>
        <v>0</v>
      </c>
      <c r="G6" s="2">
        <v>40</v>
      </c>
      <c r="H6" s="4" t="s">
        <v>155</v>
      </c>
      <c r="I6" s="2" t="s">
        <v>9</v>
      </c>
      <c r="J6" s="2"/>
      <c r="K6" s="5">
        <v>8.5</v>
      </c>
      <c r="L6" s="5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6.3</v>
      </c>
      <c r="F7" s="20">
        <f t="shared" si="1"/>
        <v>0</v>
      </c>
      <c r="G7" s="2">
        <v>41</v>
      </c>
      <c r="H7" s="4" t="s">
        <v>157</v>
      </c>
      <c r="I7" s="2" t="s">
        <v>9</v>
      </c>
      <c r="J7" s="2"/>
      <c r="K7" s="5">
        <v>8.5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9</v>
      </c>
      <c r="F8" s="20">
        <f t="shared" si="1"/>
        <v>0</v>
      </c>
      <c r="G8" s="2">
        <v>42</v>
      </c>
      <c r="H8" s="4" t="s">
        <v>158</v>
      </c>
      <c r="I8" s="2" t="s">
        <v>9</v>
      </c>
      <c r="J8" s="2"/>
      <c r="K8" s="5">
        <v>3.3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5.8</v>
      </c>
      <c r="F9" s="20">
        <f t="shared" si="1"/>
        <v>0</v>
      </c>
      <c r="G9" s="2">
        <v>43</v>
      </c>
      <c r="H9" s="4" t="s">
        <v>159</v>
      </c>
      <c r="I9" s="2" t="s">
        <v>9</v>
      </c>
      <c r="J9" s="2"/>
      <c r="K9" s="5">
        <v>3.8</v>
      </c>
      <c r="L9" s="5">
        <f t="shared" si="0"/>
        <v>0</v>
      </c>
    </row>
    <row r="10" spans="1:12" ht="13.15" customHeight="1">
      <c r="A10" s="2">
        <v>6</v>
      </c>
      <c r="B10" s="4" t="s">
        <v>160</v>
      </c>
      <c r="C10" s="2" t="s">
        <v>9</v>
      </c>
      <c r="D10" s="2"/>
      <c r="E10" s="5">
        <v>7.4</v>
      </c>
      <c r="F10" s="20">
        <f t="shared" si="1"/>
        <v>0</v>
      </c>
      <c r="G10" s="2">
        <v>44</v>
      </c>
      <c r="H10" s="4" t="s">
        <v>13</v>
      </c>
      <c r="I10" s="2" t="s">
        <v>9</v>
      </c>
      <c r="J10" s="2"/>
      <c r="K10" s="5">
        <v>3.3</v>
      </c>
      <c r="L10" s="5">
        <f t="shared" si="0"/>
        <v>0</v>
      </c>
    </row>
    <row r="11" spans="1:12" ht="13.15" customHeight="1">
      <c r="A11" s="2">
        <v>7</v>
      </c>
      <c r="B11" s="4" t="s">
        <v>78</v>
      </c>
      <c r="C11" s="2" t="s">
        <v>9</v>
      </c>
      <c r="D11" s="2"/>
      <c r="E11" s="5">
        <v>8.1</v>
      </c>
      <c r="F11" s="20">
        <f t="shared" si="1"/>
        <v>0</v>
      </c>
      <c r="G11" s="2">
        <v>45</v>
      </c>
      <c r="H11" s="4" t="s">
        <v>17</v>
      </c>
      <c r="I11" s="2" t="s">
        <v>9</v>
      </c>
      <c r="J11" s="2"/>
      <c r="K11" s="5">
        <v>2.6</v>
      </c>
      <c r="L11" s="5">
        <f t="shared" si="0"/>
        <v>0</v>
      </c>
    </row>
    <row r="12" spans="1:12" ht="13.15" customHeight="1">
      <c r="A12" s="2">
        <v>8</v>
      </c>
      <c r="B12" s="4" t="s">
        <v>80</v>
      </c>
      <c r="C12" s="2" t="s">
        <v>9</v>
      </c>
      <c r="D12" s="2"/>
      <c r="E12" s="5">
        <v>5.4</v>
      </c>
      <c r="F12" s="20">
        <f t="shared" si="1"/>
        <v>0</v>
      </c>
      <c r="G12" s="2">
        <v>46</v>
      </c>
      <c r="H12" s="4" t="s">
        <v>161</v>
      </c>
      <c r="I12" s="2" t="s">
        <v>9</v>
      </c>
      <c r="J12" s="2"/>
      <c r="K12" s="5">
        <v>2.6</v>
      </c>
      <c r="L12" s="5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6.3</v>
      </c>
      <c r="F13" s="20">
        <f t="shared" si="1"/>
        <v>0</v>
      </c>
      <c r="G13" s="2">
        <v>47</v>
      </c>
      <c r="H13" s="4" t="s">
        <v>163</v>
      </c>
      <c r="I13" s="2" t="s">
        <v>9</v>
      </c>
      <c r="J13" s="2"/>
      <c r="K13" s="5">
        <v>4.2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6.9</v>
      </c>
      <c r="F14" s="20">
        <f t="shared" si="1"/>
        <v>0</v>
      </c>
      <c r="G14" s="2">
        <v>48</v>
      </c>
      <c r="H14" s="4" t="s">
        <v>164</v>
      </c>
      <c r="I14" s="2" t="s">
        <v>9</v>
      </c>
      <c r="J14" s="2"/>
      <c r="K14" s="5">
        <v>4.2</v>
      </c>
      <c r="L14" s="5">
        <f t="shared" si="0"/>
        <v>0</v>
      </c>
    </row>
    <row r="15" spans="1:12" ht="13.15" customHeight="1">
      <c r="A15" s="2">
        <v>11</v>
      </c>
      <c r="B15" s="4" t="s">
        <v>165</v>
      </c>
      <c r="C15" s="2" t="s">
        <v>9</v>
      </c>
      <c r="D15" s="2"/>
      <c r="E15" s="5">
        <v>5.2</v>
      </c>
      <c r="F15" s="20">
        <f t="shared" si="1"/>
        <v>0</v>
      </c>
      <c r="G15" s="2">
        <v>49</v>
      </c>
      <c r="H15" s="4" t="s">
        <v>166</v>
      </c>
      <c r="I15" s="2" t="s">
        <v>9</v>
      </c>
      <c r="J15" s="2"/>
      <c r="K15" s="5">
        <v>4.2</v>
      </c>
      <c r="L15" s="5">
        <f t="shared" si="0"/>
        <v>0</v>
      </c>
    </row>
    <row r="16" spans="1:12" ht="13.15" customHeight="1">
      <c r="A16" s="2">
        <v>12</v>
      </c>
      <c r="B16" s="4" t="s">
        <v>167</v>
      </c>
      <c r="C16" s="2" t="s">
        <v>9</v>
      </c>
      <c r="D16" s="2"/>
      <c r="E16" s="5">
        <v>7.2</v>
      </c>
      <c r="F16" s="20">
        <f>D16*E16</f>
        <v>0</v>
      </c>
      <c r="G16" s="2">
        <v>50</v>
      </c>
      <c r="H16" s="4" t="s">
        <v>168</v>
      </c>
      <c r="I16" s="2" t="s">
        <v>9</v>
      </c>
      <c r="J16" s="2"/>
      <c r="K16" s="5">
        <v>0</v>
      </c>
      <c r="L16" s="5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7.8</v>
      </c>
      <c r="F17" s="20">
        <f t="shared" si="1"/>
        <v>0</v>
      </c>
      <c r="G17" s="2">
        <v>51</v>
      </c>
      <c r="H17" s="4" t="s">
        <v>169</v>
      </c>
      <c r="I17" s="2" t="s">
        <v>9</v>
      </c>
      <c r="J17" s="2"/>
      <c r="K17" s="5">
        <v>4.2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5.4</v>
      </c>
      <c r="F18" s="20">
        <f t="shared" si="1"/>
        <v>0</v>
      </c>
      <c r="G18" s="2">
        <v>52</v>
      </c>
      <c r="H18" s="4" t="s">
        <v>170</v>
      </c>
      <c r="I18" s="2" t="s">
        <v>9</v>
      </c>
      <c r="J18" s="2"/>
      <c r="K18" s="5">
        <v>3.8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</v>
      </c>
      <c r="F19" s="20">
        <f t="shared" si="1"/>
        <v>0</v>
      </c>
      <c r="G19" s="2">
        <v>53</v>
      </c>
      <c r="H19" s="4" t="s">
        <v>171</v>
      </c>
      <c r="I19" s="2" t="s">
        <v>9</v>
      </c>
      <c r="J19" s="2"/>
      <c r="K19" s="5">
        <v>3.8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3</v>
      </c>
      <c r="F20" s="20">
        <f t="shared" si="1"/>
        <v>0</v>
      </c>
      <c r="G20" s="2">
        <v>54</v>
      </c>
      <c r="H20" s="4" t="s">
        <v>172</v>
      </c>
      <c r="I20" s="2" t="s">
        <v>9</v>
      </c>
      <c r="J20" s="2"/>
      <c r="K20" s="5">
        <v>3.8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1.7</v>
      </c>
      <c r="F21" s="20">
        <f t="shared" si="1"/>
        <v>0</v>
      </c>
      <c r="G21" s="2">
        <v>55</v>
      </c>
      <c r="H21" s="4" t="s">
        <v>173</v>
      </c>
      <c r="I21" s="2" t="s">
        <v>9</v>
      </c>
      <c r="J21" s="2"/>
      <c r="K21" s="5">
        <v>3.8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7.5</v>
      </c>
      <c r="F22" s="20">
        <f t="shared" si="1"/>
        <v>0</v>
      </c>
      <c r="G22" s="2">
        <v>56</v>
      </c>
      <c r="H22" s="4" t="s">
        <v>174</v>
      </c>
      <c r="I22" s="2" t="s">
        <v>9</v>
      </c>
      <c r="J22" s="2"/>
      <c r="K22" s="5">
        <v>10</v>
      </c>
      <c r="L22" s="5">
        <f t="shared" si="0"/>
        <v>0</v>
      </c>
    </row>
    <row r="23" spans="1:12" ht="13.15" customHeight="1">
      <c r="A23" s="2">
        <v>19</v>
      </c>
      <c r="B23" s="4" t="s">
        <v>175</v>
      </c>
      <c r="C23" s="2" t="s">
        <v>9</v>
      </c>
      <c r="D23" s="2"/>
      <c r="E23" s="5">
        <v>8</v>
      </c>
      <c r="F23" s="20">
        <f t="shared" si="1"/>
        <v>0</v>
      </c>
      <c r="G23" s="2">
        <v>57</v>
      </c>
      <c r="H23" s="4" t="s">
        <v>176</v>
      </c>
      <c r="I23" s="2" t="s">
        <v>9</v>
      </c>
      <c r="J23" s="4"/>
      <c r="K23" s="2">
        <v>8.8000000000000007</v>
      </c>
      <c r="L23" s="5">
        <f t="shared" si="0"/>
        <v>0</v>
      </c>
    </row>
    <row r="24" spans="1:12" ht="13.15" customHeight="1">
      <c r="A24" s="2">
        <v>20</v>
      </c>
      <c r="B24" s="4" t="s">
        <v>177</v>
      </c>
      <c r="C24" s="2" t="s">
        <v>9</v>
      </c>
      <c r="D24" s="2"/>
      <c r="E24" s="5">
        <v>8.4</v>
      </c>
      <c r="F24" s="20">
        <f t="shared" si="1"/>
        <v>0</v>
      </c>
      <c r="G24" s="2">
        <v>58</v>
      </c>
      <c r="H24" s="4" t="s">
        <v>178</v>
      </c>
      <c r="I24" s="2" t="s">
        <v>9</v>
      </c>
      <c r="J24" s="4"/>
      <c r="K24" s="2">
        <v>7.2</v>
      </c>
      <c r="L24" s="5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8.8000000000000007</v>
      </c>
      <c r="F25" s="20">
        <f t="shared" si="1"/>
        <v>0</v>
      </c>
      <c r="G25" s="2">
        <v>59</v>
      </c>
      <c r="H25" s="4" t="s">
        <v>179</v>
      </c>
      <c r="I25" s="2" t="s">
        <v>9</v>
      </c>
      <c r="J25" s="4"/>
      <c r="K25" s="2">
        <v>8.5</v>
      </c>
      <c r="L25" s="5">
        <f t="shared" si="0"/>
        <v>0</v>
      </c>
    </row>
    <row r="26" spans="1:12" ht="13.15" customHeight="1">
      <c r="A26" s="2">
        <v>22</v>
      </c>
      <c r="B26" s="4" t="s">
        <v>180</v>
      </c>
      <c r="C26" s="2" t="s">
        <v>9</v>
      </c>
      <c r="D26" s="2"/>
      <c r="E26" s="5">
        <v>6</v>
      </c>
      <c r="F26" s="20">
        <f t="shared" si="1"/>
        <v>0</v>
      </c>
      <c r="G26" s="2">
        <v>60</v>
      </c>
      <c r="H26" s="4" t="s">
        <v>131</v>
      </c>
      <c r="I26" s="2" t="s">
        <v>9</v>
      </c>
      <c r="J26" s="4"/>
      <c r="K26" s="2">
        <v>4.2</v>
      </c>
      <c r="L26" s="5">
        <f t="shared" si="0"/>
        <v>0</v>
      </c>
    </row>
    <row r="27" spans="1:12" ht="13.15" customHeight="1">
      <c r="A27" s="2">
        <v>23</v>
      </c>
      <c r="B27" s="4" t="s">
        <v>181</v>
      </c>
      <c r="C27" s="2" t="s">
        <v>9</v>
      </c>
      <c r="D27" s="2"/>
      <c r="E27" s="5">
        <v>3.8</v>
      </c>
      <c r="F27" s="20">
        <f t="shared" si="1"/>
        <v>0</v>
      </c>
      <c r="G27" s="2">
        <v>61</v>
      </c>
      <c r="H27" s="4" t="s">
        <v>182</v>
      </c>
      <c r="I27" s="2" t="s">
        <v>9</v>
      </c>
      <c r="J27" s="4"/>
      <c r="K27" s="2">
        <v>13.5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6.3</v>
      </c>
      <c r="F28" s="20">
        <f t="shared" si="1"/>
        <v>0</v>
      </c>
      <c r="G28" s="2">
        <v>62</v>
      </c>
      <c r="H28" s="4" t="s">
        <v>183</v>
      </c>
      <c r="I28" s="2" t="s">
        <v>9</v>
      </c>
      <c r="J28" s="4"/>
      <c r="K28" s="2">
        <v>12.8</v>
      </c>
      <c r="L28" s="5">
        <f t="shared" si="0"/>
        <v>0</v>
      </c>
    </row>
    <row r="29" spans="1:12" ht="13.15" customHeight="1">
      <c r="A29" s="2">
        <v>25</v>
      </c>
      <c r="B29" s="4" t="s">
        <v>184</v>
      </c>
      <c r="C29" s="2" t="s">
        <v>9</v>
      </c>
      <c r="D29" s="2"/>
      <c r="E29" s="5">
        <v>7.7</v>
      </c>
      <c r="F29" s="20">
        <f t="shared" si="1"/>
        <v>0</v>
      </c>
      <c r="G29" s="2">
        <v>63</v>
      </c>
      <c r="H29" s="4" t="s">
        <v>185</v>
      </c>
      <c r="I29" s="2" t="s">
        <v>9</v>
      </c>
      <c r="J29" s="4"/>
      <c r="K29" s="2">
        <v>8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6.2</v>
      </c>
      <c r="F30" s="5">
        <f t="shared" si="1"/>
        <v>0</v>
      </c>
      <c r="G30" s="2">
        <v>64</v>
      </c>
      <c r="H30" s="4" t="s">
        <v>186</v>
      </c>
      <c r="I30" s="2" t="s">
        <v>9</v>
      </c>
      <c r="J30" s="4"/>
      <c r="K30" s="2">
        <v>7.25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7</v>
      </c>
      <c r="F31" s="5">
        <f t="shared" si="1"/>
        <v>0</v>
      </c>
      <c r="G31" s="2">
        <v>65</v>
      </c>
      <c r="H31" s="4" t="s">
        <v>187</v>
      </c>
      <c r="I31" s="2" t="s">
        <v>9</v>
      </c>
      <c r="J31" s="4"/>
      <c r="K31" s="2">
        <v>10.8</v>
      </c>
      <c r="L31" s="5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10</v>
      </c>
      <c r="F32" s="20">
        <f t="shared" si="1"/>
        <v>0</v>
      </c>
      <c r="G32" s="2">
        <v>66</v>
      </c>
      <c r="H32" s="4" t="s">
        <v>188</v>
      </c>
      <c r="I32" s="2" t="s">
        <v>9</v>
      </c>
      <c r="J32" s="4"/>
      <c r="K32" s="2">
        <v>3.8</v>
      </c>
      <c r="L32" s="5">
        <f t="shared" si="0"/>
        <v>0</v>
      </c>
    </row>
    <row r="33" spans="1:12" ht="13.15" customHeight="1">
      <c r="A33" s="2">
        <v>29</v>
      </c>
      <c r="B33" s="4" t="s">
        <v>189</v>
      </c>
      <c r="C33" s="2" t="s">
        <v>9</v>
      </c>
      <c r="D33" s="2"/>
      <c r="E33" s="5">
        <v>1.5</v>
      </c>
      <c r="F33" s="5">
        <f t="shared" si="1"/>
        <v>0</v>
      </c>
      <c r="G33" s="2">
        <v>67</v>
      </c>
      <c r="H33" s="4" t="s">
        <v>190</v>
      </c>
      <c r="I33" s="2" t="s">
        <v>9</v>
      </c>
      <c r="J33" s="4"/>
      <c r="K33" s="2">
        <v>6.7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7.9</v>
      </c>
      <c r="F34" s="5">
        <f t="shared" si="1"/>
        <v>0</v>
      </c>
      <c r="G34" s="2">
        <v>68</v>
      </c>
      <c r="H34" s="4" t="s">
        <v>191</v>
      </c>
      <c r="I34" s="2" t="s">
        <v>9</v>
      </c>
      <c r="J34" s="4"/>
      <c r="K34" s="2">
        <v>6.7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7</v>
      </c>
      <c r="F35" s="20">
        <f t="shared" si="1"/>
        <v>0</v>
      </c>
      <c r="G35" s="2">
        <v>69</v>
      </c>
      <c r="H35" s="4" t="s">
        <v>192</v>
      </c>
      <c r="I35" s="2" t="s">
        <v>9</v>
      </c>
      <c r="J35" s="4"/>
      <c r="K35" s="2">
        <v>4.8</v>
      </c>
      <c r="L35" s="5">
        <f>J35*K35</f>
        <v>0</v>
      </c>
    </row>
    <row r="36" spans="1:12" ht="13.15" customHeight="1">
      <c r="A36" s="2">
        <v>32</v>
      </c>
      <c r="B36" s="4" t="s">
        <v>193</v>
      </c>
      <c r="C36" s="2" t="s">
        <v>9</v>
      </c>
      <c r="D36" s="2"/>
      <c r="E36" s="5">
        <v>10.25</v>
      </c>
      <c r="F36" s="20">
        <f>D36*E36</f>
        <v>0</v>
      </c>
      <c r="G36" s="2">
        <v>70</v>
      </c>
      <c r="H36" s="4" t="s">
        <v>194</v>
      </c>
      <c r="I36" s="2" t="s">
        <v>9</v>
      </c>
      <c r="J36" s="4"/>
      <c r="K36" s="2">
        <v>7.25</v>
      </c>
      <c r="L36" s="5">
        <f>J36*K36</f>
        <v>0</v>
      </c>
    </row>
    <row r="37" spans="1:12" ht="13.15" customHeight="1">
      <c r="A37" s="2">
        <v>33</v>
      </c>
      <c r="B37" s="4" t="s">
        <v>195</v>
      </c>
      <c r="C37" s="2" t="s">
        <v>9</v>
      </c>
      <c r="D37" s="2"/>
      <c r="E37" s="5">
        <v>6</v>
      </c>
      <c r="F37" s="20">
        <f>D37*E37</f>
        <v>0</v>
      </c>
      <c r="G37" s="2">
        <v>71</v>
      </c>
      <c r="H37" s="4" t="s">
        <v>196</v>
      </c>
      <c r="I37" s="2" t="s">
        <v>9</v>
      </c>
      <c r="J37" s="4"/>
      <c r="K37" s="2">
        <v>5.4</v>
      </c>
      <c r="L37" s="5">
        <f>J37*K37</f>
        <v>0</v>
      </c>
    </row>
    <row r="38" spans="1:12" ht="13.15" customHeight="1">
      <c r="A38" s="2">
        <v>34</v>
      </c>
      <c r="B38" s="4"/>
      <c r="C38" s="2" t="s">
        <v>9</v>
      </c>
      <c r="D38" s="2"/>
      <c r="E38" s="5">
        <v>0</v>
      </c>
      <c r="F38" s="20">
        <f>D38*E38</f>
        <v>0</v>
      </c>
      <c r="G38" s="2">
        <v>72</v>
      </c>
      <c r="H38" s="4" t="s">
        <v>197</v>
      </c>
      <c r="I38" s="2" t="s">
        <v>9</v>
      </c>
      <c r="J38" s="4"/>
      <c r="K38" s="2">
        <v>8.5</v>
      </c>
      <c r="L38" s="5">
        <f>J38*K38</f>
        <v>0</v>
      </c>
    </row>
    <row r="39" spans="1:12" ht="13.15" customHeight="1">
      <c r="A39" s="2">
        <v>35</v>
      </c>
      <c r="B39" s="4" t="s">
        <v>198</v>
      </c>
      <c r="C39" s="2" t="s">
        <v>9</v>
      </c>
      <c r="D39" s="2"/>
      <c r="E39" s="5">
        <v>8.5</v>
      </c>
      <c r="F39" s="20">
        <f>D39*E39</f>
        <v>0</v>
      </c>
      <c r="G39" s="2">
        <v>73</v>
      </c>
      <c r="H39" s="4" t="s">
        <v>199</v>
      </c>
      <c r="I39" s="2" t="s">
        <v>9</v>
      </c>
      <c r="J39" s="4"/>
      <c r="K39" s="2">
        <v>6.7</v>
      </c>
      <c r="L39" s="5">
        <f>J39*K39</f>
        <v>0</v>
      </c>
    </row>
    <row r="40" spans="1:12" ht="13.15" customHeight="1">
      <c r="K40" t="s">
        <v>200</v>
      </c>
      <c r="L40" s="25">
        <f>F5+F6+F7+F8+F9+F10+F11+F12+F13+F14+F15+F16+F17+F18+F19+F20+F21+F22+F23+F24+F25+F26+F27+F28+F29+F30+F31+F32+F33+F34+F35+F36+F37+F38+F39+L2+L3+L4+L5+L6+L7+L8+L9+L10+L11+L12+L13+L14+L15+L16+L17+L18+L19+L20+L21+L22+L23+L24+L25+L26+L27+L28+L29+L30+L31+L32+L33+L34+L35+L36+L37+L38+L39</f>
        <v>0</v>
      </c>
    </row>
    <row r="42" spans="1:12" ht="13.15" customHeight="1">
      <c r="H42" t="s">
        <v>201</v>
      </c>
      <c r="J42" t="s">
        <v>202</v>
      </c>
    </row>
  </sheetData>
  <mergeCells count="4">
    <mergeCell ref="A1:C1"/>
    <mergeCell ref="D1:F1"/>
    <mergeCell ref="A2:F2"/>
    <mergeCell ref="A3:F3"/>
  </mergeCells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>
  <sheetPr codeName="Лист81"/>
  <dimension ref="A1:L42"/>
  <sheetViews>
    <sheetView topLeftCell="A22" workbookViewId="0">
      <selection activeCell="F53" sqref="F53"/>
    </sheetView>
  </sheetViews>
  <sheetFormatPr defaultRowHeight="13.15" customHeight="1"/>
  <cols>
    <col min="1" max="1" width="5" style="17" customWidth="1"/>
    <col min="2" max="2" width="30.28515625" customWidth="1"/>
    <col min="3" max="3" width="6.85546875" customWidth="1"/>
    <col min="4" max="4" width="6.5703125" customWidth="1"/>
    <col min="6" max="6" width="8.85546875" style="17"/>
    <col min="7" max="7" width="4.7109375" style="17" customWidth="1"/>
    <col min="8" max="8" width="24.7109375" customWidth="1"/>
    <col min="9" max="9" width="6.7109375" customWidth="1"/>
    <col min="10" max="10" width="7" customWidth="1"/>
    <col min="12" max="12" width="8.85546875" style="17"/>
  </cols>
  <sheetData>
    <row r="1" spans="1:12" ht="13.15" customHeight="1">
      <c r="A1" s="30" t="s">
        <v>147</v>
      </c>
      <c r="B1" s="30"/>
      <c r="C1" s="30"/>
      <c r="D1" s="31" t="s">
        <v>148</v>
      </c>
      <c r="E1" s="30"/>
      <c r="F1" s="30"/>
      <c r="G1" s="16"/>
      <c r="H1" s="2" t="s">
        <v>2</v>
      </c>
      <c r="I1" s="1" t="s">
        <v>3</v>
      </c>
      <c r="J1" s="2" t="s">
        <v>4</v>
      </c>
      <c r="K1" s="2" t="s">
        <v>149</v>
      </c>
      <c r="L1" s="2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150</v>
      </c>
      <c r="I2" s="2" t="s">
        <v>9</v>
      </c>
      <c r="J2" s="2"/>
      <c r="K2" s="5">
        <v>8.5</v>
      </c>
      <c r="L2" s="5">
        <f t="shared" ref="L2:L34" si="0"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151</v>
      </c>
      <c r="I3" s="2" t="s">
        <v>9</v>
      </c>
      <c r="J3" s="2"/>
      <c r="K3" s="5">
        <v>8.5</v>
      </c>
      <c r="L3" s="5">
        <f t="shared" si="0"/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152</v>
      </c>
      <c r="I4" s="2" t="s">
        <v>9</v>
      </c>
      <c r="J4" s="2"/>
      <c r="K4" s="5">
        <v>8.5</v>
      </c>
      <c r="L4" s="5">
        <f t="shared" si="0"/>
        <v>0</v>
      </c>
    </row>
    <row r="5" spans="1:12" ht="13.15" customHeight="1">
      <c r="A5" s="2">
        <v>1</v>
      </c>
      <c r="B5" s="4" t="s">
        <v>153</v>
      </c>
      <c r="C5" s="2" t="s">
        <v>9</v>
      </c>
      <c r="D5" s="2"/>
      <c r="E5" s="5">
        <v>8.8000000000000007</v>
      </c>
      <c r="F5" s="20">
        <f>D5*E5</f>
        <v>0</v>
      </c>
      <c r="G5" s="2">
        <v>39</v>
      </c>
      <c r="H5" s="4" t="s">
        <v>154</v>
      </c>
      <c r="I5" s="2" t="s">
        <v>9</v>
      </c>
      <c r="J5" s="2"/>
      <c r="K5" s="5">
        <v>8.5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5.7</v>
      </c>
      <c r="F6" s="20">
        <f t="shared" ref="F6:F35" si="1">D6*E6</f>
        <v>0</v>
      </c>
      <c r="G6" s="2">
        <v>40</v>
      </c>
      <c r="H6" s="4" t="s">
        <v>155</v>
      </c>
      <c r="I6" s="2" t="s">
        <v>9</v>
      </c>
      <c r="J6" s="2"/>
      <c r="K6" s="5">
        <v>8.5</v>
      </c>
      <c r="L6" s="5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6.3</v>
      </c>
      <c r="F7" s="20">
        <f t="shared" si="1"/>
        <v>0</v>
      </c>
      <c r="G7" s="2">
        <v>41</v>
      </c>
      <c r="H7" s="4" t="s">
        <v>157</v>
      </c>
      <c r="I7" s="2" t="s">
        <v>9</v>
      </c>
      <c r="J7" s="2"/>
      <c r="K7" s="5">
        <v>8.5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9</v>
      </c>
      <c r="F8" s="20">
        <f t="shared" si="1"/>
        <v>0</v>
      </c>
      <c r="G8" s="2">
        <v>42</v>
      </c>
      <c r="H8" s="4" t="s">
        <v>158</v>
      </c>
      <c r="I8" s="2" t="s">
        <v>9</v>
      </c>
      <c r="J8" s="2"/>
      <c r="K8" s="5">
        <v>3.3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5.8</v>
      </c>
      <c r="F9" s="20">
        <f t="shared" si="1"/>
        <v>0</v>
      </c>
      <c r="G9" s="2">
        <v>43</v>
      </c>
      <c r="H9" s="4" t="s">
        <v>159</v>
      </c>
      <c r="I9" s="2" t="s">
        <v>9</v>
      </c>
      <c r="J9" s="2"/>
      <c r="K9" s="5">
        <v>3.8</v>
      </c>
      <c r="L9" s="5">
        <f t="shared" si="0"/>
        <v>0</v>
      </c>
    </row>
    <row r="10" spans="1:12" ht="13.15" customHeight="1">
      <c r="A10" s="2">
        <v>6</v>
      </c>
      <c r="B10" s="4" t="s">
        <v>160</v>
      </c>
      <c r="C10" s="2" t="s">
        <v>9</v>
      </c>
      <c r="D10" s="2"/>
      <c r="E10" s="5">
        <v>7.4</v>
      </c>
      <c r="F10" s="20">
        <f t="shared" si="1"/>
        <v>0</v>
      </c>
      <c r="G10" s="2">
        <v>44</v>
      </c>
      <c r="H10" s="4" t="s">
        <v>13</v>
      </c>
      <c r="I10" s="2" t="s">
        <v>9</v>
      </c>
      <c r="J10" s="2"/>
      <c r="K10" s="5">
        <v>3.3</v>
      </c>
      <c r="L10" s="5">
        <f t="shared" si="0"/>
        <v>0</v>
      </c>
    </row>
    <row r="11" spans="1:12" ht="13.15" customHeight="1">
      <c r="A11" s="2">
        <v>7</v>
      </c>
      <c r="B11" s="4" t="s">
        <v>78</v>
      </c>
      <c r="C11" s="2" t="s">
        <v>9</v>
      </c>
      <c r="D11" s="2"/>
      <c r="E11" s="5">
        <v>8.1</v>
      </c>
      <c r="F11" s="20">
        <f t="shared" si="1"/>
        <v>0</v>
      </c>
      <c r="G11" s="2">
        <v>45</v>
      </c>
      <c r="H11" s="4" t="s">
        <v>17</v>
      </c>
      <c r="I11" s="2" t="s">
        <v>9</v>
      </c>
      <c r="J11" s="2"/>
      <c r="K11" s="5">
        <v>2.6</v>
      </c>
      <c r="L11" s="5">
        <f t="shared" si="0"/>
        <v>0</v>
      </c>
    </row>
    <row r="12" spans="1:12" ht="13.15" customHeight="1">
      <c r="A12" s="2">
        <v>8</v>
      </c>
      <c r="B12" s="4" t="s">
        <v>80</v>
      </c>
      <c r="C12" s="2" t="s">
        <v>9</v>
      </c>
      <c r="D12" s="2"/>
      <c r="E12" s="5">
        <v>5.4</v>
      </c>
      <c r="F12" s="20">
        <f t="shared" si="1"/>
        <v>0</v>
      </c>
      <c r="G12" s="2">
        <v>46</v>
      </c>
      <c r="H12" s="4" t="s">
        <v>161</v>
      </c>
      <c r="I12" s="2" t="s">
        <v>9</v>
      </c>
      <c r="J12" s="2"/>
      <c r="K12" s="5">
        <v>2.6</v>
      </c>
      <c r="L12" s="5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6.3</v>
      </c>
      <c r="F13" s="20">
        <f t="shared" si="1"/>
        <v>0</v>
      </c>
      <c r="G13" s="2">
        <v>47</v>
      </c>
      <c r="H13" s="4" t="s">
        <v>163</v>
      </c>
      <c r="I13" s="2" t="s">
        <v>9</v>
      </c>
      <c r="J13" s="2"/>
      <c r="K13" s="5">
        <v>4.2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6.9</v>
      </c>
      <c r="F14" s="20">
        <f t="shared" si="1"/>
        <v>0</v>
      </c>
      <c r="G14" s="2">
        <v>48</v>
      </c>
      <c r="H14" s="4" t="s">
        <v>164</v>
      </c>
      <c r="I14" s="2" t="s">
        <v>9</v>
      </c>
      <c r="J14" s="2"/>
      <c r="K14" s="5">
        <v>4.2</v>
      </c>
      <c r="L14" s="5">
        <f t="shared" si="0"/>
        <v>0</v>
      </c>
    </row>
    <row r="15" spans="1:12" ht="13.15" customHeight="1">
      <c r="A15" s="2">
        <v>11</v>
      </c>
      <c r="B15" s="4" t="s">
        <v>165</v>
      </c>
      <c r="C15" s="2" t="s">
        <v>9</v>
      </c>
      <c r="D15" s="2"/>
      <c r="E15" s="5">
        <v>5.2</v>
      </c>
      <c r="F15" s="20">
        <f t="shared" si="1"/>
        <v>0</v>
      </c>
      <c r="G15" s="2">
        <v>49</v>
      </c>
      <c r="H15" s="4" t="s">
        <v>166</v>
      </c>
      <c r="I15" s="2" t="s">
        <v>9</v>
      </c>
      <c r="J15" s="2"/>
      <c r="K15" s="5">
        <v>4.2</v>
      </c>
      <c r="L15" s="5">
        <f t="shared" si="0"/>
        <v>0</v>
      </c>
    </row>
    <row r="16" spans="1:12" ht="13.15" customHeight="1">
      <c r="A16" s="2">
        <v>12</v>
      </c>
      <c r="B16" s="4" t="s">
        <v>167</v>
      </c>
      <c r="C16" s="2" t="s">
        <v>9</v>
      </c>
      <c r="D16" s="2"/>
      <c r="E16" s="5">
        <v>7.2</v>
      </c>
      <c r="F16" s="20">
        <f>D16*E16</f>
        <v>0</v>
      </c>
      <c r="G16" s="2">
        <v>50</v>
      </c>
      <c r="H16" s="4" t="s">
        <v>168</v>
      </c>
      <c r="I16" s="2" t="s">
        <v>9</v>
      </c>
      <c r="J16" s="2"/>
      <c r="K16" s="5">
        <v>0</v>
      </c>
      <c r="L16" s="5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7.8</v>
      </c>
      <c r="F17" s="20">
        <f t="shared" si="1"/>
        <v>0</v>
      </c>
      <c r="G17" s="2">
        <v>51</v>
      </c>
      <c r="H17" s="4" t="s">
        <v>169</v>
      </c>
      <c r="I17" s="2" t="s">
        <v>9</v>
      </c>
      <c r="J17" s="2"/>
      <c r="K17" s="5">
        <v>4.2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5.4</v>
      </c>
      <c r="F18" s="20">
        <f t="shared" si="1"/>
        <v>0</v>
      </c>
      <c r="G18" s="2">
        <v>52</v>
      </c>
      <c r="H18" s="4" t="s">
        <v>170</v>
      </c>
      <c r="I18" s="2" t="s">
        <v>9</v>
      </c>
      <c r="J18" s="2"/>
      <c r="K18" s="5">
        <v>3.8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</v>
      </c>
      <c r="F19" s="20">
        <f t="shared" si="1"/>
        <v>0</v>
      </c>
      <c r="G19" s="2">
        <v>53</v>
      </c>
      <c r="H19" s="4" t="s">
        <v>171</v>
      </c>
      <c r="I19" s="2" t="s">
        <v>9</v>
      </c>
      <c r="J19" s="2"/>
      <c r="K19" s="5">
        <v>3.8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3</v>
      </c>
      <c r="F20" s="20">
        <f t="shared" si="1"/>
        <v>0</v>
      </c>
      <c r="G20" s="2">
        <v>54</v>
      </c>
      <c r="H20" s="4" t="s">
        <v>172</v>
      </c>
      <c r="I20" s="2" t="s">
        <v>9</v>
      </c>
      <c r="J20" s="2"/>
      <c r="K20" s="5">
        <v>3.8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1.7</v>
      </c>
      <c r="F21" s="20">
        <f t="shared" si="1"/>
        <v>0</v>
      </c>
      <c r="G21" s="2">
        <v>55</v>
      </c>
      <c r="H21" s="4" t="s">
        <v>173</v>
      </c>
      <c r="I21" s="2" t="s">
        <v>9</v>
      </c>
      <c r="J21" s="2"/>
      <c r="K21" s="5">
        <v>3.8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7.5</v>
      </c>
      <c r="F22" s="20">
        <f t="shared" si="1"/>
        <v>0</v>
      </c>
      <c r="G22" s="2">
        <v>56</v>
      </c>
      <c r="H22" s="4" t="s">
        <v>174</v>
      </c>
      <c r="I22" s="2" t="s">
        <v>9</v>
      </c>
      <c r="J22" s="2"/>
      <c r="K22" s="5">
        <v>10</v>
      </c>
      <c r="L22" s="5">
        <f t="shared" si="0"/>
        <v>0</v>
      </c>
    </row>
    <row r="23" spans="1:12" ht="13.15" customHeight="1">
      <c r="A23" s="2">
        <v>19</v>
      </c>
      <c r="B23" s="4" t="s">
        <v>175</v>
      </c>
      <c r="C23" s="2" t="s">
        <v>9</v>
      </c>
      <c r="D23" s="2"/>
      <c r="E23" s="5">
        <v>8</v>
      </c>
      <c r="F23" s="20">
        <f t="shared" si="1"/>
        <v>0</v>
      </c>
      <c r="G23" s="2">
        <v>57</v>
      </c>
      <c r="H23" s="4" t="s">
        <v>176</v>
      </c>
      <c r="I23" s="2" t="s">
        <v>9</v>
      </c>
      <c r="J23" s="4"/>
      <c r="K23" s="2">
        <v>8.8000000000000007</v>
      </c>
      <c r="L23" s="5">
        <f t="shared" si="0"/>
        <v>0</v>
      </c>
    </row>
    <row r="24" spans="1:12" ht="13.15" customHeight="1">
      <c r="A24" s="2">
        <v>20</v>
      </c>
      <c r="B24" s="4" t="s">
        <v>177</v>
      </c>
      <c r="C24" s="2" t="s">
        <v>9</v>
      </c>
      <c r="D24" s="2"/>
      <c r="E24" s="5">
        <v>8.4</v>
      </c>
      <c r="F24" s="20">
        <f t="shared" si="1"/>
        <v>0</v>
      </c>
      <c r="G24" s="2">
        <v>58</v>
      </c>
      <c r="H24" s="4" t="s">
        <v>178</v>
      </c>
      <c r="I24" s="2" t="s">
        <v>9</v>
      </c>
      <c r="J24" s="4"/>
      <c r="K24" s="2">
        <v>7.2</v>
      </c>
      <c r="L24" s="5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8.8000000000000007</v>
      </c>
      <c r="F25" s="20">
        <f t="shared" si="1"/>
        <v>0</v>
      </c>
      <c r="G25" s="2">
        <v>59</v>
      </c>
      <c r="H25" s="4" t="s">
        <v>179</v>
      </c>
      <c r="I25" s="2" t="s">
        <v>9</v>
      </c>
      <c r="J25" s="4"/>
      <c r="K25" s="2">
        <v>8.5</v>
      </c>
      <c r="L25" s="5">
        <f t="shared" si="0"/>
        <v>0</v>
      </c>
    </row>
    <row r="26" spans="1:12" ht="13.15" customHeight="1">
      <c r="A26" s="2">
        <v>22</v>
      </c>
      <c r="B26" s="4" t="s">
        <v>180</v>
      </c>
      <c r="C26" s="2" t="s">
        <v>9</v>
      </c>
      <c r="D26" s="2"/>
      <c r="E26" s="5">
        <v>6</v>
      </c>
      <c r="F26" s="20">
        <f t="shared" si="1"/>
        <v>0</v>
      </c>
      <c r="G26" s="2">
        <v>60</v>
      </c>
      <c r="H26" s="4" t="s">
        <v>131</v>
      </c>
      <c r="I26" s="2" t="s">
        <v>9</v>
      </c>
      <c r="J26" s="4"/>
      <c r="K26" s="2">
        <v>4.2</v>
      </c>
      <c r="L26" s="5">
        <f t="shared" si="0"/>
        <v>0</v>
      </c>
    </row>
    <row r="27" spans="1:12" ht="13.15" customHeight="1">
      <c r="A27" s="2">
        <v>23</v>
      </c>
      <c r="B27" s="4" t="s">
        <v>181</v>
      </c>
      <c r="C27" s="2" t="s">
        <v>9</v>
      </c>
      <c r="D27" s="2"/>
      <c r="E27" s="5">
        <v>3.8</v>
      </c>
      <c r="F27" s="20">
        <f t="shared" si="1"/>
        <v>0</v>
      </c>
      <c r="G27" s="2">
        <v>61</v>
      </c>
      <c r="H27" s="4" t="s">
        <v>182</v>
      </c>
      <c r="I27" s="2" t="s">
        <v>9</v>
      </c>
      <c r="J27" s="4"/>
      <c r="K27" s="2">
        <v>13.5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6.3</v>
      </c>
      <c r="F28" s="20">
        <f t="shared" si="1"/>
        <v>0</v>
      </c>
      <c r="G28" s="2">
        <v>62</v>
      </c>
      <c r="H28" s="4" t="s">
        <v>183</v>
      </c>
      <c r="I28" s="2" t="s">
        <v>9</v>
      </c>
      <c r="J28" s="4"/>
      <c r="K28" s="2">
        <v>12.8</v>
      </c>
      <c r="L28" s="5">
        <f t="shared" si="0"/>
        <v>0</v>
      </c>
    </row>
    <row r="29" spans="1:12" ht="13.15" customHeight="1">
      <c r="A29" s="2">
        <v>25</v>
      </c>
      <c r="B29" s="4" t="s">
        <v>184</v>
      </c>
      <c r="C29" s="2" t="s">
        <v>9</v>
      </c>
      <c r="D29" s="2"/>
      <c r="E29" s="5">
        <v>7.7</v>
      </c>
      <c r="F29" s="20">
        <f t="shared" si="1"/>
        <v>0</v>
      </c>
      <c r="G29" s="2">
        <v>63</v>
      </c>
      <c r="H29" s="4" t="s">
        <v>185</v>
      </c>
      <c r="I29" s="2" t="s">
        <v>9</v>
      </c>
      <c r="J29" s="4"/>
      <c r="K29" s="2">
        <v>8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6.2</v>
      </c>
      <c r="F30" s="5">
        <f t="shared" si="1"/>
        <v>0</v>
      </c>
      <c r="G30" s="2">
        <v>64</v>
      </c>
      <c r="H30" s="4" t="s">
        <v>186</v>
      </c>
      <c r="I30" s="2" t="s">
        <v>9</v>
      </c>
      <c r="J30" s="4"/>
      <c r="K30" s="2">
        <v>7.25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7</v>
      </c>
      <c r="F31" s="5">
        <f t="shared" si="1"/>
        <v>0</v>
      </c>
      <c r="G31" s="2">
        <v>65</v>
      </c>
      <c r="H31" s="4" t="s">
        <v>187</v>
      </c>
      <c r="I31" s="2" t="s">
        <v>9</v>
      </c>
      <c r="J31" s="4"/>
      <c r="K31" s="2">
        <v>10.8</v>
      </c>
      <c r="L31" s="5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10</v>
      </c>
      <c r="F32" s="20">
        <f t="shared" si="1"/>
        <v>0</v>
      </c>
      <c r="G32" s="2">
        <v>66</v>
      </c>
      <c r="H32" s="4" t="s">
        <v>188</v>
      </c>
      <c r="I32" s="2" t="s">
        <v>9</v>
      </c>
      <c r="J32" s="4"/>
      <c r="K32" s="2">
        <v>3.8</v>
      </c>
      <c r="L32" s="5">
        <f t="shared" si="0"/>
        <v>0</v>
      </c>
    </row>
    <row r="33" spans="1:12" ht="13.15" customHeight="1">
      <c r="A33" s="2">
        <v>29</v>
      </c>
      <c r="B33" s="4" t="s">
        <v>189</v>
      </c>
      <c r="C33" s="2" t="s">
        <v>9</v>
      </c>
      <c r="D33" s="2"/>
      <c r="E33" s="5">
        <v>1.5</v>
      </c>
      <c r="F33" s="5">
        <f t="shared" si="1"/>
        <v>0</v>
      </c>
      <c r="G33" s="2">
        <v>67</v>
      </c>
      <c r="H33" s="4" t="s">
        <v>190</v>
      </c>
      <c r="I33" s="2" t="s">
        <v>9</v>
      </c>
      <c r="J33" s="4"/>
      <c r="K33" s="2">
        <v>6.7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7.9</v>
      </c>
      <c r="F34" s="5">
        <f t="shared" si="1"/>
        <v>0</v>
      </c>
      <c r="G34" s="2">
        <v>68</v>
      </c>
      <c r="H34" s="4" t="s">
        <v>191</v>
      </c>
      <c r="I34" s="2" t="s">
        <v>9</v>
      </c>
      <c r="J34" s="4"/>
      <c r="K34" s="2">
        <v>6.7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7</v>
      </c>
      <c r="F35" s="20">
        <f t="shared" si="1"/>
        <v>0</v>
      </c>
      <c r="G35" s="2">
        <v>69</v>
      </c>
      <c r="H35" s="4" t="s">
        <v>192</v>
      </c>
      <c r="I35" s="2" t="s">
        <v>9</v>
      </c>
      <c r="J35" s="4"/>
      <c r="K35" s="2">
        <v>4.8</v>
      </c>
      <c r="L35" s="5">
        <f>J35*K35</f>
        <v>0</v>
      </c>
    </row>
    <row r="36" spans="1:12" ht="13.15" customHeight="1">
      <c r="A36" s="2">
        <v>32</v>
      </c>
      <c r="B36" s="4" t="s">
        <v>193</v>
      </c>
      <c r="C36" s="2" t="s">
        <v>9</v>
      </c>
      <c r="D36" s="2"/>
      <c r="E36" s="5">
        <v>10.25</v>
      </c>
      <c r="F36" s="20">
        <f>D36*E36</f>
        <v>0</v>
      </c>
      <c r="G36" s="2">
        <v>70</v>
      </c>
      <c r="H36" s="4" t="s">
        <v>194</v>
      </c>
      <c r="I36" s="2" t="s">
        <v>9</v>
      </c>
      <c r="J36" s="4"/>
      <c r="K36" s="2">
        <v>7.25</v>
      </c>
      <c r="L36" s="5">
        <f>J36*K36</f>
        <v>0</v>
      </c>
    </row>
    <row r="37" spans="1:12" ht="13.15" customHeight="1">
      <c r="A37" s="2">
        <v>33</v>
      </c>
      <c r="B37" s="4" t="s">
        <v>195</v>
      </c>
      <c r="C37" s="2" t="s">
        <v>9</v>
      </c>
      <c r="D37" s="2"/>
      <c r="E37" s="5">
        <v>6</v>
      </c>
      <c r="F37" s="20">
        <f>D37*E37</f>
        <v>0</v>
      </c>
      <c r="G37" s="2">
        <v>71</v>
      </c>
      <c r="H37" s="4" t="s">
        <v>196</v>
      </c>
      <c r="I37" s="2" t="s">
        <v>9</v>
      </c>
      <c r="J37" s="4"/>
      <c r="K37" s="2">
        <v>5.4</v>
      </c>
      <c r="L37" s="5">
        <f>J37*K37</f>
        <v>0</v>
      </c>
    </row>
    <row r="38" spans="1:12" ht="13.15" customHeight="1">
      <c r="A38" s="2">
        <v>34</v>
      </c>
      <c r="B38" s="4"/>
      <c r="C38" s="2" t="s">
        <v>9</v>
      </c>
      <c r="D38" s="2"/>
      <c r="E38" s="5">
        <v>0</v>
      </c>
      <c r="F38" s="20">
        <f>D38*E38</f>
        <v>0</v>
      </c>
      <c r="G38" s="2">
        <v>72</v>
      </c>
      <c r="H38" s="4" t="s">
        <v>197</v>
      </c>
      <c r="I38" s="2" t="s">
        <v>9</v>
      </c>
      <c r="J38" s="4"/>
      <c r="K38" s="2">
        <v>8.5</v>
      </c>
      <c r="L38" s="5">
        <f>J38*K38</f>
        <v>0</v>
      </c>
    </row>
    <row r="39" spans="1:12" ht="13.15" customHeight="1">
      <c r="A39" s="2">
        <v>35</v>
      </c>
      <c r="B39" s="4" t="s">
        <v>198</v>
      </c>
      <c r="C39" s="2" t="s">
        <v>9</v>
      </c>
      <c r="D39" s="2"/>
      <c r="E39" s="5">
        <v>8.5</v>
      </c>
      <c r="F39" s="20">
        <f>D39*E39</f>
        <v>0</v>
      </c>
      <c r="G39" s="2">
        <v>73</v>
      </c>
      <c r="H39" s="4" t="s">
        <v>199</v>
      </c>
      <c r="I39" s="2" t="s">
        <v>9</v>
      </c>
      <c r="J39" s="4"/>
      <c r="K39" s="2">
        <v>6.7</v>
      </c>
      <c r="L39" s="5">
        <f>J39*K39</f>
        <v>0</v>
      </c>
    </row>
    <row r="40" spans="1:12" ht="13.15" customHeight="1">
      <c r="K40" t="s">
        <v>200</v>
      </c>
      <c r="L40" s="25">
        <f>F5+F6+F7+F8+F9+F10+F11+F12+F13+F14+F15+F16+F17+F18+F19+F20+F21+F22+F23+F24+F25+F26+F27+F28+F29+F30+F31+F32+F33+F34+F35+F36+F37+F38+F39+L2+L3+L4+L5+L6+L7+L8+L9+L10+L11+L12+L13+L14+L15+L16+L17+L18+L19+L20+L21+L22+L23+L24+L25+L26+L27+L28+L29+L30+L31+L32+L33+L34+L35+L36+L37+L38+L39</f>
        <v>0</v>
      </c>
    </row>
    <row r="42" spans="1:12" ht="13.15" customHeight="1">
      <c r="H42" t="s">
        <v>201</v>
      </c>
      <c r="J42" t="s">
        <v>202</v>
      </c>
    </row>
  </sheetData>
  <mergeCells count="4">
    <mergeCell ref="A1:C1"/>
    <mergeCell ref="D1:F1"/>
    <mergeCell ref="A2:F2"/>
    <mergeCell ref="A3:F3"/>
  </mergeCells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>
  <sheetPr codeName="Лист82"/>
  <dimension ref="A1:L42"/>
  <sheetViews>
    <sheetView topLeftCell="A22" workbookViewId="0">
      <selection activeCell="N51" sqref="N51"/>
    </sheetView>
  </sheetViews>
  <sheetFormatPr defaultRowHeight="13.15" customHeight="1"/>
  <cols>
    <col min="1" max="1" width="5" style="17" customWidth="1"/>
    <col min="2" max="2" width="30.28515625" customWidth="1"/>
    <col min="3" max="3" width="6.85546875" customWidth="1"/>
    <col min="4" max="4" width="6.5703125" customWidth="1"/>
    <col min="6" max="6" width="8.85546875" style="17"/>
    <col min="7" max="7" width="4.7109375" style="17" customWidth="1"/>
    <col min="8" max="8" width="24.7109375" customWidth="1"/>
    <col min="9" max="9" width="6.7109375" customWidth="1"/>
    <col min="10" max="10" width="7" customWidth="1"/>
    <col min="12" max="12" width="8.85546875" style="17"/>
  </cols>
  <sheetData>
    <row r="1" spans="1:12" ht="13.15" customHeight="1">
      <c r="A1" s="30" t="s">
        <v>147</v>
      </c>
      <c r="B1" s="30"/>
      <c r="C1" s="30"/>
      <c r="D1" s="31" t="s">
        <v>148</v>
      </c>
      <c r="E1" s="30"/>
      <c r="F1" s="30"/>
      <c r="G1" s="16"/>
      <c r="H1" s="2" t="s">
        <v>2</v>
      </c>
      <c r="I1" s="1" t="s">
        <v>3</v>
      </c>
      <c r="J1" s="2" t="s">
        <v>4</v>
      </c>
      <c r="K1" s="2" t="s">
        <v>149</v>
      </c>
      <c r="L1" s="2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150</v>
      </c>
      <c r="I2" s="2" t="s">
        <v>9</v>
      </c>
      <c r="J2" s="2"/>
      <c r="K2" s="5">
        <v>8.5</v>
      </c>
      <c r="L2" s="5">
        <f t="shared" ref="L2:L34" si="0"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151</v>
      </c>
      <c r="I3" s="2" t="s">
        <v>9</v>
      </c>
      <c r="J3" s="2"/>
      <c r="K3" s="5">
        <v>8.5</v>
      </c>
      <c r="L3" s="5">
        <f t="shared" si="0"/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152</v>
      </c>
      <c r="I4" s="2" t="s">
        <v>9</v>
      </c>
      <c r="J4" s="2"/>
      <c r="K4" s="5">
        <v>8.5</v>
      </c>
      <c r="L4" s="5">
        <f t="shared" si="0"/>
        <v>0</v>
      </c>
    </row>
    <row r="5" spans="1:12" ht="13.15" customHeight="1">
      <c r="A5" s="2">
        <v>1</v>
      </c>
      <c r="B5" s="4" t="s">
        <v>153</v>
      </c>
      <c r="C5" s="2" t="s">
        <v>9</v>
      </c>
      <c r="D5" s="2"/>
      <c r="E5" s="5">
        <v>8.8000000000000007</v>
      </c>
      <c r="F5" s="20">
        <f>D5*E5</f>
        <v>0</v>
      </c>
      <c r="G5" s="2">
        <v>39</v>
      </c>
      <c r="H5" s="4" t="s">
        <v>154</v>
      </c>
      <c r="I5" s="2" t="s">
        <v>9</v>
      </c>
      <c r="J5" s="2"/>
      <c r="K5" s="5">
        <v>8.5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5.7</v>
      </c>
      <c r="F6" s="20">
        <f t="shared" ref="F6:F35" si="1">D6*E6</f>
        <v>0</v>
      </c>
      <c r="G6" s="2">
        <v>40</v>
      </c>
      <c r="H6" s="4" t="s">
        <v>155</v>
      </c>
      <c r="I6" s="2" t="s">
        <v>9</v>
      </c>
      <c r="J6" s="2"/>
      <c r="K6" s="5">
        <v>8.5</v>
      </c>
      <c r="L6" s="5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6.3</v>
      </c>
      <c r="F7" s="20">
        <f t="shared" si="1"/>
        <v>0</v>
      </c>
      <c r="G7" s="2">
        <v>41</v>
      </c>
      <c r="H7" s="4" t="s">
        <v>157</v>
      </c>
      <c r="I7" s="2" t="s">
        <v>9</v>
      </c>
      <c r="J7" s="2"/>
      <c r="K7" s="5">
        <v>8.5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9</v>
      </c>
      <c r="F8" s="20">
        <f t="shared" si="1"/>
        <v>0</v>
      </c>
      <c r="G8" s="2">
        <v>42</v>
      </c>
      <c r="H8" s="4" t="s">
        <v>158</v>
      </c>
      <c r="I8" s="2" t="s">
        <v>9</v>
      </c>
      <c r="J8" s="2"/>
      <c r="K8" s="5">
        <v>3.3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5.8</v>
      </c>
      <c r="F9" s="20">
        <f t="shared" si="1"/>
        <v>0</v>
      </c>
      <c r="G9" s="2">
        <v>43</v>
      </c>
      <c r="H9" s="4" t="s">
        <v>159</v>
      </c>
      <c r="I9" s="2" t="s">
        <v>9</v>
      </c>
      <c r="J9" s="2"/>
      <c r="K9" s="5">
        <v>3.8</v>
      </c>
      <c r="L9" s="5">
        <f t="shared" si="0"/>
        <v>0</v>
      </c>
    </row>
    <row r="10" spans="1:12" ht="13.15" customHeight="1">
      <c r="A10" s="2">
        <v>6</v>
      </c>
      <c r="B10" s="4" t="s">
        <v>160</v>
      </c>
      <c r="C10" s="2" t="s">
        <v>9</v>
      </c>
      <c r="D10" s="2"/>
      <c r="E10" s="5">
        <v>7.4</v>
      </c>
      <c r="F10" s="20">
        <f t="shared" si="1"/>
        <v>0</v>
      </c>
      <c r="G10" s="2">
        <v>44</v>
      </c>
      <c r="H10" s="4" t="s">
        <v>13</v>
      </c>
      <c r="I10" s="2" t="s">
        <v>9</v>
      </c>
      <c r="J10" s="2"/>
      <c r="K10" s="5">
        <v>3.3</v>
      </c>
      <c r="L10" s="5">
        <f t="shared" si="0"/>
        <v>0</v>
      </c>
    </row>
    <row r="11" spans="1:12" ht="13.15" customHeight="1">
      <c r="A11" s="2">
        <v>7</v>
      </c>
      <c r="B11" s="4" t="s">
        <v>78</v>
      </c>
      <c r="C11" s="2" t="s">
        <v>9</v>
      </c>
      <c r="D11" s="2"/>
      <c r="E11" s="5">
        <v>8.1</v>
      </c>
      <c r="F11" s="20">
        <f t="shared" si="1"/>
        <v>0</v>
      </c>
      <c r="G11" s="2">
        <v>45</v>
      </c>
      <c r="H11" s="4" t="s">
        <v>17</v>
      </c>
      <c r="I11" s="2" t="s">
        <v>9</v>
      </c>
      <c r="J11" s="2"/>
      <c r="K11" s="5">
        <v>2.6</v>
      </c>
      <c r="L11" s="5">
        <f t="shared" si="0"/>
        <v>0</v>
      </c>
    </row>
    <row r="12" spans="1:12" ht="13.15" customHeight="1">
      <c r="A12" s="2">
        <v>8</v>
      </c>
      <c r="B12" s="4" t="s">
        <v>80</v>
      </c>
      <c r="C12" s="2" t="s">
        <v>9</v>
      </c>
      <c r="D12" s="2"/>
      <c r="E12" s="5">
        <v>5.4</v>
      </c>
      <c r="F12" s="20">
        <f t="shared" si="1"/>
        <v>0</v>
      </c>
      <c r="G12" s="2">
        <v>46</v>
      </c>
      <c r="H12" s="4" t="s">
        <v>161</v>
      </c>
      <c r="I12" s="2" t="s">
        <v>9</v>
      </c>
      <c r="J12" s="2"/>
      <c r="K12" s="5">
        <v>2.6</v>
      </c>
      <c r="L12" s="5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6.3</v>
      </c>
      <c r="F13" s="20">
        <f t="shared" si="1"/>
        <v>0</v>
      </c>
      <c r="G13" s="2">
        <v>47</v>
      </c>
      <c r="H13" s="4" t="s">
        <v>163</v>
      </c>
      <c r="I13" s="2" t="s">
        <v>9</v>
      </c>
      <c r="J13" s="2"/>
      <c r="K13" s="5">
        <v>4.2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6.9</v>
      </c>
      <c r="F14" s="20">
        <f t="shared" si="1"/>
        <v>0</v>
      </c>
      <c r="G14" s="2">
        <v>48</v>
      </c>
      <c r="H14" s="4" t="s">
        <v>164</v>
      </c>
      <c r="I14" s="2" t="s">
        <v>9</v>
      </c>
      <c r="J14" s="2"/>
      <c r="K14" s="5">
        <v>4.2</v>
      </c>
      <c r="L14" s="5">
        <f t="shared" si="0"/>
        <v>0</v>
      </c>
    </row>
    <row r="15" spans="1:12" ht="13.15" customHeight="1">
      <c r="A15" s="2">
        <v>11</v>
      </c>
      <c r="B15" s="4" t="s">
        <v>165</v>
      </c>
      <c r="C15" s="2" t="s">
        <v>9</v>
      </c>
      <c r="D15" s="2"/>
      <c r="E15" s="5">
        <v>5.2</v>
      </c>
      <c r="F15" s="20">
        <f t="shared" si="1"/>
        <v>0</v>
      </c>
      <c r="G15" s="2">
        <v>49</v>
      </c>
      <c r="H15" s="4" t="s">
        <v>166</v>
      </c>
      <c r="I15" s="2" t="s">
        <v>9</v>
      </c>
      <c r="J15" s="2"/>
      <c r="K15" s="5">
        <v>4.2</v>
      </c>
      <c r="L15" s="5">
        <f t="shared" si="0"/>
        <v>0</v>
      </c>
    </row>
    <row r="16" spans="1:12" ht="13.15" customHeight="1">
      <c r="A16" s="2">
        <v>12</v>
      </c>
      <c r="B16" s="4" t="s">
        <v>167</v>
      </c>
      <c r="C16" s="2" t="s">
        <v>9</v>
      </c>
      <c r="D16" s="2"/>
      <c r="E16" s="5">
        <v>7.2</v>
      </c>
      <c r="F16" s="20">
        <f>D16*E16</f>
        <v>0</v>
      </c>
      <c r="G16" s="2">
        <v>50</v>
      </c>
      <c r="H16" s="4" t="s">
        <v>168</v>
      </c>
      <c r="I16" s="2" t="s">
        <v>9</v>
      </c>
      <c r="J16" s="2"/>
      <c r="K16" s="5">
        <v>0</v>
      </c>
      <c r="L16" s="5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7.8</v>
      </c>
      <c r="F17" s="20">
        <f t="shared" si="1"/>
        <v>0</v>
      </c>
      <c r="G17" s="2">
        <v>51</v>
      </c>
      <c r="H17" s="4" t="s">
        <v>169</v>
      </c>
      <c r="I17" s="2" t="s">
        <v>9</v>
      </c>
      <c r="J17" s="2"/>
      <c r="K17" s="5">
        <v>4.2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5.4</v>
      </c>
      <c r="F18" s="20">
        <f t="shared" si="1"/>
        <v>0</v>
      </c>
      <c r="G18" s="2">
        <v>52</v>
      </c>
      <c r="H18" s="4" t="s">
        <v>170</v>
      </c>
      <c r="I18" s="2" t="s">
        <v>9</v>
      </c>
      <c r="J18" s="2"/>
      <c r="K18" s="5">
        <v>3.8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</v>
      </c>
      <c r="F19" s="20">
        <f t="shared" si="1"/>
        <v>0</v>
      </c>
      <c r="G19" s="2">
        <v>53</v>
      </c>
      <c r="H19" s="4" t="s">
        <v>171</v>
      </c>
      <c r="I19" s="2" t="s">
        <v>9</v>
      </c>
      <c r="J19" s="2"/>
      <c r="K19" s="5">
        <v>3.8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3</v>
      </c>
      <c r="F20" s="20">
        <f t="shared" si="1"/>
        <v>0</v>
      </c>
      <c r="G20" s="2">
        <v>54</v>
      </c>
      <c r="H20" s="4" t="s">
        <v>172</v>
      </c>
      <c r="I20" s="2" t="s">
        <v>9</v>
      </c>
      <c r="J20" s="2"/>
      <c r="K20" s="5">
        <v>3.8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1.7</v>
      </c>
      <c r="F21" s="20">
        <f t="shared" si="1"/>
        <v>0</v>
      </c>
      <c r="G21" s="2">
        <v>55</v>
      </c>
      <c r="H21" s="4" t="s">
        <v>173</v>
      </c>
      <c r="I21" s="2" t="s">
        <v>9</v>
      </c>
      <c r="J21" s="2"/>
      <c r="K21" s="5">
        <v>3.8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7.5</v>
      </c>
      <c r="F22" s="20">
        <f t="shared" si="1"/>
        <v>0</v>
      </c>
      <c r="G22" s="2">
        <v>56</v>
      </c>
      <c r="H22" s="4" t="s">
        <v>174</v>
      </c>
      <c r="I22" s="2" t="s">
        <v>9</v>
      </c>
      <c r="J22" s="2"/>
      <c r="K22" s="5">
        <v>10</v>
      </c>
      <c r="L22" s="5">
        <f t="shared" si="0"/>
        <v>0</v>
      </c>
    </row>
    <row r="23" spans="1:12" ht="13.15" customHeight="1">
      <c r="A23" s="2">
        <v>19</v>
      </c>
      <c r="B23" s="4" t="s">
        <v>175</v>
      </c>
      <c r="C23" s="2" t="s">
        <v>9</v>
      </c>
      <c r="D23" s="2"/>
      <c r="E23" s="5">
        <v>8</v>
      </c>
      <c r="F23" s="20">
        <f t="shared" si="1"/>
        <v>0</v>
      </c>
      <c r="G23" s="2">
        <v>57</v>
      </c>
      <c r="H23" s="4" t="s">
        <v>176</v>
      </c>
      <c r="I23" s="2" t="s">
        <v>9</v>
      </c>
      <c r="J23" s="4"/>
      <c r="K23" s="2">
        <v>8.8000000000000007</v>
      </c>
      <c r="L23" s="5">
        <f t="shared" si="0"/>
        <v>0</v>
      </c>
    </row>
    <row r="24" spans="1:12" ht="13.15" customHeight="1">
      <c r="A24" s="2">
        <v>20</v>
      </c>
      <c r="B24" s="4" t="s">
        <v>177</v>
      </c>
      <c r="C24" s="2" t="s">
        <v>9</v>
      </c>
      <c r="D24" s="2"/>
      <c r="E24" s="5">
        <v>8.4</v>
      </c>
      <c r="F24" s="20">
        <f t="shared" si="1"/>
        <v>0</v>
      </c>
      <c r="G24" s="2">
        <v>58</v>
      </c>
      <c r="H24" s="4" t="s">
        <v>178</v>
      </c>
      <c r="I24" s="2" t="s">
        <v>9</v>
      </c>
      <c r="J24" s="4"/>
      <c r="K24" s="2">
        <v>7.2</v>
      </c>
      <c r="L24" s="5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8.8000000000000007</v>
      </c>
      <c r="F25" s="20">
        <f t="shared" si="1"/>
        <v>0</v>
      </c>
      <c r="G25" s="2">
        <v>59</v>
      </c>
      <c r="H25" s="4" t="s">
        <v>179</v>
      </c>
      <c r="I25" s="2" t="s">
        <v>9</v>
      </c>
      <c r="J25" s="4"/>
      <c r="K25" s="2">
        <v>8.5</v>
      </c>
      <c r="L25" s="5">
        <f t="shared" si="0"/>
        <v>0</v>
      </c>
    </row>
    <row r="26" spans="1:12" ht="13.15" customHeight="1">
      <c r="A26" s="2">
        <v>22</v>
      </c>
      <c r="B26" s="4" t="s">
        <v>180</v>
      </c>
      <c r="C26" s="2" t="s">
        <v>9</v>
      </c>
      <c r="D26" s="2"/>
      <c r="E26" s="5">
        <v>6</v>
      </c>
      <c r="F26" s="20">
        <f t="shared" si="1"/>
        <v>0</v>
      </c>
      <c r="G26" s="2">
        <v>60</v>
      </c>
      <c r="H26" s="4" t="s">
        <v>131</v>
      </c>
      <c r="I26" s="2" t="s">
        <v>9</v>
      </c>
      <c r="J26" s="4"/>
      <c r="K26" s="2">
        <v>4.2</v>
      </c>
      <c r="L26" s="5">
        <f t="shared" si="0"/>
        <v>0</v>
      </c>
    </row>
    <row r="27" spans="1:12" ht="13.15" customHeight="1">
      <c r="A27" s="2">
        <v>23</v>
      </c>
      <c r="B27" s="4" t="s">
        <v>181</v>
      </c>
      <c r="C27" s="2" t="s">
        <v>9</v>
      </c>
      <c r="D27" s="2"/>
      <c r="E27" s="5">
        <v>3.8</v>
      </c>
      <c r="F27" s="20">
        <f t="shared" si="1"/>
        <v>0</v>
      </c>
      <c r="G27" s="2">
        <v>61</v>
      </c>
      <c r="H27" s="4" t="s">
        <v>182</v>
      </c>
      <c r="I27" s="2" t="s">
        <v>9</v>
      </c>
      <c r="J27" s="4"/>
      <c r="K27" s="2">
        <v>13.5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6.3</v>
      </c>
      <c r="F28" s="20">
        <f t="shared" si="1"/>
        <v>0</v>
      </c>
      <c r="G28" s="2">
        <v>62</v>
      </c>
      <c r="H28" s="4" t="s">
        <v>183</v>
      </c>
      <c r="I28" s="2" t="s">
        <v>9</v>
      </c>
      <c r="J28" s="4"/>
      <c r="K28" s="2">
        <v>12.8</v>
      </c>
      <c r="L28" s="5">
        <f t="shared" si="0"/>
        <v>0</v>
      </c>
    </row>
    <row r="29" spans="1:12" ht="13.15" customHeight="1">
      <c r="A29" s="2">
        <v>25</v>
      </c>
      <c r="B29" s="4" t="s">
        <v>184</v>
      </c>
      <c r="C29" s="2" t="s">
        <v>9</v>
      </c>
      <c r="D29" s="2"/>
      <c r="E29" s="5">
        <v>7.7</v>
      </c>
      <c r="F29" s="20">
        <f t="shared" si="1"/>
        <v>0</v>
      </c>
      <c r="G29" s="2">
        <v>63</v>
      </c>
      <c r="H29" s="4" t="s">
        <v>185</v>
      </c>
      <c r="I29" s="2" t="s">
        <v>9</v>
      </c>
      <c r="J29" s="4"/>
      <c r="K29" s="2">
        <v>8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6.2</v>
      </c>
      <c r="F30" s="5">
        <f t="shared" si="1"/>
        <v>0</v>
      </c>
      <c r="G30" s="2">
        <v>64</v>
      </c>
      <c r="H30" s="4" t="s">
        <v>186</v>
      </c>
      <c r="I30" s="2" t="s">
        <v>9</v>
      </c>
      <c r="J30" s="4"/>
      <c r="K30" s="2">
        <v>7.25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7</v>
      </c>
      <c r="F31" s="5">
        <f t="shared" si="1"/>
        <v>0</v>
      </c>
      <c r="G31" s="2">
        <v>65</v>
      </c>
      <c r="H31" s="4" t="s">
        <v>187</v>
      </c>
      <c r="I31" s="2" t="s">
        <v>9</v>
      </c>
      <c r="J31" s="4"/>
      <c r="K31" s="2">
        <v>10.8</v>
      </c>
      <c r="L31" s="5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10</v>
      </c>
      <c r="F32" s="20">
        <f t="shared" si="1"/>
        <v>0</v>
      </c>
      <c r="G32" s="2">
        <v>66</v>
      </c>
      <c r="H32" s="4" t="s">
        <v>188</v>
      </c>
      <c r="I32" s="2" t="s">
        <v>9</v>
      </c>
      <c r="J32" s="4"/>
      <c r="K32" s="2">
        <v>3.8</v>
      </c>
      <c r="L32" s="5">
        <f t="shared" si="0"/>
        <v>0</v>
      </c>
    </row>
    <row r="33" spans="1:12" ht="13.15" customHeight="1">
      <c r="A33" s="2">
        <v>29</v>
      </c>
      <c r="B33" s="4" t="s">
        <v>189</v>
      </c>
      <c r="C33" s="2" t="s">
        <v>9</v>
      </c>
      <c r="D33" s="2"/>
      <c r="E33" s="5">
        <v>1.5</v>
      </c>
      <c r="F33" s="5">
        <f t="shared" si="1"/>
        <v>0</v>
      </c>
      <c r="G33" s="2">
        <v>67</v>
      </c>
      <c r="H33" s="4" t="s">
        <v>190</v>
      </c>
      <c r="I33" s="2" t="s">
        <v>9</v>
      </c>
      <c r="J33" s="4"/>
      <c r="K33" s="2">
        <v>6.7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7.9</v>
      </c>
      <c r="F34" s="5">
        <f t="shared" si="1"/>
        <v>0</v>
      </c>
      <c r="G34" s="2">
        <v>68</v>
      </c>
      <c r="H34" s="4" t="s">
        <v>191</v>
      </c>
      <c r="I34" s="2" t="s">
        <v>9</v>
      </c>
      <c r="J34" s="4"/>
      <c r="K34" s="2">
        <v>6.7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7</v>
      </c>
      <c r="F35" s="20">
        <f t="shared" si="1"/>
        <v>0</v>
      </c>
      <c r="G35" s="2">
        <v>69</v>
      </c>
      <c r="H35" s="4" t="s">
        <v>192</v>
      </c>
      <c r="I35" s="2" t="s">
        <v>9</v>
      </c>
      <c r="J35" s="4"/>
      <c r="K35" s="2">
        <v>4.8</v>
      </c>
      <c r="L35" s="5">
        <f>J35*K35</f>
        <v>0</v>
      </c>
    </row>
    <row r="36" spans="1:12" ht="13.15" customHeight="1">
      <c r="A36" s="2">
        <v>32</v>
      </c>
      <c r="B36" s="4" t="s">
        <v>193</v>
      </c>
      <c r="C36" s="2" t="s">
        <v>9</v>
      </c>
      <c r="D36" s="2"/>
      <c r="E36" s="5">
        <v>10.25</v>
      </c>
      <c r="F36" s="20">
        <f>D36*E36</f>
        <v>0</v>
      </c>
      <c r="G36" s="2">
        <v>70</v>
      </c>
      <c r="H36" s="4" t="s">
        <v>194</v>
      </c>
      <c r="I36" s="2" t="s">
        <v>9</v>
      </c>
      <c r="J36" s="4"/>
      <c r="K36" s="2">
        <v>7.25</v>
      </c>
      <c r="L36" s="5">
        <f>J36*K36</f>
        <v>0</v>
      </c>
    </row>
    <row r="37" spans="1:12" ht="13.15" customHeight="1">
      <c r="A37" s="2">
        <v>33</v>
      </c>
      <c r="B37" s="4" t="s">
        <v>195</v>
      </c>
      <c r="C37" s="2" t="s">
        <v>9</v>
      </c>
      <c r="D37" s="2"/>
      <c r="E37" s="5">
        <v>6</v>
      </c>
      <c r="F37" s="20">
        <f>D37*E37</f>
        <v>0</v>
      </c>
      <c r="G37" s="2">
        <v>71</v>
      </c>
      <c r="H37" s="4" t="s">
        <v>196</v>
      </c>
      <c r="I37" s="2" t="s">
        <v>9</v>
      </c>
      <c r="J37" s="4"/>
      <c r="K37" s="2">
        <v>5.4</v>
      </c>
      <c r="L37" s="5">
        <f>J37*K37</f>
        <v>0</v>
      </c>
    </row>
    <row r="38" spans="1:12" ht="13.15" customHeight="1">
      <c r="A38" s="2">
        <v>34</v>
      </c>
      <c r="B38" s="4"/>
      <c r="C38" s="2" t="s">
        <v>9</v>
      </c>
      <c r="D38" s="2"/>
      <c r="E38" s="5">
        <v>0</v>
      </c>
      <c r="F38" s="20">
        <f>D38*E38</f>
        <v>0</v>
      </c>
      <c r="G38" s="2">
        <v>72</v>
      </c>
      <c r="H38" s="4" t="s">
        <v>197</v>
      </c>
      <c r="I38" s="2" t="s">
        <v>9</v>
      </c>
      <c r="J38" s="4"/>
      <c r="K38" s="2">
        <v>8.5</v>
      </c>
      <c r="L38" s="5">
        <f>J38*K38</f>
        <v>0</v>
      </c>
    </row>
    <row r="39" spans="1:12" ht="13.15" customHeight="1">
      <c r="A39" s="2">
        <v>35</v>
      </c>
      <c r="B39" s="4" t="s">
        <v>198</v>
      </c>
      <c r="C39" s="2" t="s">
        <v>9</v>
      </c>
      <c r="D39" s="2"/>
      <c r="E39" s="5">
        <v>8.5</v>
      </c>
      <c r="F39" s="20">
        <f>D39*E39</f>
        <v>0</v>
      </c>
      <c r="G39" s="2">
        <v>73</v>
      </c>
      <c r="H39" s="4" t="s">
        <v>199</v>
      </c>
      <c r="I39" s="2" t="s">
        <v>9</v>
      </c>
      <c r="J39" s="4"/>
      <c r="K39" s="2">
        <v>6.7</v>
      </c>
      <c r="L39" s="5">
        <f>J39*K39</f>
        <v>0</v>
      </c>
    </row>
    <row r="40" spans="1:12" ht="13.15" customHeight="1">
      <c r="K40" t="s">
        <v>200</v>
      </c>
      <c r="L40" s="25">
        <f>F5+F6+F7+F8+F9+F10+F11+F12+F13+F14+F15+F16+F17+F18+F19+F20+F21+F22+F23+F24+F25+F26+F27+F28+F29+F30+F31+F32+F33+F34+F35+F36+F37+F38+F39+L2+L3+L4+L5+L6+L7+L8+L9+L10+L11+L12+L13+L14+L15+L16+L17+L18+L19+L20+L21+L22+L23+L24+L25+L26+L27+L28+L29+L30+L31+L32+L33+L34+L35+L36+L37+L38+L39</f>
        <v>0</v>
      </c>
    </row>
    <row r="42" spans="1:12" ht="13.15" customHeight="1">
      <c r="H42" t="s">
        <v>201</v>
      </c>
      <c r="J42" t="s">
        <v>202</v>
      </c>
    </row>
  </sheetData>
  <mergeCells count="4">
    <mergeCell ref="A1:C1"/>
    <mergeCell ref="D1:F1"/>
    <mergeCell ref="A2:F2"/>
    <mergeCell ref="A3:F3"/>
  </mergeCell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>
  <sheetPr codeName="Лист83"/>
  <dimension ref="A1:L42"/>
  <sheetViews>
    <sheetView topLeftCell="A22" workbookViewId="0">
      <selection activeCell="N51" sqref="N51"/>
    </sheetView>
  </sheetViews>
  <sheetFormatPr defaultRowHeight="13.15" customHeight="1"/>
  <cols>
    <col min="1" max="1" width="5" style="17" customWidth="1"/>
    <col min="2" max="2" width="30.28515625" customWidth="1"/>
    <col min="3" max="3" width="6.85546875" customWidth="1"/>
    <col min="4" max="4" width="6.5703125" customWidth="1"/>
    <col min="6" max="6" width="8.85546875" style="17"/>
    <col min="7" max="7" width="4.7109375" style="17" customWidth="1"/>
    <col min="8" max="8" width="24.7109375" customWidth="1"/>
    <col min="9" max="9" width="6.7109375" customWidth="1"/>
    <col min="10" max="10" width="7" customWidth="1"/>
    <col min="12" max="12" width="8.85546875" style="17"/>
  </cols>
  <sheetData>
    <row r="1" spans="1:12" ht="13.15" customHeight="1">
      <c r="A1" s="30" t="s">
        <v>147</v>
      </c>
      <c r="B1" s="30"/>
      <c r="C1" s="30"/>
      <c r="D1" s="31" t="s">
        <v>148</v>
      </c>
      <c r="E1" s="30"/>
      <c r="F1" s="30"/>
      <c r="G1" s="16"/>
      <c r="H1" s="2" t="s">
        <v>2</v>
      </c>
      <c r="I1" s="1" t="s">
        <v>3</v>
      </c>
      <c r="J1" s="2" t="s">
        <v>4</v>
      </c>
      <c r="K1" s="2" t="s">
        <v>149</v>
      </c>
      <c r="L1" s="2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150</v>
      </c>
      <c r="I2" s="2" t="s">
        <v>9</v>
      </c>
      <c r="J2" s="2"/>
      <c r="K2" s="5">
        <v>8.5</v>
      </c>
      <c r="L2" s="5">
        <f t="shared" ref="L2:L34" si="0"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151</v>
      </c>
      <c r="I3" s="2" t="s">
        <v>9</v>
      </c>
      <c r="J3" s="2"/>
      <c r="K3" s="5">
        <v>8.5</v>
      </c>
      <c r="L3" s="5">
        <f t="shared" si="0"/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152</v>
      </c>
      <c r="I4" s="2" t="s">
        <v>9</v>
      </c>
      <c r="J4" s="2"/>
      <c r="K4" s="5">
        <v>8.5</v>
      </c>
      <c r="L4" s="5">
        <f t="shared" si="0"/>
        <v>0</v>
      </c>
    </row>
    <row r="5" spans="1:12" ht="13.15" customHeight="1">
      <c r="A5" s="2">
        <v>1</v>
      </c>
      <c r="B5" s="4" t="s">
        <v>153</v>
      </c>
      <c r="C5" s="2" t="s">
        <v>9</v>
      </c>
      <c r="D5" s="2"/>
      <c r="E5" s="5">
        <v>8.8000000000000007</v>
      </c>
      <c r="F5" s="20">
        <f>D5*E5</f>
        <v>0</v>
      </c>
      <c r="G5" s="2">
        <v>39</v>
      </c>
      <c r="H5" s="4" t="s">
        <v>154</v>
      </c>
      <c r="I5" s="2" t="s">
        <v>9</v>
      </c>
      <c r="J5" s="2"/>
      <c r="K5" s="5">
        <v>8.5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5.7</v>
      </c>
      <c r="F6" s="20">
        <f t="shared" ref="F6:F35" si="1">D6*E6</f>
        <v>0</v>
      </c>
      <c r="G6" s="2">
        <v>40</v>
      </c>
      <c r="H6" s="4" t="s">
        <v>155</v>
      </c>
      <c r="I6" s="2" t="s">
        <v>9</v>
      </c>
      <c r="J6" s="2"/>
      <c r="K6" s="5">
        <v>8.5</v>
      </c>
      <c r="L6" s="5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6.3</v>
      </c>
      <c r="F7" s="20">
        <f t="shared" si="1"/>
        <v>0</v>
      </c>
      <c r="G7" s="2">
        <v>41</v>
      </c>
      <c r="H7" s="4" t="s">
        <v>157</v>
      </c>
      <c r="I7" s="2" t="s">
        <v>9</v>
      </c>
      <c r="J7" s="2"/>
      <c r="K7" s="5">
        <v>8.5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9</v>
      </c>
      <c r="F8" s="20">
        <f t="shared" si="1"/>
        <v>0</v>
      </c>
      <c r="G8" s="2">
        <v>42</v>
      </c>
      <c r="H8" s="4" t="s">
        <v>158</v>
      </c>
      <c r="I8" s="2" t="s">
        <v>9</v>
      </c>
      <c r="J8" s="2"/>
      <c r="K8" s="5">
        <v>3.3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5.8</v>
      </c>
      <c r="F9" s="20">
        <f t="shared" si="1"/>
        <v>0</v>
      </c>
      <c r="G9" s="2">
        <v>43</v>
      </c>
      <c r="H9" s="4" t="s">
        <v>159</v>
      </c>
      <c r="I9" s="2" t="s">
        <v>9</v>
      </c>
      <c r="J9" s="2"/>
      <c r="K9" s="5">
        <v>3.8</v>
      </c>
      <c r="L9" s="5">
        <f t="shared" si="0"/>
        <v>0</v>
      </c>
    </row>
    <row r="10" spans="1:12" ht="13.15" customHeight="1">
      <c r="A10" s="2">
        <v>6</v>
      </c>
      <c r="B10" s="4" t="s">
        <v>160</v>
      </c>
      <c r="C10" s="2" t="s">
        <v>9</v>
      </c>
      <c r="D10" s="2"/>
      <c r="E10" s="5">
        <v>7.4</v>
      </c>
      <c r="F10" s="20">
        <f t="shared" si="1"/>
        <v>0</v>
      </c>
      <c r="G10" s="2">
        <v>44</v>
      </c>
      <c r="H10" s="4" t="s">
        <v>13</v>
      </c>
      <c r="I10" s="2" t="s">
        <v>9</v>
      </c>
      <c r="J10" s="2"/>
      <c r="K10" s="5">
        <v>3.3</v>
      </c>
      <c r="L10" s="5">
        <f t="shared" si="0"/>
        <v>0</v>
      </c>
    </row>
    <row r="11" spans="1:12" ht="13.15" customHeight="1">
      <c r="A11" s="2">
        <v>7</v>
      </c>
      <c r="B11" s="4" t="s">
        <v>78</v>
      </c>
      <c r="C11" s="2" t="s">
        <v>9</v>
      </c>
      <c r="D11" s="2"/>
      <c r="E11" s="5">
        <v>8.1</v>
      </c>
      <c r="F11" s="20">
        <f t="shared" si="1"/>
        <v>0</v>
      </c>
      <c r="G11" s="2">
        <v>45</v>
      </c>
      <c r="H11" s="4" t="s">
        <v>17</v>
      </c>
      <c r="I11" s="2" t="s">
        <v>9</v>
      </c>
      <c r="J11" s="2"/>
      <c r="K11" s="5">
        <v>2.6</v>
      </c>
      <c r="L11" s="5">
        <f t="shared" si="0"/>
        <v>0</v>
      </c>
    </row>
    <row r="12" spans="1:12" ht="13.15" customHeight="1">
      <c r="A12" s="2">
        <v>8</v>
      </c>
      <c r="B12" s="4" t="s">
        <v>80</v>
      </c>
      <c r="C12" s="2" t="s">
        <v>9</v>
      </c>
      <c r="D12" s="2"/>
      <c r="E12" s="5">
        <v>5.4</v>
      </c>
      <c r="F12" s="20">
        <f t="shared" si="1"/>
        <v>0</v>
      </c>
      <c r="G12" s="2">
        <v>46</v>
      </c>
      <c r="H12" s="4" t="s">
        <v>161</v>
      </c>
      <c r="I12" s="2" t="s">
        <v>9</v>
      </c>
      <c r="J12" s="2"/>
      <c r="K12" s="5">
        <v>2.6</v>
      </c>
      <c r="L12" s="5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6.3</v>
      </c>
      <c r="F13" s="20">
        <f t="shared" si="1"/>
        <v>0</v>
      </c>
      <c r="G13" s="2">
        <v>47</v>
      </c>
      <c r="H13" s="4" t="s">
        <v>163</v>
      </c>
      <c r="I13" s="2" t="s">
        <v>9</v>
      </c>
      <c r="J13" s="2"/>
      <c r="K13" s="5">
        <v>4.2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6.9</v>
      </c>
      <c r="F14" s="20">
        <f t="shared" si="1"/>
        <v>0</v>
      </c>
      <c r="G14" s="2">
        <v>48</v>
      </c>
      <c r="H14" s="4" t="s">
        <v>164</v>
      </c>
      <c r="I14" s="2" t="s">
        <v>9</v>
      </c>
      <c r="J14" s="2"/>
      <c r="K14" s="5">
        <v>4.2</v>
      </c>
      <c r="L14" s="5">
        <f t="shared" si="0"/>
        <v>0</v>
      </c>
    </row>
    <row r="15" spans="1:12" ht="13.15" customHeight="1">
      <c r="A15" s="2">
        <v>11</v>
      </c>
      <c r="B15" s="4" t="s">
        <v>165</v>
      </c>
      <c r="C15" s="2" t="s">
        <v>9</v>
      </c>
      <c r="D15" s="2"/>
      <c r="E15" s="5">
        <v>5.2</v>
      </c>
      <c r="F15" s="20">
        <f t="shared" si="1"/>
        <v>0</v>
      </c>
      <c r="G15" s="2">
        <v>49</v>
      </c>
      <c r="H15" s="4" t="s">
        <v>166</v>
      </c>
      <c r="I15" s="2" t="s">
        <v>9</v>
      </c>
      <c r="J15" s="2"/>
      <c r="K15" s="5">
        <v>4.2</v>
      </c>
      <c r="L15" s="5">
        <f t="shared" si="0"/>
        <v>0</v>
      </c>
    </row>
    <row r="16" spans="1:12" ht="13.15" customHeight="1">
      <c r="A16" s="2">
        <v>12</v>
      </c>
      <c r="B16" s="4" t="s">
        <v>167</v>
      </c>
      <c r="C16" s="2" t="s">
        <v>9</v>
      </c>
      <c r="D16" s="2"/>
      <c r="E16" s="5">
        <v>7.2</v>
      </c>
      <c r="F16" s="20">
        <f>D16*E16</f>
        <v>0</v>
      </c>
      <c r="G16" s="2">
        <v>50</v>
      </c>
      <c r="H16" s="4" t="s">
        <v>168</v>
      </c>
      <c r="I16" s="2" t="s">
        <v>9</v>
      </c>
      <c r="J16" s="2"/>
      <c r="K16" s="5">
        <v>0</v>
      </c>
      <c r="L16" s="5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7.8</v>
      </c>
      <c r="F17" s="20">
        <f t="shared" si="1"/>
        <v>0</v>
      </c>
      <c r="G17" s="2">
        <v>51</v>
      </c>
      <c r="H17" s="4" t="s">
        <v>169</v>
      </c>
      <c r="I17" s="2" t="s">
        <v>9</v>
      </c>
      <c r="J17" s="2"/>
      <c r="K17" s="5">
        <v>4.2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5.4</v>
      </c>
      <c r="F18" s="20">
        <f t="shared" si="1"/>
        <v>0</v>
      </c>
      <c r="G18" s="2">
        <v>52</v>
      </c>
      <c r="H18" s="4" t="s">
        <v>170</v>
      </c>
      <c r="I18" s="2" t="s">
        <v>9</v>
      </c>
      <c r="J18" s="2"/>
      <c r="K18" s="5">
        <v>3.8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</v>
      </c>
      <c r="F19" s="20">
        <f t="shared" si="1"/>
        <v>0</v>
      </c>
      <c r="G19" s="2">
        <v>53</v>
      </c>
      <c r="H19" s="4" t="s">
        <v>171</v>
      </c>
      <c r="I19" s="2" t="s">
        <v>9</v>
      </c>
      <c r="J19" s="2"/>
      <c r="K19" s="5">
        <v>3.8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3</v>
      </c>
      <c r="F20" s="20">
        <f t="shared" si="1"/>
        <v>0</v>
      </c>
      <c r="G20" s="2">
        <v>54</v>
      </c>
      <c r="H20" s="4" t="s">
        <v>172</v>
      </c>
      <c r="I20" s="2" t="s">
        <v>9</v>
      </c>
      <c r="J20" s="2"/>
      <c r="K20" s="5">
        <v>3.8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1.7</v>
      </c>
      <c r="F21" s="20">
        <f t="shared" si="1"/>
        <v>0</v>
      </c>
      <c r="G21" s="2">
        <v>55</v>
      </c>
      <c r="H21" s="4" t="s">
        <v>173</v>
      </c>
      <c r="I21" s="2" t="s">
        <v>9</v>
      </c>
      <c r="J21" s="2"/>
      <c r="K21" s="5">
        <v>3.8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7.5</v>
      </c>
      <c r="F22" s="20">
        <f t="shared" si="1"/>
        <v>0</v>
      </c>
      <c r="G22" s="2">
        <v>56</v>
      </c>
      <c r="H22" s="4" t="s">
        <v>174</v>
      </c>
      <c r="I22" s="2" t="s">
        <v>9</v>
      </c>
      <c r="J22" s="2"/>
      <c r="K22" s="5">
        <v>10</v>
      </c>
      <c r="L22" s="5">
        <f t="shared" si="0"/>
        <v>0</v>
      </c>
    </row>
    <row r="23" spans="1:12" ht="13.15" customHeight="1">
      <c r="A23" s="2">
        <v>19</v>
      </c>
      <c r="B23" s="4" t="s">
        <v>175</v>
      </c>
      <c r="C23" s="2" t="s">
        <v>9</v>
      </c>
      <c r="D23" s="2"/>
      <c r="E23" s="5">
        <v>8</v>
      </c>
      <c r="F23" s="20">
        <f t="shared" si="1"/>
        <v>0</v>
      </c>
      <c r="G23" s="2">
        <v>57</v>
      </c>
      <c r="H23" s="4" t="s">
        <v>176</v>
      </c>
      <c r="I23" s="2" t="s">
        <v>9</v>
      </c>
      <c r="J23" s="4"/>
      <c r="K23" s="2">
        <v>8.8000000000000007</v>
      </c>
      <c r="L23" s="5">
        <f t="shared" si="0"/>
        <v>0</v>
      </c>
    </row>
    <row r="24" spans="1:12" ht="13.15" customHeight="1">
      <c r="A24" s="2">
        <v>20</v>
      </c>
      <c r="B24" s="4" t="s">
        <v>177</v>
      </c>
      <c r="C24" s="2" t="s">
        <v>9</v>
      </c>
      <c r="D24" s="2"/>
      <c r="E24" s="5">
        <v>8.4</v>
      </c>
      <c r="F24" s="20">
        <f t="shared" si="1"/>
        <v>0</v>
      </c>
      <c r="G24" s="2">
        <v>58</v>
      </c>
      <c r="H24" s="4" t="s">
        <v>178</v>
      </c>
      <c r="I24" s="2" t="s">
        <v>9</v>
      </c>
      <c r="J24" s="4"/>
      <c r="K24" s="2">
        <v>7.2</v>
      </c>
      <c r="L24" s="5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8.8000000000000007</v>
      </c>
      <c r="F25" s="20">
        <f t="shared" si="1"/>
        <v>0</v>
      </c>
      <c r="G25" s="2">
        <v>59</v>
      </c>
      <c r="H25" s="4" t="s">
        <v>179</v>
      </c>
      <c r="I25" s="2" t="s">
        <v>9</v>
      </c>
      <c r="J25" s="4"/>
      <c r="K25" s="2">
        <v>8.5</v>
      </c>
      <c r="L25" s="5">
        <f t="shared" si="0"/>
        <v>0</v>
      </c>
    </row>
    <row r="26" spans="1:12" ht="13.15" customHeight="1">
      <c r="A26" s="2">
        <v>22</v>
      </c>
      <c r="B26" s="4" t="s">
        <v>180</v>
      </c>
      <c r="C26" s="2" t="s">
        <v>9</v>
      </c>
      <c r="D26" s="2"/>
      <c r="E26" s="5">
        <v>6</v>
      </c>
      <c r="F26" s="20">
        <f t="shared" si="1"/>
        <v>0</v>
      </c>
      <c r="G26" s="2">
        <v>60</v>
      </c>
      <c r="H26" s="4" t="s">
        <v>131</v>
      </c>
      <c r="I26" s="2" t="s">
        <v>9</v>
      </c>
      <c r="J26" s="4"/>
      <c r="K26" s="2">
        <v>4.2</v>
      </c>
      <c r="L26" s="5">
        <f t="shared" si="0"/>
        <v>0</v>
      </c>
    </row>
    <row r="27" spans="1:12" ht="13.15" customHeight="1">
      <c r="A27" s="2">
        <v>23</v>
      </c>
      <c r="B27" s="4" t="s">
        <v>181</v>
      </c>
      <c r="C27" s="2" t="s">
        <v>9</v>
      </c>
      <c r="D27" s="2"/>
      <c r="E27" s="5">
        <v>3.8</v>
      </c>
      <c r="F27" s="20">
        <f t="shared" si="1"/>
        <v>0</v>
      </c>
      <c r="G27" s="2">
        <v>61</v>
      </c>
      <c r="H27" s="4" t="s">
        <v>182</v>
      </c>
      <c r="I27" s="2" t="s">
        <v>9</v>
      </c>
      <c r="J27" s="4"/>
      <c r="K27" s="2">
        <v>13.5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6.3</v>
      </c>
      <c r="F28" s="20">
        <f t="shared" si="1"/>
        <v>0</v>
      </c>
      <c r="G28" s="2">
        <v>62</v>
      </c>
      <c r="H28" s="4" t="s">
        <v>183</v>
      </c>
      <c r="I28" s="2" t="s">
        <v>9</v>
      </c>
      <c r="J28" s="4"/>
      <c r="K28" s="2">
        <v>12.8</v>
      </c>
      <c r="L28" s="5">
        <f t="shared" si="0"/>
        <v>0</v>
      </c>
    </row>
    <row r="29" spans="1:12" ht="13.15" customHeight="1">
      <c r="A29" s="2">
        <v>25</v>
      </c>
      <c r="B29" s="4" t="s">
        <v>184</v>
      </c>
      <c r="C29" s="2" t="s">
        <v>9</v>
      </c>
      <c r="D29" s="2"/>
      <c r="E29" s="5">
        <v>7.7</v>
      </c>
      <c r="F29" s="20">
        <f t="shared" si="1"/>
        <v>0</v>
      </c>
      <c r="G29" s="2">
        <v>63</v>
      </c>
      <c r="H29" s="4" t="s">
        <v>185</v>
      </c>
      <c r="I29" s="2" t="s">
        <v>9</v>
      </c>
      <c r="J29" s="4"/>
      <c r="K29" s="2">
        <v>8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6.2</v>
      </c>
      <c r="F30" s="5">
        <f t="shared" si="1"/>
        <v>0</v>
      </c>
      <c r="G30" s="2">
        <v>64</v>
      </c>
      <c r="H30" s="4" t="s">
        <v>186</v>
      </c>
      <c r="I30" s="2" t="s">
        <v>9</v>
      </c>
      <c r="J30" s="4"/>
      <c r="K30" s="2">
        <v>7.25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7</v>
      </c>
      <c r="F31" s="5">
        <f t="shared" si="1"/>
        <v>0</v>
      </c>
      <c r="G31" s="2">
        <v>65</v>
      </c>
      <c r="H31" s="4" t="s">
        <v>187</v>
      </c>
      <c r="I31" s="2" t="s">
        <v>9</v>
      </c>
      <c r="J31" s="4"/>
      <c r="K31" s="2">
        <v>10.8</v>
      </c>
      <c r="L31" s="5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10</v>
      </c>
      <c r="F32" s="20">
        <f t="shared" si="1"/>
        <v>0</v>
      </c>
      <c r="G32" s="2">
        <v>66</v>
      </c>
      <c r="H32" s="4" t="s">
        <v>188</v>
      </c>
      <c r="I32" s="2" t="s">
        <v>9</v>
      </c>
      <c r="J32" s="4"/>
      <c r="K32" s="2">
        <v>3.8</v>
      </c>
      <c r="L32" s="5">
        <f t="shared" si="0"/>
        <v>0</v>
      </c>
    </row>
    <row r="33" spans="1:12" ht="13.15" customHeight="1">
      <c r="A33" s="2">
        <v>29</v>
      </c>
      <c r="B33" s="4" t="s">
        <v>189</v>
      </c>
      <c r="C33" s="2" t="s">
        <v>9</v>
      </c>
      <c r="D33" s="2"/>
      <c r="E33" s="5">
        <v>1.5</v>
      </c>
      <c r="F33" s="5">
        <f t="shared" si="1"/>
        <v>0</v>
      </c>
      <c r="G33" s="2">
        <v>67</v>
      </c>
      <c r="H33" s="4" t="s">
        <v>190</v>
      </c>
      <c r="I33" s="2" t="s">
        <v>9</v>
      </c>
      <c r="J33" s="4"/>
      <c r="K33" s="2">
        <v>6.7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7.9</v>
      </c>
      <c r="F34" s="5">
        <f t="shared" si="1"/>
        <v>0</v>
      </c>
      <c r="G34" s="2">
        <v>68</v>
      </c>
      <c r="H34" s="4" t="s">
        <v>191</v>
      </c>
      <c r="I34" s="2" t="s">
        <v>9</v>
      </c>
      <c r="J34" s="4"/>
      <c r="K34" s="2">
        <v>6.7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7</v>
      </c>
      <c r="F35" s="20">
        <f t="shared" si="1"/>
        <v>0</v>
      </c>
      <c r="G35" s="2">
        <v>69</v>
      </c>
      <c r="H35" s="4" t="s">
        <v>192</v>
      </c>
      <c r="I35" s="2" t="s">
        <v>9</v>
      </c>
      <c r="J35" s="4"/>
      <c r="K35" s="2">
        <v>4.8</v>
      </c>
      <c r="L35" s="5">
        <f>J35*K35</f>
        <v>0</v>
      </c>
    </row>
    <row r="36" spans="1:12" ht="13.15" customHeight="1">
      <c r="A36" s="2">
        <v>32</v>
      </c>
      <c r="B36" s="4" t="s">
        <v>193</v>
      </c>
      <c r="C36" s="2" t="s">
        <v>9</v>
      </c>
      <c r="D36" s="2"/>
      <c r="E36" s="5">
        <v>10.25</v>
      </c>
      <c r="F36" s="20">
        <f>D36*E36</f>
        <v>0</v>
      </c>
      <c r="G36" s="2">
        <v>70</v>
      </c>
      <c r="H36" s="4" t="s">
        <v>194</v>
      </c>
      <c r="I36" s="2" t="s">
        <v>9</v>
      </c>
      <c r="J36" s="4"/>
      <c r="K36" s="2">
        <v>7.25</v>
      </c>
      <c r="L36" s="5">
        <f>J36*K36</f>
        <v>0</v>
      </c>
    </row>
    <row r="37" spans="1:12" ht="13.15" customHeight="1">
      <c r="A37" s="2">
        <v>33</v>
      </c>
      <c r="B37" s="4" t="s">
        <v>195</v>
      </c>
      <c r="C37" s="2" t="s">
        <v>9</v>
      </c>
      <c r="D37" s="2"/>
      <c r="E37" s="5">
        <v>6</v>
      </c>
      <c r="F37" s="20">
        <f>D37*E37</f>
        <v>0</v>
      </c>
      <c r="G37" s="2">
        <v>71</v>
      </c>
      <c r="H37" s="4" t="s">
        <v>196</v>
      </c>
      <c r="I37" s="2" t="s">
        <v>9</v>
      </c>
      <c r="J37" s="4"/>
      <c r="K37" s="2">
        <v>5.4</v>
      </c>
      <c r="L37" s="5">
        <f>J37*K37</f>
        <v>0</v>
      </c>
    </row>
    <row r="38" spans="1:12" ht="13.15" customHeight="1">
      <c r="A38" s="2">
        <v>34</v>
      </c>
      <c r="B38" s="4"/>
      <c r="C38" s="2" t="s">
        <v>9</v>
      </c>
      <c r="D38" s="2"/>
      <c r="E38" s="5">
        <v>0</v>
      </c>
      <c r="F38" s="20">
        <f>D38*E38</f>
        <v>0</v>
      </c>
      <c r="G38" s="2">
        <v>72</v>
      </c>
      <c r="H38" s="4" t="s">
        <v>197</v>
      </c>
      <c r="I38" s="2" t="s">
        <v>9</v>
      </c>
      <c r="J38" s="4"/>
      <c r="K38" s="2">
        <v>8.5</v>
      </c>
      <c r="L38" s="5">
        <f>J38*K38</f>
        <v>0</v>
      </c>
    </row>
    <row r="39" spans="1:12" ht="13.15" customHeight="1">
      <c r="A39" s="2">
        <v>35</v>
      </c>
      <c r="B39" s="4" t="s">
        <v>198</v>
      </c>
      <c r="C39" s="2" t="s">
        <v>9</v>
      </c>
      <c r="D39" s="2"/>
      <c r="E39" s="5">
        <v>8.5</v>
      </c>
      <c r="F39" s="20">
        <f>D39*E39</f>
        <v>0</v>
      </c>
      <c r="G39" s="2">
        <v>73</v>
      </c>
      <c r="H39" s="4" t="s">
        <v>199</v>
      </c>
      <c r="I39" s="2" t="s">
        <v>9</v>
      </c>
      <c r="J39" s="4"/>
      <c r="K39" s="2">
        <v>6.7</v>
      </c>
      <c r="L39" s="5">
        <f>J39*K39</f>
        <v>0</v>
      </c>
    </row>
    <row r="40" spans="1:12" ht="13.15" customHeight="1">
      <c r="K40" t="s">
        <v>200</v>
      </c>
      <c r="L40" s="25">
        <f>F5+F6+F7+F8+F9+F10+F11+F12+F13+F14+F15+F16+F17+F18+F19+F20+F21+F22+F23+F24+F25+F26+F27+F28+F29+F30+F31+F32+F33+F34+F35+F36+F37+F38+F39+L2+L3+L4+L5+L6+L7+L8+L9+L10+L11+L12+L13+L14+L15+L16+L17+L18+L19+L20+L21+L22+L23+L24+L25+L26+L27+L28+L29+L30+L31+L32+L33+L34+L35+L36+L37+L38+L39</f>
        <v>0</v>
      </c>
    </row>
    <row r="42" spans="1:12" ht="13.15" customHeight="1">
      <c r="H42" t="s">
        <v>201</v>
      </c>
      <c r="J42" t="s">
        <v>202</v>
      </c>
    </row>
  </sheetData>
  <mergeCells count="4">
    <mergeCell ref="A1:C1"/>
    <mergeCell ref="D1:F1"/>
    <mergeCell ref="A2:F2"/>
    <mergeCell ref="A3:F3"/>
  </mergeCell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>
  <sheetPr codeName="Лист84"/>
  <dimension ref="A1:L42"/>
  <sheetViews>
    <sheetView topLeftCell="A22" workbookViewId="0">
      <selection activeCell="N51" sqref="N51"/>
    </sheetView>
  </sheetViews>
  <sheetFormatPr defaultRowHeight="13.15" customHeight="1"/>
  <cols>
    <col min="1" max="1" width="5" style="17" customWidth="1"/>
    <col min="2" max="2" width="30.28515625" customWidth="1"/>
    <col min="3" max="3" width="6.85546875" customWidth="1"/>
    <col min="4" max="4" width="6.5703125" customWidth="1"/>
    <col min="6" max="6" width="8.85546875" style="17"/>
    <col min="7" max="7" width="4.7109375" style="17" customWidth="1"/>
    <col min="8" max="8" width="24.7109375" customWidth="1"/>
    <col min="9" max="9" width="6.7109375" customWidth="1"/>
    <col min="10" max="10" width="7" customWidth="1"/>
    <col min="12" max="12" width="8.85546875" style="17"/>
  </cols>
  <sheetData>
    <row r="1" spans="1:12" ht="13.15" customHeight="1">
      <c r="A1" s="30" t="s">
        <v>147</v>
      </c>
      <c r="B1" s="30"/>
      <c r="C1" s="30"/>
      <c r="D1" s="31" t="s">
        <v>148</v>
      </c>
      <c r="E1" s="30"/>
      <c r="F1" s="30"/>
      <c r="G1" s="16"/>
      <c r="H1" s="2" t="s">
        <v>2</v>
      </c>
      <c r="I1" s="1" t="s">
        <v>3</v>
      </c>
      <c r="J1" s="2" t="s">
        <v>4</v>
      </c>
      <c r="K1" s="2" t="s">
        <v>149</v>
      </c>
      <c r="L1" s="2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150</v>
      </c>
      <c r="I2" s="2" t="s">
        <v>9</v>
      </c>
      <c r="J2" s="2"/>
      <c r="K2" s="5">
        <v>8.5</v>
      </c>
      <c r="L2" s="5">
        <f t="shared" ref="L2:L34" si="0"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151</v>
      </c>
      <c r="I3" s="2" t="s">
        <v>9</v>
      </c>
      <c r="J3" s="2"/>
      <c r="K3" s="5">
        <v>8.5</v>
      </c>
      <c r="L3" s="5">
        <f t="shared" si="0"/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152</v>
      </c>
      <c r="I4" s="2" t="s">
        <v>9</v>
      </c>
      <c r="J4" s="2"/>
      <c r="K4" s="5">
        <v>8.5</v>
      </c>
      <c r="L4" s="5">
        <f t="shared" si="0"/>
        <v>0</v>
      </c>
    </row>
    <row r="5" spans="1:12" ht="13.15" customHeight="1">
      <c r="A5" s="2">
        <v>1</v>
      </c>
      <c r="B5" s="4" t="s">
        <v>153</v>
      </c>
      <c r="C5" s="2" t="s">
        <v>9</v>
      </c>
      <c r="D5" s="2"/>
      <c r="E5" s="5">
        <v>8.8000000000000007</v>
      </c>
      <c r="F5" s="20">
        <f>D5*E5</f>
        <v>0</v>
      </c>
      <c r="G5" s="2">
        <v>39</v>
      </c>
      <c r="H5" s="4" t="s">
        <v>154</v>
      </c>
      <c r="I5" s="2" t="s">
        <v>9</v>
      </c>
      <c r="J5" s="2"/>
      <c r="K5" s="5">
        <v>8.5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5.7</v>
      </c>
      <c r="F6" s="20">
        <f t="shared" ref="F6:F35" si="1">D6*E6</f>
        <v>0</v>
      </c>
      <c r="G6" s="2">
        <v>40</v>
      </c>
      <c r="H6" s="4" t="s">
        <v>155</v>
      </c>
      <c r="I6" s="2" t="s">
        <v>9</v>
      </c>
      <c r="J6" s="2"/>
      <c r="K6" s="5">
        <v>8.5</v>
      </c>
      <c r="L6" s="5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6.3</v>
      </c>
      <c r="F7" s="20">
        <f t="shared" si="1"/>
        <v>0</v>
      </c>
      <c r="G7" s="2">
        <v>41</v>
      </c>
      <c r="H7" s="4" t="s">
        <v>157</v>
      </c>
      <c r="I7" s="2" t="s">
        <v>9</v>
      </c>
      <c r="J7" s="2"/>
      <c r="K7" s="5">
        <v>8.5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9</v>
      </c>
      <c r="F8" s="20">
        <f t="shared" si="1"/>
        <v>0</v>
      </c>
      <c r="G8" s="2">
        <v>42</v>
      </c>
      <c r="H8" s="4" t="s">
        <v>158</v>
      </c>
      <c r="I8" s="2" t="s">
        <v>9</v>
      </c>
      <c r="J8" s="2"/>
      <c r="K8" s="5">
        <v>3.3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5.8</v>
      </c>
      <c r="F9" s="20">
        <f t="shared" si="1"/>
        <v>0</v>
      </c>
      <c r="G9" s="2">
        <v>43</v>
      </c>
      <c r="H9" s="4" t="s">
        <v>159</v>
      </c>
      <c r="I9" s="2" t="s">
        <v>9</v>
      </c>
      <c r="J9" s="2"/>
      <c r="K9" s="5">
        <v>3.8</v>
      </c>
      <c r="L9" s="5">
        <f t="shared" si="0"/>
        <v>0</v>
      </c>
    </row>
    <row r="10" spans="1:12" ht="13.15" customHeight="1">
      <c r="A10" s="2">
        <v>6</v>
      </c>
      <c r="B10" s="4" t="s">
        <v>160</v>
      </c>
      <c r="C10" s="2" t="s">
        <v>9</v>
      </c>
      <c r="D10" s="2"/>
      <c r="E10" s="5">
        <v>7.4</v>
      </c>
      <c r="F10" s="20">
        <f t="shared" si="1"/>
        <v>0</v>
      </c>
      <c r="G10" s="2">
        <v>44</v>
      </c>
      <c r="H10" s="4" t="s">
        <v>13</v>
      </c>
      <c r="I10" s="2" t="s">
        <v>9</v>
      </c>
      <c r="J10" s="2"/>
      <c r="K10" s="5">
        <v>3.3</v>
      </c>
      <c r="L10" s="5">
        <f t="shared" si="0"/>
        <v>0</v>
      </c>
    </row>
    <row r="11" spans="1:12" ht="13.15" customHeight="1">
      <c r="A11" s="2">
        <v>7</v>
      </c>
      <c r="B11" s="4" t="s">
        <v>78</v>
      </c>
      <c r="C11" s="2" t="s">
        <v>9</v>
      </c>
      <c r="D11" s="2"/>
      <c r="E11" s="5">
        <v>8.1</v>
      </c>
      <c r="F11" s="20">
        <f t="shared" si="1"/>
        <v>0</v>
      </c>
      <c r="G11" s="2">
        <v>45</v>
      </c>
      <c r="H11" s="4" t="s">
        <v>17</v>
      </c>
      <c r="I11" s="2" t="s">
        <v>9</v>
      </c>
      <c r="J11" s="2"/>
      <c r="K11" s="5">
        <v>2.6</v>
      </c>
      <c r="L11" s="5">
        <f t="shared" si="0"/>
        <v>0</v>
      </c>
    </row>
    <row r="12" spans="1:12" ht="13.15" customHeight="1">
      <c r="A12" s="2">
        <v>8</v>
      </c>
      <c r="B12" s="4" t="s">
        <v>80</v>
      </c>
      <c r="C12" s="2" t="s">
        <v>9</v>
      </c>
      <c r="D12" s="2"/>
      <c r="E12" s="5">
        <v>5.4</v>
      </c>
      <c r="F12" s="20">
        <f t="shared" si="1"/>
        <v>0</v>
      </c>
      <c r="G12" s="2">
        <v>46</v>
      </c>
      <c r="H12" s="4" t="s">
        <v>161</v>
      </c>
      <c r="I12" s="2" t="s">
        <v>9</v>
      </c>
      <c r="J12" s="2"/>
      <c r="K12" s="5">
        <v>2.6</v>
      </c>
      <c r="L12" s="5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6.3</v>
      </c>
      <c r="F13" s="20">
        <f t="shared" si="1"/>
        <v>0</v>
      </c>
      <c r="G13" s="2">
        <v>47</v>
      </c>
      <c r="H13" s="4" t="s">
        <v>163</v>
      </c>
      <c r="I13" s="2" t="s">
        <v>9</v>
      </c>
      <c r="J13" s="2"/>
      <c r="K13" s="5">
        <v>4.2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6.9</v>
      </c>
      <c r="F14" s="20">
        <f t="shared" si="1"/>
        <v>0</v>
      </c>
      <c r="G14" s="2">
        <v>48</v>
      </c>
      <c r="H14" s="4" t="s">
        <v>164</v>
      </c>
      <c r="I14" s="2" t="s">
        <v>9</v>
      </c>
      <c r="J14" s="2"/>
      <c r="K14" s="5">
        <v>4.2</v>
      </c>
      <c r="L14" s="5">
        <f t="shared" si="0"/>
        <v>0</v>
      </c>
    </row>
    <row r="15" spans="1:12" ht="13.15" customHeight="1">
      <c r="A15" s="2">
        <v>11</v>
      </c>
      <c r="B15" s="4" t="s">
        <v>165</v>
      </c>
      <c r="C15" s="2" t="s">
        <v>9</v>
      </c>
      <c r="D15" s="2"/>
      <c r="E15" s="5">
        <v>5.2</v>
      </c>
      <c r="F15" s="20">
        <f t="shared" si="1"/>
        <v>0</v>
      </c>
      <c r="G15" s="2">
        <v>49</v>
      </c>
      <c r="H15" s="4" t="s">
        <v>166</v>
      </c>
      <c r="I15" s="2" t="s">
        <v>9</v>
      </c>
      <c r="J15" s="2"/>
      <c r="K15" s="5">
        <v>4.2</v>
      </c>
      <c r="L15" s="5">
        <f t="shared" si="0"/>
        <v>0</v>
      </c>
    </row>
    <row r="16" spans="1:12" ht="13.15" customHeight="1">
      <c r="A16" s="2">
        <v>12</v>
      </c>
      <c r="B16" s="4" t="s">
        <v>167</v>
      </c>
      <c r="C16" s="2" t="s">
        <v>9</v>
      </c>
      <c r="D16" s="2"/>
      <c r="E16" s="5">
        <v>7.2</v>
      </c>
      <c r="F16" s="20">
        <f>D16*E16</f>
        <v>0</v>
      </c>
      <c r="G16" s="2">
        <v>50</v>
      </c>
      <c r="H16" s="4" t="s">
        <v>168</v>
      </c>
      <c r="I16" s="2" t="s">
        <v>9</v>
      </c>
      <c r="J16" s="2"/>
      <c r="K16" s="5">
        <v>0</v>
      </c>
      <c r="L16" s="5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7.8</v>
      </c>
      <c r="F17" s="20">
        <f t="shared" si="1"/>
        <v>0</v>
      </c>
      <c r="G17" s="2">
        <v>51</v>
      </c>
      <c r="H17" s="4" t="s">
        <v>169</v>
      </c>
      <c r="I17" s="2" t="s">
        <v>9</v>
      </c>
      <c r="J17" s="2"/>
      <c r="K17" s="5">
        <v>4.2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5.4</v>
      </c>
      <c r="F18" s="20">
        <f t="shared" si="1"/>
        <v>0</v>
      </c>
      <c r="G18" s="2">
        <v>52</v>
      </c>
      <c r="H18" s="4" t="s">
        <v>170</v>
      </c>
      <c r="I18" s="2" t="s">
        <v>9</v>
      </c>
      <c r="J18" s="2"/>
      <c r="K18" s="5">
        <v>3.8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</v>
      </c>
      <c r="F19" s="20">
        <f t="shared" si="1"/>
        <v>0</v>
      </c>
      <c r="G19" s="2">
        <v>53</v>
      </c>
      <c r="H19" s="4" t="s">
        <v>171</v>
      </c>
      <c r="I19" s="2" t="s">
        <v>9</v>
      </c>
      <c r="J19" s="2"/>
      <c r="K19" s="5">
        <v>3.8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3</v>
      </c>
      <c r="F20" s="20">
        <f t="shared" si="1"/>
        <v>0</v>
      </c>
      <c r="G20" s="2">
        <v>54</v>
      </c>
      <c r="H20" s="4" t="s">
        <v>172</v>
      </c>
      <c r="I20" s="2" t="s">
        <v>9</v>
      </c>
      <c r="J20" s="2"/>
      <c r="K20" s="5">
        <v>3.8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1.7</v>
      </c>
      <c r="F21" s="20">
        <f t="shared" si="1"/>
        <v>0</v>
      </c>
      <c r="G21" s="2">
        <v>55</v>
      </c>
      <c r="H21" s="4" t="s">
        <v>173</v>
      </c>
      <c r="I21" s="2" t="s">
        <v>9</v>
      </c>
      <c r="J21" s="2"/>
      <c r="K21" s="5">
        <v>3.8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7.5</v>
      </c>
      <c r="F22" s="20">
        <f t="shared" si="1"/>
        <v>0</v>
      </c>
      <c r="G22" s="2">
        <v>56</v>
      </c>
      <c r="H22" s="4" t="s">
        <v>174</v>
      </c>
      <c r="I22" s="2" t="s">
        <v>9</v>
      </c>
      <c r="J22" s="2"/>
      <c r="K22" s="5">
        <v>10</v>
      </c>
      <c r="L22" s="5">
        <f t="shared" si="0"/>
        <v>0</v>
      </c>
    </row>
    <row r="23" spans="1:12" ht="13.15" customHeight="1">
      <c r="A23" s="2">
        <v>19</v>
      </c>
      <c r="B23" s="4" t="s">
        <v>175</v>
      </c>
      <c r="C23" s="2" t="s">
        <v>9</v>
      </c>
      <c r="D23" s="2"/>
      <c r="E23" s="5">
        <v>8</v>
      </c>
      <c r="F23" s="20">
        <f t="shared" si="1"/>
        <v>0</v>
      </c>
      <c r="G23" s="2">
        <v>57</v>
      </c>
      <c r="H23" s="4" t="s">
        <v>176</v>
      </c>
      <c r="I23" s="2" t="s">
        <v>9</v>
      </c>
      <c r="J23" s="4"/>
      <c r="K23" s="2">
        <v>8.8000000000000007</v>
      </c>
      <c r="L23" s="5">
        <f t="shared" si="0"/>
        <v>0</v>
      </c>
    </row>
    <row r="24" spans="1:12" ht="13.15" customHeight="1">
      <c r="A24" s="2">
        <v>20</v>
      </c>
      <c r="B24" s="4" t="s">
        <v>177</v>
      </c>
      <c r="C24" s="2" t="s">
        <v>9</v>
      </c>
      <c r="D24" s="2"/>
      <c r="E24" s="5">
        <v>8.4</v>
      </c>
      <c r="F24" s="20">
        <f t="shared" si="1"/>
        <v>0</v>
      </c>
      <c r="G24" s="2">
        <v>58</v>
      </c>
      <c r="H24" s="4" t="s">
        <v>178</v>
      </c>
      <c r="I24" s="2" t="s">
        <v>9</v>
      </c>
      <c r="J24" s="4"/>
      <c r="K24" s="2">
        <v>7.2</v>
      </c>
      <c r="L24" s="5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8.8000000000000007</v>
      </c>
      <c r="F25" s="20">
        <f t="shared" si="1"/>
        <v>0</v>
      </c>
      <c r="G25" s="2">
        <v>59</v>
      </c>
      <c r="H25" s="4" t="s">
        <v>179</v>
      </c>
      <c r="I25" s="2" t="s">
        <v>9</v>
      </c>
      <c r="J25" s="4"/>
      <c r="K25" s="2">
        <v>8.5</v>
      </c>
      <c r="L25" s="5">
        <f t="shared" si="0"/>
        <v>0</v>
      </c>
    </row>
    <row r="26" spans="1:12" ht="13.15" customHeight="1">
      <c r="A26" s="2">
        <v>22</v>
      </c>
      <c r="B26" s="4" t="s">
        <v>180</v>
      </c>
      <c r="C26" s="2" t="s">
        <v>9</v>
      </c>
      <c r="D26" s="2"/>
      <c r="E26" s="5">
        <v>6</v>
      </c>
      <c r="F26" s="20">
        <f t="shared" si="1"/>
        <v>0</v>
      </c>
      <c r="G26" s="2">
        <v>60</v>
      </c>
      <c r="H26" s="4" t="s">
        <v>131</v>
      </c>
      <c r="I26" s="2" t="s">
        <v>9</v>
      </c>
      <c r="J26" s="4"/>
      <c r="K26" s="2">
        <v>4.2</v>
      </c>
      <c r="L26" s="5">
        <f t="shared" si="0"/>
        <v>0</v>
      </c>
    </row>
    <row r="27" spans="1:12" ht="13.15" customHeight="1">
      <c r="A27" s="2">
        <v>23</v>
      </c>
      <c r="B27" s="4" t="s">
        <v>181</v>
      </c>
      <c r="C27" s="2" t="s">
        <v>9</v>
      </c>
      <c r="D27" s="2"/>
      <c r="E27" s="5">
        <v>3.8</v>
      </c>
      <c r="F27" s="20">
        <f t="shared" si="1"/>
        <v>0</v>
      </c>
      <c r="G27" s="2">
        <v>61</v>
      </c>
      <c r="H27" s="4" t="s">
        <v>182</v>
      </c>
      <c r="I27" s="2" t="s">
        <v>9</v>
      </c>
      <c r="J27" s="4"/>
      <c r="K27" s="2">
        <v>13.5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6.3</v>
      </c>
      <c r="F28" s="20">
        <f t="shared" si="1"/>
        <v>0</v>
      </c>
      <c r="G28" s="2">
        <v>62</v>
      </c>
      <c r="H28" s="4" t="s">
        <v>183</v>
      </c>
      <c r="I28" s="2" t="s">
        <v>9</v>
      </c>
      <c r="J28" s="4"/>
      <c r="K28" s="2">
        <v>12.8</v>
      </c>
      <c r="L28" s="5">
        <f t="shared" si="0"/>
        <v>0</v>
      </c>
    </row>
    <row r="29" spans="1:12" ht="13.15" customHeight="1">
      <c r="A29" s="2">
        <v>25</v>
      </c>
      <c r="B29" s="4" t="s">
        <v>184</v>
      </c>
      <c r="C29" s="2" t="s">
        <v>9</v>
      </c>
      <c r="D29" s="2"/>
      <c r="E29" s="5">
        <v>7.7</v>
      </c>
      <c r="F29" s="20">
        <f t="shared" si="1"/>
        <v>0</v>
      </c>
      <c r="G29" s="2">
        <v>63</v>
      </c>
      <c r="H29" s="4" t="s">
        <v>185</v>
      </c>
      <c r="I29" s="2" t="s">
        <v>9</v>
      </c>
      <c r="J29" s="4"/>
      <c r="K29" s="2">
        <v>8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6.2</v>
      </c>
      <c r="F30" s="5">
        <f t="shared" si="1"/>
        <v>0</v>
      </c>
      <c r="G30" s="2">
        <v>64</v>
      </c>
      <c r="H30" s="4" t="s">
        <v>186</v>
      </c>
      <c r="I30" s="2" t="s">
        <v>9</v>
      </c>
      <c r="J30" s="4"/>
      <c r="K30" s="2">
        <v>7.25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7</v>
      </c>
      <c r="F31" s="5">
        <f t="shared" si="1"/>
        <v>0</v>
      </c>
      <c r="G31" s="2">
        <v>65</v>
      </c>
      <c r="H31" s="4" t="s">
        <v>187</v>
      </c>
      <c r="I31" s="2" t="s">
        <v>9</v>
      </c>
      <c r="J31" s="4"/>
      <c r="K31" s="2">
        <v>10.8</v>
      </c>
      <c r="L31" s="5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10</v>
      </c>
      <c r="F32" s="20">
        <f t="shared" si="1"/>
        <v>0</v>
      </c>
      <c r="G32" s="2">
        <v>66</v>
      </c>
      <c r="H32" s="4" t="s">
        <v>188</v>
      </c>
      <c r="I32" s="2" t="s">
        <v>9</v>
      </c>
      <c r="J32" s="4"/>
      <c r="K32" s="2">
        <v>3.8</v>
      </c>
      <c r="L32" s="5">
        <f t="shared" si="0"/>
        <v>0</v>
      </c>
    </row>
    <row r="33" spans="1:12" ht="13.15" customHeight="1">
      <c r="A33" s="2">
        <v>29</v>
      </c>
      <c r="B33" s="4" t="s">
        <v>189</v>
      </c>
      <c r="C33" s="2" t="s">
        <v>9</v>
      </c>
      <c r="D33" s="2"/>
      <c r="E33" s="5">
        <v>1.5</v>
      </c>
      <c r="F33" s="5">
        <f t="shared" si="1"/>
        <v>0</v>
      </c>
      <c r="G33" s="2">
        <v>67</v>
      </c>
      <c r="H33" s="4" t="s">
        <v>190</v>
      </c>
      <c r="I33" s="2" t="s">
        <v>9</v>
      </c>
      <c r="J33" s="4"/>
      <c r="K33" s="2">
        <v>6.7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7.9</v>
      </c>
      <c r="F34" s="5">
        <f t="shared" si="1"/>
        <v>0</v>
      </c>
      <c r="G34" s="2">
        <v>68</v>
      </c>
      <c r="H34" s="4" t="s">
        <v>191</v>
      </c>
      <c r="I34" s="2" t="s">
        <v>9</v>
      </c>
      <c r="J34" s="4"/>
      <c r="K34" s="2">
        <v>6.7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7</v>
      </c>
      <c r="F35" s="20">
        <f t="shared" si="1"/>
        <v>0</v>
      </c>
      <c r="G35" s="2">
        <v>69</v>
      </c>
      <c r="H35" s="4" t="s">
        <v>192</v>
      </c>
      <c r="I35" s="2" t="s">
        <v>9</v>
      </c>
      <c r="J35" s="4"/>
      <c r="K35" s="2">
        <v>4.8</v>
      </c>
      <c r="L35" s="5">
        <f>J35*K35</f>
        <v>0</v>
      </c>
    </row>
    <row r="36" spans="1:12" ht="13.15" customHeight="1">
      <c r="A36" s="2">
        <v>32</v>
      </c>
      <c r="B36" s="4" t="s">
        <v>193</v>
      </c>
      <c r="C36" s="2" t="s">
        <v>9</v>
      </c>
      <c r="D36" s="2"/>
      <c r="E36" s="5">
        <v>10.25</v>
      </c>
      <c r="F36" s="20">
        <f>D36*E36</f>
        <v>0</v>
      </c>
      <c r="G36" s="2">
        <v>70</v>
      </c>
      <c r="H36" s="4" t="s">
        <v>194</v>
      </c>
      <c r="I36" s="2" t="s">
        <v>9</v>
      </c>
      <c r="J36" s="4"/>
      <c r="K36" s="2">
        <v>7.25</v>
      </c>
      <c r="L36" s="5">
        <f>J36*K36</f>
        <v>0</v>
      </c>
    </row>
    <row r="37" spans="1:12" ht="13.15" customHeight="1">
      <c r="A37" s="2">
        <v>33</v>
      </c>
      <c r="B37" s="4" t="s">
        <v>195</v>
      </c>
      <c r="C37" s="2" t="s">
        <v>9</v>
      </c>
      <c r="D37" s="2"/>
      <c r="E37" s="5">
        <v>6</v>
      </c>
      <c r="F37" s="20">
        <f>D37*E37</f>
        <v>0</v>
      </c>
      <c r="G37" s="2">
        <v>71</v>
      </c>
      <c r="H37" s="4" t="s">
        <v>196</v>
      </c>
      <c r="I37" s="2" t="s">
        <v>9</v>
      </c>
      <c r="J37" s="4"/>
      <c r="K37" s="2">
        <v>5.4</v>
      </c>
      <c r="L37" s="5">
        <f>J37*K37</f>
        <v>0</v>
      </c>
    </row>
    <row r="38" spans="1:12" ht="13.15" customHeight="1">
      <c r="A38" s="2">
        <v>34</v>
      </c>
      <c r="B38" s="4"/>
      <c r="C38" s="2" t="s">
        <v>9</v>
      </c>
      <c r="D38" s="2"/>
      <c r="E38" s="5">
        <v>0</v>
      </c>
      <c r="F38" s="20">
        <f>D38*E38</f>
        <v>0</v>
      </c>
      <c r="G38" s="2">
        <v>72</v>
      </c>
      <c r="H38" s="4" t="s">
        <v>197</v>
      </c>
      <c r="I38" s="2" t="s">
        <v>9</v>
      </c>
      <c r="J38" s="4"/>
      <c r="K38" s="2">
        <v>8.5</v>
      </c>
      <c r="L38" s="5">
        <f>J38*K38</f>
        <v>0</v>
      </c>
    </row>
    <row r="39" spans="1:12" ht="13.15" customHeight="1">
      <c r="A39" s="2">
        <v>35</v>
      </c>
      <c r="B39" s="4" t="s">
        <v>198</v>
      </c>
      <c r="C39" s="2" t="s">
        <v>9</v>
      </c>
      <c r="D39" s="2"/>
      <c r="E39" s="5">
        <v>8.5</v>
      </c>
      <c r="F39" s="20">
        <f>D39*E39</f>
        <v>0</v>
      </c>
      <c r="G39" s="2">
        <v>73</v>
      </c>
      <c r="H39" s="4" t="s">
        <v>199</v>
      </c>
      <c r="I39" s="2" t="s">
        <v>9</v>
      </c>
      <c r="J39" s="4"/>
      <c r="K39" s="2">
        <v>6.7</v>
      </c>
      <c r="L39" s="5">
        <f>J39*K39</f>
        <v>0</v>
      </c>
    </row>
    <row r="40" spans="1:12" ht="13.15" customHeight="1">
      <c r="K40" t="s">
        <v>200</v>
      </c>
      <c r="L40" s="25">
        <f>F5+F6+F7+F8+F9+F10+F11+F12+F13+F14+F15+F16+F17+F18+F19+F20+F21+F22+F23+F24+F25+F26+F27+F28+F29+F30+F31+F32+F33+F34+F35+F36+F37+F38+F39+L2+L3+L4+L5+L6+L7+L8+L9+L10+L11+L12+L13+L14+L15+L16+L17+L18+L19+L20+L21+L22+L23+L24+L25+L26+L27+L28+L29+L30+L31+L32+L33+L34+L35+L36+L37+L38+L39</f>
        <v>0</v>
      </c>
    </row>
    <row r="42" spans="1:12" ht="13.15" customHeight="1">
      <c r="H42" t="s">
        <v>201</v>
      </c>
      <c r="J42" t="s">
        <v>202</v>
      </c>
    </row>
  </sheetData>
  <mergeCells count="4">
    <mergeCell ref="A1:C1"/>
    <mergeCell ref="D1:F1"/>
    <mergeCell ref="A2:F2"/>
    <mergeCell ref="A3:F3"/>
  </mergeCells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>
  <sheetPr codeName="Лист85"/>
  <dimension ref="A1:L42"/>
  <sheetViews>
    <sheetView topLeftCell="A22" workbookViewId="0">
      <selection activeCell="N51" sqref="N51"/>
    </sheetView>
  </sheetViews>
  <sheetFormatPr defaultRowHeight="13.15" customHeight="1"/>
  <cols>
    <col min="1" max="1" width="5" style="17" customWidth="1"/>
    <col min="2" max="2" width="30.28515625" customWidth="1"/>
    <col min="3" max="3" width="6.85546875" customWidth="1"/>
    <col min="4" max="4" width="6.5703125" customWidth="1"/>
    <col min="6" max="6" width="8.85546875" style="17"/>
    <col min="7" max="7" width="4.7109375" style="17" customWidth="1"/>
    <col min="8" max="8" width="24.7109375" customWidth="1"/>
    <col min="9" max="9" width="6.7109375" customWidth="1"/>
    <col min="10" max="10" width="7" customWidth="1"/>
    <col min="12" max="12" width="8.85546875" style="17"/>
  </cols>
  <sheetData>
    <row r="1" spans="1:12" ht="13.15" customHeight="1">
      <c r="A1" s="30" t="s">
        <v>147</v>
      </c>
      <c r="B1" s="30"/>
      <c r="C1" s="30"/>
      <c r="D1" s="31" t="s">
        <v>148</v>
      </c>
      <c r="E1" s="30"/>
      <c r="F1" s="30"/>
      <c r="G1" s="16"/>
      <c r="H1" s="2" t="s">
        <v>2</v>
      </c>
      <c r="I1" s="1" t="s">
        <v>3</v>
      </c>
      <c r="J1" s="2" t="s">
        <v>4</v>
      </c>
      <c r="K1" s="2" t="s">
        <v>149</v>
      </c>
      <c r="L1" s="2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150</v>
      </c>
      <c r="I2" s="2" t="s">
        <v>9</v>
      </c>
      <c r="J2" s="2"/>
      <c r="K2" s="5">
        <v>8.5</v>
      </c>
      <c r="L2" s="5">
        <f t="shared" ref="L2:L34" si="0"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151</v>
      </c>
      <c r="I3" s="2" t="s">
        <v>9</v>
      </c>
      <c r="J3" s="2"/>
      <c r="K3" s="5">
        <v>8.5</v>
      </c>
      <c r="L3" s="5">
        <f t="shared" si="0"/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152</v>
      </c>
      <c r="I4" s="2" t="s">
        <v>9</v>
      </c>
      <c r="J4" s="2"/>
      <c r="K4" s="5">
        <v>8.5</v>
      </c>
      <c r="L4" s="5">
        <f t="shared" si="0"/>
        <v>0</v>
      </c>
    </row>
    <row r="5" spans="1:12" ht="13.15" customHeight="1">
      <c r="A5" s="2">
        <v>1</v>
      </c>
      <c r="B5" s="4" t="s">
        <v>153</v>
      </c>
      <c r="C5" s="2" t="s">
        <v>9</v>
      </c>
      <c r="D5" s="2"/>
      <c r="E5" s="5">
        <v>8.8000000000000007</v>
      </c>
      <c r="F5" s="20">
        <f>D5*E5</f>
        <v>0</v>
      </c>
      <c r="G5" s="2">
        <v>39</v>
      </c>
      <c r="H5" s="4" t="s">
        <v>154</v>
      </c>
      <c r="I5" s="2" t="s">
        <v>9</v>
      </c>
      <c r="J5" s="2"/>
      <c r="K5" s="5">
        <v>8.5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5.7</v>
      </c>
      <c r="F6" s="20">
        <f t="shared" ref="F6:F35" si="1">D6*E6</f>
        <v>0</v>
      </c>
      <c r="G6" s="2">
        <v>40</v>
      </c>
      <c r="H6" s="4" t="s">
        <v>155</v>
      </c>
      <c r="I6" s="2" t="s">
        <v>9</v>
      </c>
      <c r="J6" s="2"/>
      <c r="K6" s="5">
        <v>8.5</v>
      </c>
      <c r="L6" s="5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6.3</v>
      </c>
      <c r="F7" s="20">
        <f t="shared" si="1"/>
        <v>0</v>
      </c>
      <c r="G7" s="2">
        <v>41</v>
      </c>
      <c r="H7" s="4" t="s">
        <v>157</v>
      </c>
      <c r="I7" s="2" t="s">
        <v>9</v>
      </c>
      <c r="J7" s="2"/>
      <c r="K7" s="5">
        <v>8.5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9</v>
      </c>
      <c r="F8" s="20">
        <f t="shared" si="1"/>
        <v>0</v>
      </c>
      <c r="G8" s="2">
        <v>42</v>
      </c>
      <c r="H8" s="4" t="s">
        <v>158</v>
      </c>
      <c r="I8" s="2" t="s">
        <v>9</v>
      </c>
      <c r="J8" s="2"/>
      <c r="K8" s="5">
        <v>3.3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5.8</v>
      </c>
      <c r="F9" s="20">
        <f t="shared" si="1"/>
        <v>0</v>
      </c>
      <c r="G9" s="2">
        <v>43</v>
      </c>
      <c r="H9" s="4" t="s">
        <v>159</v>
      </c>
      <c r="I9" s="2" t="s">
        <v>9</v>
      </c>
      <c r="J9" s="2"/>
      <c r="K9" s="5">
        <v>3.8</v>
      </c>
      <c r="L9" s="5">
        <f t="shared" si="0"/>
        <v>0</v>
      </c>
    </row>
    <row r="10" spans="1:12" ht="13.15" customHeight="1">
      <c r="A10" s="2">
        <v>6</v>
      </c>
      <c r="B10" s="4" t="s">
        <v>160</v>
      </c>
      <c r="C10" s="2" t="s">
        <v>9</v>
      </c>
      <c r="D10" s="2"/>
      <c r="E10" s="5">
        <v>7.4</v>
      </c>
      <c r="F10" s="20">
        <f t="shared" si="1"/>
        <v>0</v>
      </c>
      <c r="G10" s="2">
        <v>44</v>
      </c>
      <c r="H10" s="4" t="s">
        <v>13</v>
      </c>
      <c r="I10" s="2" t="s">
        <v>9</v>
      </c>
      <c r="J10" s="2"/>
      <c r="K10" s="5">
        <v>3.3</v>
      </c>
      <c r="L10" s="5">
        <f t="shared" si="0"/>
        <v>0</v>
      </c>
    </row>
    <row r="11" spans="1:12" ht="13.15" customHeight="1">
      <c r="A11" s="2">
        <v>7</v>
      </c>
      <c r="B11" s="4" t="s">
        <v>78</v>
      </c>
      <c r="C11" s="2" t="s">
        <v>9</v>
      </c>
      <c r="D11" s="2"/>
      <c r="E11" s="5">
        <v>8.1</v>
      </c>
      <c r="F11" s="20">
        <f t="shared" si="1"/>
        <v>0</v>
      </c>
      <c r="G11" s="2">
        <v>45</v>
      </c>
      <c r="H11" s="4" t="s">
        <v>17</v>
      </c>
      <c r="I11" s="2" t="s">
        <v>9</v>
      </c>
      <c r="J11" s="2"/>
      <c r="K11" s="5">
        <v>2.6</v>
      </c>
      <c r="L11" s="5">
        <f t="shared" si="0"/>
        <v>0</v>
      </c>
    </row>
    <row r="12" spans="1:12" ht="13.15" customHeight="1">
      <c r="A12" s="2">
        <v>8</v>
      </c>
      <c r="B12" s="4" t="s">
        <v>80</v>
      </c>
      <c r="C12" s="2" t="s">
        <v>9</v>
      </c>
      <c r="D12" s="2"/>
      <c r="E12" s="5">
        <v>5.4</v>
      </c>
      <c r="F12" s="20">
        <f t="shared" si="1"/>
        <v>0</v>
      </c>
      <c r="G12" s="2">
        <v>46</v>
      </c>
      <c r="H12" s="4" t="s">
        <v>161</v>
      </c>
      <c r="I12" s="2" t="s">
        <v>9</v>
      </c>
      <c r="J12" s="2"/>
      <c r="K12" s="5">
        <v>2.6</v>
      </c>
      <c r="L12" s="5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6.3</v>
      </c>
      <c r="F13" s="20">
        <f t="shared" si="1"/>
        <v>0</v>
      </c>
      <c r="G13" s="2">
        <v>47</v>
      </c>
      <c r="H13" s="4" t="s">
        <v>163</v>
      </c>
      <c r="I13" s="2" t="s">
        <v>9</v>
      </c>
      <c r="J13" s="2"/>
      <c r="K13" s="5">
        <v>4.2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6.9</v>
      </c>
      <c r="F14" s="20">
        <f t="shared" si="1"/>
        <v>0</v>
      </c>
      <c r="G14" s="2">
        <v>48</v>
      </c>
      <c r="H14" s="4" t="s">
        <v>164</v>
      </c>
      <c r="I14" s="2" t="s">
        <v>9</v>
      </c>
      <c r="J14" s="2"/>
      <c r="K14" s="5">
        <v>4.2</v>
      </c>
      <c r="L14" s="5">
        <f t="shared" si="0"/>
        <v>0</v>
      </c>
    </row>
    <row r="15" spans="1:12" ht="13.15" customHeight="1">
      <c r="A15" s="2">
        <v>11</v>
      </c>
      <c r="B15" s="4" t="s">
        <v>165</v>
      </c>
      <c r="C15" s="2" t="s">
        <v>9</v>
      </c>
      <c r="D15" s="2"/>
      <c r="E15" s="5">
        <v>5.2</v>
      </c>
      <c r="F15" s="20">
        <f t="shared" si="1"/>
        <v>0</v>
      </c>
      <c r="G15" s="2">
        <v>49</v>
      </c>
      <c r="H15" s="4" t="s">
        <v>166</v>
      </c>
      <c r="I15" s="2" t="s">
        <v>9</v>
      </c>
      <c r="J15" s="2"/>
      <c r="K15" s="5">
        <v>4.2</v>
      </c>
      <c r="L15" s="5">
        <f t="shared" si="0"/>
        <v>0</v>
      </c>
    </row>
    <row r="16" spans="1:12" ht="13.15" customHeight="1">
      <c r="A16" s="2">
        <v>12</v>
      </c>
      <c r="B16" s="4" t="s">
        <v>167</v>
      </c>
      <c r="C16" s="2" t="s">
        <v>9</v>
      </c>
      <c r="D16" s="2"/>
      <c r="E16" s="5">
        <v>7.2</v>
      </c>
      <c r="F16" s="20">
        <f>D16*E16</f>
        <v>0</v>
      </c>
      <c r="G16" s="2">
        <v>50</v>
      </c>
      <c r="H16" s="4" t="s">
        <v>168</v>
      </c>
      <c r="I16" s="2" t="s">
        <v>9</v>
      </c>
      <c r="J16" s="2"/>
      <c r="K16" s="5">
        <v>0</v>
      </c>
      <c r="L16" s="5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7.8</v>
      </c>
      <c r="F17" s="20">
        <f t="shared" si="1"/>
        <v>0</v>
      </c>
      <c r="G17" s="2">
        <v>51</v>
      </c>
      <c r="H17" s="4" t="s">
        <v>169</v>
      </c>
      <c r="I17" s="2" t="s">
        <v>9</v>
      </c>
      <c r="J17" s="2"/>
      <c r="K17" s="5">
        <v>4.2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5.4</v>
      </c>
      <c r="F18" s="20">
        <f t="shared" si="1"/>
        <v>0</v>
      </c>
      <c r="G18" s="2">
        <v>52</v>
      </c>
      <c r="H18" s="4" t="s">
        <v>170</v>
      </c>
      <c r="I18" s="2" t="s">
        <v>9</v>
      </c>
      <c r="J18" s="2"/>
      <c r="K18" s="5">
        <v>3.8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</v>
      </c>
      <c r="F19" s="20">
        <f t="shared" si="1"/>
        <v>0</v>
      </c>
      <c r="G19" s="2">
        <v>53</v>
      </c>
      <c r="H19" s="4" t="s">
        <v>171</v>
      </c>
      <c r="I19" s="2" t="s">
        <v>9</v>
      </c>
      <c r="J19" s="2"/>
      <c r="K19" s="5">
        <v>3.8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3</v>
      </c>
      <c r="F20" s="20">
        <f t="shared" si="1"/>
        <v>0</v>
      </c>
      <c r="G20" s="2">
        <v>54</v>
      </c>
      <c r="H20" s="4" t="s">
        <v>172</v>
      </c>
      <c r="I20" s="2" t="s">
        <v>9</v>
      </c>
      <c r="J20" s="2"/>
      <c r="K20" s="5">
        <v>3.8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1.7</v>
      </c>
      <c r="F21" s="20">
        <f t="shared" si="1"/>
        <v>0</v>
      </c>
      <c r="G21" s="2">
        <v>55</v>
      </c>
      <c r="H21" s="4" t="s">
        <v>173</v>
      </c>
      <c r="I21" s="2" t="s">
        <v>9</v>
      </c>
      <c r="J21" s="2"/>
      <c r="K21" s="5">
        <v>3.8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7.5</v>
      </c>
      <c r="F22" s="20">
        <f t="shared" si="1"/>
        <v>0</v>
      </c>
      <c r="G22" s="2">
        <v>56</v>
      </c>
      <c r="H22" s="4" t="s">
        <v>174</v>
      </c>
      <c r="I22" s="2" t="s">
        <v>9</v>
      </c>
      <c r="J22" s="2"/>
      <c r="K22" s="5">
        <v>10</v>
      </c>
      <c r="L22" s="5">
        <f t="shared" si="0"/>
        <v>0</v>
      </c>
    </row>
    <row r="23" spans="1:12" ht="13.15" customHeight="1">
      <c r="A23" s="2">
        <v>19</v>
      </c>
      <c r="B23" s="4" t="s">
        <v>175</v>
      </c>
      <c r="C23" s="2" t="s">
        <v>9</v>
      </c>
      <c r="D23" s="2"/>
      <c r="E23" s="5">
        <v>8</v>
      </c>
      <c r="F23" s="20">
        <f t="shared" si="1"/>
        <v>0</v>
      </c>
      <c r="G23" s="2">
        <v>57</v>
      </c>
      <c r="H23" s="4" t="s">
        <v>176</v>
      </c>
      <c r="I23" s="2" t="s">
        <v>9</v>
      </c>
      <c r="J23" s="4"/>
      <c r="K23" s="2">
        <v>8.8000000000000007</v>
      </c>
      <c r="L23" s="5">
        <f t="shared" si="0"/>
        <v>0</v>
      </c>
    </row>
    <row r="24" spans="1:12" ht="13.15" customHeight="1">
      <c r="A24" s="2">
        <v>20</v>
      </c>
      <c r="B24" s="4" t="s">
        <v>177</v>
      </c>
      <c r="C24" s="2" t="s">
        <v>9</v>
      </c>
      <c r="D24" s="2"/>
      <c r="E24" s="5">
        <v>8.4</v>
      </c>
      <c r="F24" s="20">
        <f t="shared" si="1"/>
        <v>0</v>
      </c>
      <c r="G24" s="2">
        <v>58</v>
      </c>
      <c r="H24" s="4" t="s">
        <v>178</v>
      </c>
      <c r="I24" s="2" t="s">
        <v>9</v>
      </c>
      <c r="J24" s="4"/>
      <c r="K24" s="2">
        <v>7.2</v>
      </c>
      <c r="L24" s="5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8.8000000000000007</v>
      </c>
      <c r="F25" s="20">
        <f t="shared" si="1"/>
        <v>0</v>
      </c>
      <c r="G25" s="2">
        <v>59</v>
      </c>
      <c r="H25" s="4" t="s">
        <v>179</v>
      </c>
      <c r="I25" s="2" t="s">
        <v>9</v>
      </c>
      <c r="J25" s="4"/>
      <c r="K25" s="2">
        <v>8.5</v>
      </c>
      <c r="L25" s="5">
        <f t="shared" si="0"/>
        <v>0</v>
      </c>
    </row>
    <row r="26" spans="1:12" ht="13.15" customHeight="1">
      <c r="A26" s="2">
        <v>22</v>
      </c>
      <c r="B26" s="4" t="s">
        <v>180</v>
      </c>
      <c r="C26" s="2" t="s">
        <v>9</v>
      </c>
      <c r="D26" s="2"/>
      <c r="E26" s="5">
        <v>6</v>
      </c>
      <c r="F26" s="20">
        <f t="shared" si="1"/>
        <v>0</v>
      </c>
      <c r="G26" s="2">
        <v>60</v>
      </c>
      <c r="H26" s="4" t="s">
        <v>131</v>
      </c>
      <c r="I26" s="2" t="s">
        <v>9</v>
      </c>
      <c r="J26" s="4"/>
      <c r="K26" s="2">
        <v>4.2</v>
      </c>
      <c r="L26" s="5">
        <f t="shared" si="0"/>
        <v>0</v>
      </c>
    </row>
    <row r="27" spans="1:12" ht="13.15" customHeight="1">
      <c r="A27" s="2">
        <v>23</v>
      </c>
      <c r="B27" s="4" t="s">
        <v>181</v>
      </c>
      <c r="C27" s="2" t="s">
        <v>9</v>
      </c>
      <c r="D27" s="2"/>
      <c r="E27" s="5">
        <v>3.8</v>
      </c>
      <c r="F27" s="20">
        <f t="shared" si="1"/>
        <v>0</v>
      </c>
      <c r="G27" s="2">
        <v>61</v>
      </c>
      <c r="H27" s="4" t="s">
        <v>182</v>
      </c>
      <c r="I27" s="2" t="s">
        <v>9</v>
      </c>
      <c r="J27" s="4"/>
      <c r="K27" s="2">
        <v>13.5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6.3</v>
      </c>
      <c r="F28" s="20">
        <f t="shared" si="1"/>
        <v>0</v>
      </c>
      <c r="G28" s="2">
        <v>62</v>
      </c>
      <c r="H28" s="4" t="s">
        <v>183</v>
      </c>
      <c r="I28" s="2" t="s">
        <v>9</v>
      </c>
      <c r="J28" s="4"/>
      <c r="K28" s="2">
        <v>12.8</v>
      </c>
      <c r="L28" s="5">
        <f t="shared" si="0"/>
        <v>0</v>
      </c>
    </row>
    <row r="29" spans="1:12" ht="13.15" customHeight="1">
      <c r="A29" s="2">
        <v>25</v>
      </c>
      <c r="B29" s="4" t="s">
        <v>184</v>
      </c>
      <c r="C29" s="2" t="s">
        <v>9</v>
      </c>
      <c r="D29" s="2"/>
      <c r="E29" s="5">
        <v>7.7</v>
      </c>
      <c r="F29" s="20">
        <f t="shared" si="1"/>
        <v>0</v>
      </c>
      <c r="G29" s="2">
        <v>63</v>
      </c>
      <c r="H29" s="4" t="s">
        <v>185</v>
      </c>
      <c r="I29" s="2" t="s">
        <v>9</v>
      </c>
      <c r="J29" s="4"/>
      <c r="K29" s="2">
        <v>8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6.2</v>
      </c>
      <c r="F30" s="5">
        <f t="shared" si="1"/>
        <v>0</v>
      </c>
      <c r="G30" s="2">
        <v>64</v>
      </c>
      <c r="H30" s="4" t="s">
        <v>186</v>
      </c>
      <c r="I30" s="2" t="s">
        <v>9</v>
      </c>
      <c r="J30" s="4"/>
      <c r="K30" s="2">
        <v>7.25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7</v>
      </c>
      <c r="F31" s="5">
        <f t="shared" si="1"/>
        <v>0</v>
      </c>
      <c r="G31" s="2">
        <v>65</v>
      </c>
      <c r="H31" s="4" t="s">
        <v>187</v>
      </c>
      <c r="I31" s="2" t="s">
        <v>9</v>
      </c>
      <c r="J31" s="4"/>
      <c r="K31" s="2">
        <v>10.8</v>
      </c>
      <c r="L31" s="5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10</v>
      </c>
      <c r="F32" s="20">
        <f t="shared" si="1"/>
        <v>0</v>
      </c>
      <c r="G32" s="2">
        <v>66</v>
      </c>
      <c r="H32" s="4" t="s">
        <v>188</v>
      </c>
      <c r="I32" s="2" t="s">
        <v>9</v>
      </c>
      <c r="J32" s="4"/>
      <c r="K32" s="2">
        <v>3.8</v>
      </c>
      <c r="L32" s="5">
        <f t="shared" si="0"/>
        <v>0</v>
      </c>
    </row>
    <row r="33" spans="1:12" ht="13.15" customHeight="1">
      <c r="A33" s="2">
        <v>29</v>
      </c>
      <c r="B33" s="4" t="s">
        <v>189</v>
      </c>
      <c r="C33" s="2" t="s">
        <v>9</v>
      </c>
      <c r="D33" s="2"/>
      <c r="E33" s="5">
        <v>1.5</v>
      </c>
      <c r="F33" s="5">
        <f t="shared" si="1"/>
        <v>0</v>
      </c>
      <c r="G33" s="2">
        <v>67</v>
      </c>
      <c r="H33" s="4" t="s">
        <v>190</v>
      </c>
      <c r="I33" s="2" t="s">
        <v>9</v>
      </c>
      <c r="J33" s="4"/>
      <c r="K33" s="2">
        <v>6.7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7.9</v>
      </c>
      <c r="F34" s="5">
        <f t="shared" si="1"/>
        <v>0</v>
      </c>
      <c r="G34" s="2">
        <v>68</v>
      </c>
      <c r="H34" s="4" t="s">
        <v>191</v>
      </c>
      <c r="I34" s="2" t="s">
        <v>9</v>
      </c>
      <c r="J34" s="4"/>
      <c r="K34" s="2">
        <v>6.7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7</v>
      </c>
      <c r="F35" s="20">
        <f t="shared" si="1"/>
        <v>0</v>
      </c>
      <c r="G35" s="2">
        <v>69</v>
      </c>
      <c r="H35" s="4" t="s">
        <v>192</v>
      </c>
      <c r="I35" s="2" t="s">
        <v>9</v>
      </c>
      <c r="J35" s="4"/>
      <c r="K35" s="2">
        <v>4.8</v>
      </c>
      <c r="L35" s="5">
        <f>J35*K35</f>
        <v>0</v>
      </c>
    </row>
    <row r="36" spans="1:12" ht="13.15" customHeight="1">
      <c r="A36" s="2">
        <v>32</v>
      </c>
      <c r="B36" s="4" t="s">
        <v>193</v>
      </c>
      <c r="C36" s="2" t="s">
        <v>9</v>
      </c>
      <c r="D36" s="2"/>
      <c r="E36" s="5">
        <v>10.25</v>
      </c>
      <c r="F36" s="20">
        <f>D36*E36</f>
        <v>0</v>
      </c>
      <c r="G36" s="2">
        <v>70</v>
      </c>
      <c r="H36" s="4" t="s">
        <v>194</v>
      </c>
      <c r="I36" s="2" t="s">
        <v>9</v>
      </c>
      <c r="J36" s="4"/>
      <c r="K36" s="2">
        <v>7.25</v>
      </c>
      <c r="L36" s="5">
        <f>J36*K36</f>
        <v>0</v>
      </c>
    </row>
    <row r="37" spans="1:12" ht="13.15" customHeight="1">
      <c r="A37" s="2">
        <v>33</v>
      </c>
      <c r="B37" s="4" t="s">
        <v>195</v>
      </c>
      <c r="C37" s="2" t="s">
        <v>9</v>
      </c>
      <c r="D37" s="2"/>
      <c r="E37" s="5">
        <v>6</v>
      </c>
      <c r="F37" s="20">
        <f>D37*E37</f>
        <v>0</v>
      </c>
      <c r="G37" s="2">
        <v>71</v>
      </c>
      <c r="H37" s="4" t="s">
        <v>196</v>
      </c>
      <c r="I37" s="2" t="s">
        <v>9</v>
      </c>
      <c r="J37" s="4"/>
      <c r="K37" s="2">
        <v>5.4</v>
      </c>
      <c r="L37" s="5">
        <f>J37*K37</f>
        <v>0</v>
      </c>
    </row>
    <row r="38" spans="1:12" ht="13.15" customHeight="1">
      <c r="A38" s="2">
        <v>34</v>
      </c>
      <c r="B38" s="4"/>
      <c r="C38" s="2" t="s">
        <v>9</v>
      </c>
      <c r="D38" s="2"/>
      <c r="E38" s="5">
        <v>0</v>
      </c>
      <c r="F38" s="20">
        <f>D38*E38</f>
        <v>0</v>
      </c>
      <c r="G38" s="2">
        <v>72</v>
      </c>
      <c r="H38" s="4" t="s">
        <v>197</v>
      </c>
      <c r="I38" s="2" t="s">
        <v>9</v>
      </c>
      <c r="J38" s="4"/>
      <c r="K38" s="2">
        <v>8.5</v>
      </c>
      <c r="L38" s="5">
        <f>J38*K38</f>
        <v>0</v>
      </c>
    </row>
    <row r="39" spans="1:12" ht="13.15" customHeight="1">
      <c r="A39" s="2">
        <v>35</v>
      </c>
      <c r="B39" s="4" t="s">
        <v>198</v>
      </c>
      <c r="C39" s="2" t="s">
        <v>9</v>
      </c>
      <c r="D39" s="2"/>
      <c r="E39" s="5">
        <v>8.5</v>
      </c>
      <c r="F39" s="20">
        <f>D39*E39</f>
        <v>0</v>
      </c>
      <c r="G39" s="2">
        <v>73</v>
      </c>
      <c r="H39" s="4" t="s">
        <v>199</v>
      </c>
      <c r="I39" s="2" t="s">
        <v>9</v>
      </c>
      <c r="J39" s="4"/>
      <c r="K39" s="2">
        <v>6.7</v>
      </c>
      <c r="L39" s="5">
        <f>J39*K39</f>
        <v>0</v>
      </c>
    </row>
    <row r="40" spans="1:12" ht="13.15" customHeight="1">
      <c r="K40" t="s">
        <v>200</v>
      </c>
      <c r="L40" s="25">
        <f>F5+F6+F7+F8+F9+F10+F11+F12+F13+F14+F15+F16+F17+F18+F19+F20+F21+F22+F23+F24+F25+F26+F27+F28+F29+F30+F31+F32+F33+F34+F35+F36+F37+F38+F39+L2+L3+L4+L5+L6+L7+L8+L9+L10+L11+L12+L13+L14+L15+L16+L17+L18+L19+L20+L21+L22+L23+L24+L25+L26+L27+L28+L29+L30+L31+L32+L33+L34+L35+L36+L37+L38+L39</f>
        <v>0</v>
      </c>
    </row>
    <row r="42" spans="1:12" ht="13.15" customHeight="1">
      <c r="H42" t="s">
        <v>201</v>
      </c>
      <c r="J42" t="s">
        <v>202</v>
      </c>
    </row>
  </sheetData>
  <mergeCells count="4">
    <mergeCell ref="A1:C1"/>
    <mergeCell ref="D1:F1"/>
    <mergeCell ref="A2:F2"/>
    <mergeCell ref="A3:F3"/>
  </mergeCells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>
  <sheetPr codeName="Лист86"/>
  <dimension ref="A1:L42"/>
  <sheetViews>
    <sheetView topLeftCell="A22" workbookViewId="0">
      <selection activeCell="N51" sqref="N51"/>
    </sheetView>
  </sheetViews>
  <sheetFormatPr defaultRowHeight="13.15" customHeight="1"/>
  <cols>
    <col min="1" max="1" width="5" style="17" customWidth="1"/>
    <col min="2" max="2" width="30.28515625" customWidth="1"/>
    <col min="3" max="3" width="6.85546875" customWidth="1"/>
    <col min="4" max="4" width="6.5703125" customWidth="1"/>
    <col min="6" max="6" width="8.85546875" style="17"/>
    <col min="7" max="7" width="4.7109375" style="17" customWidth="1"/>
    <col min="8" max="8" width="24.7109375" customWidth="1"/>
    <col min="9" max="9" width="6.7109375" customWidth="1"/>
    <col min="10" max="10" width="7" customWidth="1"/>
    <col min="12" max="12" width="8.85546875" style="17"/>
  </cols>
  <sheetData>
    <row r="1" spans="1:12" ht="13.15" customHeight="1">
      <c r="A1" s="30" t="s">
        <v>147</v>
      </c>
      <c r="B1" s="30"/>
      <c r="C1" s="30"/>
      <c r="D1" s="31" t="s">
        <v>148</v>
      </c>
      <c r="E1" s="30"/>
      <c r="F1" s="30"/>
      <c r="G1" s="16"/>
      <c r="H1" s="2" t="s">
        <v>2</v>
      </c>
      <c r="I1" s="1" t="s">
        <v>3</v>
      </c>
      <c r="J1" s="2" t="s">
        <v>4</v>
      </c>
      <c r="K1" s="2" t="s">
        <v>149</v>
      </c>
      <c r="L1" s="2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150</v>
      </c>
      <c r="I2" s="2" t="s">
        <v>9</v>
      </c>
      <c r="J2" s="2"/>
      <c r="K2" s="5">
        <v>8.5</v>
      </c>
      <c r="L2" s="5">
        <f t="shared" ref="L2:L34" si="0"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151</v>
      </c>
      <c r="I3" s="2" t="s">
        <v>9</v>
      </c>
      <c r="J3" s="2"/>
      <c r="K3" s="5">
        <v>8.5</v>
      </c>
      <c r="L3" s="5">
        <f t="shared" si="0"/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152</v>
      </c>
      <c r="I4" s="2" t="s">
        <v>9</v>
      </c>
      <c r="J4" s="2"/>
      <c r="K4" s="5">
        <v>8.5</v>
      </c>
      <c r="L4" s="5">
        <f t="shared" si="0"/>
        <v>0</v>
      </c>
    </row>
    <row r="5" spans="1:12" ht="13.15" customHeight="1">
      <c r="A5" s="2">
        <v>1</v>
      </c>
      <c r="B5" s="4" t="s">
        <v>153</v>
      </c>
      <c r="C5" s="2" t="s">
        <v>9</v>
      </c>
      <c r="D5" s="2"/>
      <c r="E5" s="5">
        <v>8.8000000000000007</v>
      </c>
      <c r="F5" s="20">
        <f>D5*E5</f>
        <v>0</v>
      </c>
      <c r="G5" s="2">
        <v>39</v>
      </c>
      <c r="H5" s="4" t="s">
        <v>154</v>
      </c>
      <c r="I5" s="2" t="s">
        <v>9</v>
      </c>
      <c r="J5" s="2"/>
      <c r="K5" s="5">
        <v>8.5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5.7</v>
      </c>
      <c r="F6" s="20">
        <f t="shared" ref="F6:F35" si="1">D6*E6</f>
        <v>0</v>
      </c>
      <c r="G6" s="2">
        <v>40</v>
      </c>
      <c r="H6" s="4" t="s">
        <v>155</v>
      </c>
      <c r="I6" s="2" t="s">
        <v>9</v>
      </c>
      <c r="J6" s="2"/>
      <c r="K6" s="5">
        <v>8.5</v>
      </c>
      <c r="L6" s="5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6.3</v>
      </c>
      <c r="F7" s="20">
        <f t="shared" si="1"/>
        <v>0</v>
      </c>
      <c r="G7" s="2">
        <v>41</v>
      </c>
      <c r="H7" s="4" t="s">
        <v>157</v>
      </c>
      <c r="I7" s="2" t="s">
        <v>9</v>
      </c>
      <c r="J7" s="2"/>
      <c r="K7" s="5">
        <v>8.5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9</v>
      </c>
      <c r="F8" s="20">
        <f t="shared" si="1"/>
        <v>0</v>
      </c>
      <c r="G8" s="2">
        <v>42</v>
      </c>
      <c r="H8" s="4" t="s">
        <v>158</v>
      </c>
      <c r="I8" s="2" t="s">
        <v>9</v>
      </c>
      <c r="J8" s="2"/>
      <c r="K8" s="5">
        <v>3.3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5.8</v>
      </c>
      <c r="F9" s="20">
        <f t="shared" si="1"/>
        <v>0</v>
      </c>
      <c r="G9" s="2">
        <v>43</v>
      </c>
      <c r="H9" s="4" t="s">
        <v>159</v>
      </c>
      <c r="I9" s="2" t="s">
        <v>9</v>
      </c>
      <c r="J9" s="2"/>
      <c r="K9" s="5">
        <v>3.8</v>
      </c>
      <c r="L9" s="5">
        <f t="shared" si="0"/>
        <v>0</v>
      </c>
    </row>
    <row r="10" spans="1:12" ht="13.15" customHeight="1">
      <c r="A10" s="2">
        <v>6</v>
      </c>
      <c r="B10" s="4" t="s">
        <v>160</v>
      </c>
      <c r="C10" s="2" t="s">
        <v>9</v>
      </c>
      <c r="D10" s="2"/>
      <c r="E10" s="5">
        <v>7.4</v>
      </c>
      <c r="F10" s="20">
        <f t="shared" si="1"/>
        <v>0</v>
      </c>
      <c r="G10" s="2">
        <v>44</v>
      </c>
      <c r="H10" s="4" t="s">
        <v>13</v>
      </c>
      <c r="I10" s="2" t="s">
        <v>9</v>
      </c>
      <c r="J10" s="2"/>
      <c r="K10" s="5">
        <v>3.3</v>
      </c>
      <c r="L10" s="5">
        <f t="shared" si="0"/>
        <v>0</v>
      </c>
    </row>
    <row r="11" spans="1:12" ht="13.15" customHeight="1">
      <c r="A11" s="2">
        <v>7</v>
      </c>
      <c r="B11" s="4" t="s">
        <v>78</v>
      </c>
      <c r="C11" s="2" t="s">
        <v>9</v>
      </c>
      <c r="D11" s="2"/>
      <c r="E11" s="5">
        <v>8.1</v>
      </c>
      <c r="F11" s="20">
        <f t="shared" si="1"/>
        <v>0</v>
      </c>
      <c r="G11" s="2">
        <v>45</v>
      </c>
      <c r="H11" s="4" t="s">
        <v>17</v>
      </c>
      <c r="I11" s="2" t="s">
        <v>9</v>
      </c>
      <c r="J11" s="2"/>
      <c r="K11" s="5">
        <v>2.6</v>
      </c>
      <c r="L11" s="5">
        <f t="shared" si="0"/>
        <v>0</v>
      </c>
    </row>
    <row r="12" spans="1:12" ht="13.15" customHeight="1">
      <c r="A12" s="2">
        <v>8</v>
      </c>
      <c r="B12" s="4" t="s">
        <v>80</v>
      </c>
      <c r="C12" s="2" t="s">
        <v>9</v>
      </c>
      <c r="D12" s="2"/>
      <c r="E12" s="5">
        <v>5.4</v>
      </c>
      <c r="F12" s="20">
        <f t="shared" si="1"/>
        <v>0</v>
      </c>
      <c r="G12" s="2">
        <v>46</v>
      </c>
      <c r="H12" s="4" t="s">
        <v>161</v>
      </c>
      <c r="I12" s="2" t="s">
        <v>9</v>
      </c>
      <c r="J12" s="2"/>
      <c r="K12" s="5">
        <v>2.6</v>
      </c>
      <c r="L12" s="5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6.3</v>
      </c>
      <c r="F13" s="20">
        <f t="shared" si="1"/>
        <v>0</v>
      </c>
      <c r="G13" s="2">
        <v>47</v>
      </c>
      <c r="H13" s="4" t="s">
        <v>163</v>
      </c>
      <c r="I13" s="2" t="s">
        <v>9</v>
      </c>
      <c r="J13" s="2"/>
      <c r="K13" s="5">
        <v>4.2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6.9</v>
      </c>
      <c r="F14" s="20">
        <f t="shared" si="1"/>
        <v>0</v>
      </c>
      <c r="G14" s="2">
        <v>48</v>
      </c>
      <c r="H14" s="4" t="s">
        <v>164</v>
      </c>
      <c r="I14" s="2" t="s">
        <v>9</v>
      </c>
      <c r="J14" s="2"/>
      <c r="K14" s="5">
        <v>4.2</v>
      </c>
      <c r="L14" s="5">
        <f t="shared" si="0"/>
        <v>0</v>
      </c>
    </row>
    <row r="15" spans="1:12" ht="13.15" customHeight="1">
      <c r="A15" s="2">
        <v>11</v>
      </c>
      <c r="B15" s="4" t="s">
        <v>165</v>
      </c>
      <c r="C15" s="2" t="s">
        <v>9</v>
      </c>
      <c r="D15" s="2"/>
      <c r="E15" s="5">
        <v>5.2</v>
      </c>
      <c r="F15" s="20">
        <f t="shared" si="1"/>
        <v>0</v>
      </c>
      <c r="G15" s="2">
        <v>49</v>
      </c>
      <c r="H15" s="4" t="s">
        <v>166</v>
      </c>
      <c r="I15" s="2" t="s">
        <v>9</v>
      </c>
      <c r="J15" s="2"/>
      <c r="K15" s="5">
        <v>4.2</v>
      </c>
      <c r="L15" s="5">
        <f t="shared" si="0"/>
        <v>0</v>
      </c>
    </row>
    <row r="16" spans="1:12" ht="13.15" customHeight="1">
      <c r="A16" s="2">
        <v>12</v>
      </c>
      <c r="B16" s="4" t="s">
        <v>167</v>
      </c>
      <c r="C16" s="2" t="s">
        <v>9</v>
      </c>
      <c r="D16" s="2"/>
      <c r="E16" s="5">
        <v>7.2</v>
      </c>
      <c r="F16" s="20">
        <f>D16*E16</f>
        <v>0</v>
      </c>
      <c r="G16" s="2">
        <v>50</v>
      </c>
      <c r="H16" s="4" t="s">
        <v>168</v>
      </c>
      <c r="I16" s="2" t="s">
        <v>9</v>
      </c>
      <c r="J16" s="2"/>
      <c r="K16" s="5">
        <v>0</v>
      </c>
      <c r="L16" s="5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7.8</v>
      </c>
      <c r="F17" s="20">
        <f t="shared" si="1"/>
        <v>0</v>
      </c>
      <c r="G17" s="2">
        <v>51</v>
      </c>
      <c r="H17" s="4" t="s">
        <v>169</v>
      </c>
      <c r="I17" s="2" t="s">
        <v>9</v>
      </c>
      <c r="J17" s="2"/>
      <c r="K17" s="5">
        <v>4.2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5.4</v>
      </c>
      <c r="F18" s="20">
        <f t="shared" si="1"/>
        <v>0</v>
      </c>
      <c r="G18" s="2">
        <v>52</v>
      </c>
      <c r="H18" s="4" t="s">
        <v>170</v>
      </c>
      <c r="I18" s="2" t="s">
        <v>9</v>
      </c>
      <c r="J18" s="2"/>
      <c r="K18" s="5">
        <v>3.8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</v>
      </c>
      <c r="F19" s="20">
        <f t="shared" si="1"/>
        <v>0</v>
      </c>
      <c r="G19" s="2">
        <v>53</v>
      </c>
      <c r="H19" s="4" t="s">
        <v>171</v>
      </c>
      <c r="I19" s="2" t="s">
        <v>9</v>
      </c>
      <c r="J19" s="2"/>
      <c r="K19" s="5">
        <v>3.8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3</v>
      </c>
      <c r="F20" s="20">
        <f t="shared" si="1"/>
        <v>0</v>
      </c>
      <c r="G20" s="2">
        <v>54</v>
      </c>
      <c r="H20" s="4" t="s">
        <v>172</v>
      </c>
      <c r="I20" s="2" t="s">
        <v>9</v>
      </c>
      <c r="J20" s="2"/>
      <c r="K20" s="5">
        <v>3.8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1.7</v>
      </c>
      <c r="F21" s="20">
        <f t="shared" si="1"/>
        <v>0</v>
      </c>
      <c r="G21" s="2">
        <v>55</v>
      </c>
      <c r="H21" s="4" t="s">
        <v>173</v>
      </c>
      <c r="I21" s="2" t="s">
        <v>9</v>
      </c>
      <c r="J21" s="2"/>
      <c r="K21" s="5">
        <v>3.8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7.5</v>
      </c>
      <c r="F22" s="20">
        <f t="shared" si="1"/>
        <v>0</v>
      </c>
      <c r="G22" s="2">
        <v>56</v>
      </c>
      <c r="H22" s="4" t="s">
        <v>174</v>
      </c>
      <c r="I22" s="2" t="s">
        <v>9</v>
      </c>
      <c r="J22" s="2"/>
      <c r="K22" s="5">
        <v>10</v>
      </c>
      <c r="L22" s="5">
        <f t="shared" si="0"/>
        <v>0</v>
      </c>
    </row>
    <row r="23" spans="1:12" ht="13.15" customHeight="1">
      <c r="A23" s="2">
        <v>19</v>
      </c>
      <c r="B23" s="4" t="s">
        <v>175</v>
      </c>
      <c r="C23" s="2" t="s">
        <v>9</v>
      </c>
      <c r="D23" s="2"/>
      <c r="E23" s="5">
        <v>8</v>
      </c>
      <c r="F23" s="20">
        <f t="shared" si="1"/>
        <v>0</v>
      </c>
      <c r="G23" s="2">
        <v>57</v>
      </c>
      <c r="H23" s="4" t="s">
        <v>176</v>
      </c>
      <c r="I23" s="2" t="s">
        <v>9</v>
      </c>
      <c r="J23" s="4"/>
      <c r="K23" s="2">
        <v>8.8000000000000007</v>
      </c>
      <c r="L23" s="5">
        <f t="shared" si="0"/>
        <v>0</v>
      </c>
    </row>
    <row r="24" spans="1:12" ht="13.15" customHeight="1">
      <c r="A24" s="2">
        <v>20</v>
      </c>
      <c r="B24" s="4" t="s">
        <v>177</v>
      </c>
      <c r="C24" s="2" t="s">
        <v>9</v>
      </c>
      <c r="D24" s="2"/>
      <c r="E24" s="5">
        <v>8.4</v>
      </c>
      <c r="F24" s="20">
        <f t="shared" si="1"/>
        <v>0</v>
      </c>
      <c r="G24" s="2">
        <v>58</v>
      </c>
      <c r="H24" s="4" t="s">
        <v>178</v>
      </c>
      <c r="I24" s="2" t="s">
        <v>9</v>
      </c>
      <c r="J24" s="4"/>
      <c r="K24" s="2">
        <v>7.2</v>
      </c>
      <c r="L24" s="5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8.8000000000000007</v>
      </c>
      <c r="F25" s="20">
        <f t="shared" si="1"/>
        <v>0</v>
      </c>
      <c r="G25" s="2">
        <v>59</v>
      </c>
      <c r="H25" s="4" t="s">
        <v>179</v>
      </c>
      <c r="I25" s="2" t="s">
        <v>9</v>
      </c>
      <c r="J25" s="4"/>
      <c r="K25" s="2">
        <v>8.5</v>
      </c>
      <c r="L25" s="5">
        <f t="shared" si="0"/>
        <v>0</v>
      </c>
    </row>
    <row r="26" spans="1:12" ht="13.15" customHeight="1">
      <c r="A26" s="2">
        <v>22</v>
      </c>
      <c r="B26" s="4" t="s">
        <v>180</v>
      </c>
      <c r="C26" s="2" t="s">
        <v>9</v>
      </c>
      <c r="D26" s="2"/>
      <c r="E26" s="5">
        <v>6</v>
      </c>
      <c r="F26" s="20">
        <f t="shared" si="1"/>
        <v>0</v>
      </c>
      <c r="G26" s="2">
        <v>60</v>
      </c>
      <c r="H26" s="4" t="s">
        <v>131</v>
      </c>
      <c r="I26" s="2" t="s">
        <v>9</v>
      </c>
      <c r="J26" s="4"/>
      <c r="K26" s="2">
        <v>4.2</v>
      </c>
      <c r="L26" s="5">
        <f t="shared" si="0"/>
        <v>0</v>
      </c>
    </row>
    <row r="27" spans="1:12" ht="13.15" customHeight="1">
      <c r="A27" s="2">
        <v>23</v>
      </c>
      <c r="B27" s="4" t="s">
        <v>181</v>
      </c>
      <c r="C27" s="2" t="s">
        <v>9</v>
      </c>
      <c r="D27" s="2"/>
      <c r="E27" s="5">
        <v>3.8</v>
      </c>
      <c r="F27" s="20">
        <f t="shared" si="1"/>
        <v>0</v>
      </c>
      <c r="G27" s="2">
        <v>61</v>
      </c>
      <c r="H27" s="4" t="s">
        <v>182</v>
      </c>
      <c r="I27" s="2" t="s">
        <v>9</v>
      </c>
      <c r="J27" s="4"/>
      <c r="K27" s="2">
        <v>13.5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6.3</v>
      </c>
      <c r="F28" s="20">
        <f t="shared" si="1"/>
        <v>0</v>
      </c>
      <c r="G28" s="2">
        <v>62</v>
      </c>
      <c r="H28" s="4" t="s">
        <v>183</v>
      </c>
      <c r="I28" s="2" t="s">
        <v>9</v>
      </c>
      <c r="J28" s="4"/>
      <c r="K28" s="2">
        <v>12.8</v>
      </c>
      <c r="L28" s="5">
        <f t="shared" si="0"/>
        <v>0</v>
      </c>
    </row>
    <row r="29" spans="1:12" ht="13.15" customHeight="1">
      <c r="A29" s="2">
        <v>25</v>
      </c>
      <c r="B29" s="4" t="s">
        <v>184</v>
      </c>
      <c r="C29" s="2" t="s">
        <v>9</v>
      </c>
      <c r="D29" s="2"/>
      <c r="E29" s="5">
        <v>7.7</v>
      </c>
      <c r="F29" s="20">
        <f t="shared" si="1"/>
        <v>0</v>
      </c>
      <c r="G29" s="2">
        <v>63</v>
      </c>
      <c r="H29" s="4" t="s">
        <v>185</v>
      </c>
      <c r="I29" s="2" t="s">
        <v>9</v>
      </c>
      <c r="J29" s="4"/>
      <c r="K29" s="2">
        <v>8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6.2</v>
      </c>
      <c r="F30" s="5">
        <f t="shared" si="1"/>
        <v>0</v>
      </c>
      <c r="G30" s="2">
        <v>64</v>
      </c>
      <c r="H30" s="4" t="s">
        <v>186</v>
      </c>
      <c r="I30" s="2" t="s">
        <v>9</v>
      </c>
      <c r="J30" s="4"/>
      <c r="K30" s="2">
        <v>7.25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7</v>
      </c>
      <c r="F31" s="5">
        <f t="shared" si="1"/>
        <v>0</v>
      </c>
      <c r="G31" s="2">
        <v>65</v>
      </c>
      <c r="H31" s="4" t="s">
        <v>187</v>
      </c>
      <c r="I31" s="2" t="s">
        <v>9</v>
      </c>
      <c r="J31" s="4"/>
      <c r="K31" s="2">
        <v>10.8</v>
      </c>
      <c r="L31" s="5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10</v>
      </c>
      <c r="F32" s="20">
        <f t="shared" si="1"/>
        <v>0</v>
      </c>
      <c r="G32" s="2">
        <v>66</v>
      </c>
      <c r="H32" s="4" t="s">
        <v>188</v>
      </c>
      <c r="I32" s="2" t="s">
        <v>9</v>
      </c>
      <c r="J32" s="4"/>
      <c r="K32" s="2">
        <v>3.8</v>
      </c>
      <c r="L32" s="5">
        <f t="shared" si="0"/>
        <v>0</v>
      </c>
    </row>
    <row r="33" spans="1:12" ht="13.15" customHeight="1">
      <c r="A33" s="2">
        <v>29</v>
      </c>
      <c r="B33" s="4" t="s">
        <v>189</v>
      </c>
      <c r="C33" s="2" t="s">
        <v>9</v>
      </c>
      <c r="D33" s="2"/>
      <c r="E33" s="5">
        <v>1.5</v>
      </c>
      <c r="F33" s="5">
        <f t="shared" si="1"/>
        <v>0</v>
      </c>
      <c r="G33" s="2">
        <v>67</v>
      </c>
      <c r="H33" s="4" t="s">
        <v>190</v>
      </c>
      <c r="I33" s="2" t="s">
        <v>9</v>
      </c>
      <c r="J33" s="4"/>
      <c r="K33" s="2">
        <v>6.7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7.9</v>
      </c>
      <c r="F34" s="5">
        <f t="shared" si="1"/>
        <v>0</v>
      </c>
      <c r="G34" s="2">
        <v>68</v>
      </c>
      <c r="H34" s="4" t="s">
        <v>191</v>
      </c>
      <c r="I34" s="2" t="s">
        <v>9</v>
      </c>
      <c r="J34" s="4"/>
      <c r="K34" s="2">
        <v>6.7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7</v>
      </c>
      <c r="F35" s="20">
        <f t="shared" si="1"/>
        <v>0</v>
      </c>
      <c r="G35" s="2">
        <v>69</v>
      </c>
      <c r="H35" s="4" t="s">
        <v>192</v>
      </c>
      <c r="I35" s="2" t="s">
        <v>9</v>
      </c>
      <c r="J35" s="4"/>
      <c r="K35" s="2">
        <v>4.8</v>
      </c>
      <c r="L35" s="5">
        <f>J35*K35</f>
        <v>0</v>
      </c>
    </row>
    <row r="36" spans="1:12" ht="13.15" customHeight="1">
      <c r="A36" s="2">
        <v>32</v>
      </c>
      <c r="B36" s="4" t="s">
        <v>193</v>
      </c>
      <c r="C36" s="2" t="s">
        <v>9</v>
      </c>
      <c r="D36" s="2"/>
      <c r="E36" s="5">
        <v>10.25</v>
      </c>
      <c r="F36" s="20">
        <f>D36*E36</f>
        <v>0</v>
      </c>
      <c r="G36" s="2">
        <v>70</v>
      </c>
      <c r="H36" s="4" t="s">
        <v>194</v>
      </c>
      <c r="I36" s="2" t="s">
        <v>9</v>
      </c>
      <c r="J36" s="4"/>
      <c r="K36" s="2">
        <v>7.25</v>
      </c>
      <c r="L36" s="5">
        <f>J36*K36</f>
        <v>0</v>
      </c>
    </row>
    <row r="37" spans="1:12" ht="13.15" customHeight="1">
      <c r="A37" s="2">
        <v>33</v>
      </c>
      <c r="B37" s="4" t="s">
        <v>195</v>
      </c>
      <c r="C37" s="2" t="s">
        <v>9</v>
      </c>
      <c r="D37" s="2"/>
      <c r="E37" s="5">
        <v>6</v>
      </c>
      <c r="F37" s="20">
        <f>D37*E37</f>
        <v>0</v>
      </c>
      <c r="G37" s="2">
        <v>71</v>
      </c>
      <c r="H37" s="4" t="s">
        <v>196</v>
      </c>
      <c r="I37" s="2" t="s">
        <v>9</v>
      </c>
      <c r="J37" s="4"/>
      <c r="K37" s="2">
        <v>5.4</v>
      </c>
      <c r="L37" s="5">
        <f>J37*K37</f>
        <v>0</v>
      </c>
    </row>
    <row r="38" spans="1:12" ht="13.15" customHeight="1">
      <c r="A38" s="2">
        <v>34</v>
      </c>
      <c r="B38" s="4"/>
      <c r="C38" s="2" t="s">
        <v>9</v>
      </c>
      <c r="D38" s="2"/>
      <c r="E38" s="5">
        <v>0</v>
      </c>
      <c r="F38" s="20">
        <f>D38*E38</f>
        <v>0</v>
      </c>
      <c r="G38" s="2">
        <v>72</v>
      </c>
      <c r="H38" s="4" t="s">
        <v>197</v>
      </c>
      <c r="I38" s="2" t="s">
        <v>9</v>
      </c>
      <c r="J38" s="4"/>
      <c r="K38" s="2">
        <v>8.5</v>
      </c>
      <c r="L38" s="5">
        <f>J38*K38</f>
        <v>0</v>
      </c>
    </row>
    <row r="39" spans="1:12" ht="13.15" customHeight="1">
      <c r="A39" s="2">
        <v>35</v>
      </c>
      <c r="B39" s="4" t="s">
        <v>198</v>
      </c>
      <c r="C39" s="2" t="s">
        <v>9</v>
      </c>
      <c r="D39" s="2"/>
      <c r="E39" s="5">
        <v>8.5</v>
      </c>
      <c r="F39" s="20">
        <f>D39*E39</f>
        <v>0</v>
      </c>
      <c r="G39" s="2">
        <v>73</v>
      </c>
      <c r="H39" s="4" t="s">
        <v>199</v>
      </c>
      <c r="I39" s="2" t="s">
        <v>9</v>
      </c>
      <c r="J39" s="4"/>
      <c r="K39" s="2">
        <v>6.7</v>
      </c>
      <c r="L39" s="5">
        <f>J39*K39</f>
        <v>0</v>
      </c>
    </row>
    <row r="40" spans="1:12" ht="13.15" customHeight="1">
      <c r="K40" t="s">
        <v>200</v>
      </c>
      <c r="L40" s="25">
        <f>F5+F6+F7+F8+F9+F10+F11+F12+F13+F14+F15+F16+F17+F18+F19+F20+F21+F22+F23+F24+F25+F26+F27+F28+F29+F30+F31+F32+F33+F34+F35+F36+F37+F38+F39+L2+L3+L4+L5+L6+L7+L8+L9+L10+L11+L12+L13+L14+L15+L16+L17+L18+L19+L20+L21+L22+L23+L24+L25+L26+L27+L28+L29+L30+L31+L32+L33+L34+L35+L36+L37+L38+L39</f>
        <v>0</v>
      </c>
    </row>
    <row r="42" spans="1:12" ht="13.15" customHeight="1">
      <c r="H42" t="s">
        <v>201</v>
      </c>
      <c r="J42" t="s">
        <v>202</v>
      </c>
    </row>
  </sheetData>
  <mergeCells count="4">
    <mergeCell ref="A1:C1"/>
    <mergeCell ref="D1:F1"/>
    <mergeCell ref="A2:F2"/>
    <mergeCell ref="A3:F3"/>
  </mergeCells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>
  <sheetPr codeName="Лист87"/>
  <dimension ref="A1:L42"/>
  <sheetViews>
    <sheetView topLeftCell="A22" workbookViewId="0">
      <selection activeCell="P51" sqref="P51"/>
    </sheetView>
  </sheetViews>
  <sheetFormatPr defaultRowHeight="13.15" customHeight="1"/>
  <cols>
    <col min="1" max="1" width="5" style="17" customWidth="1"/>
    <col min="2" max="2" width="30.28515625" customWidth="1"/>
    <col min="3" max="3" width="6.85546875" customWidth="1"/>
    <col min="4" max="4" width="6.5703125" customWidth="1"/>
    <col min="6" max="6" width="8.85546875" style="17"/>
    <col min="7" max="7" width="4.7109375" style="17" customWidth="1"/>
    <col min="8" max="8" width="24.7109375" customWidth="1"/>
    <col min="9" max="9" width="6.7109375" customWidth="1"/>
    <col min="10" max="10" width="7" customWidth="1"/>
    <col min="12" max="12" width="8.85546875" style="17"/>
  </cols>
  <sheetData>
    <row r="1" spans="1:12" ht="13.15" customHeight="1">
      <c r="A1" s="30" t="s">
        <v>147</v>
      </c>
      <c r="B1" s="30"/>
      <c r="C1" s="30"/>
      <c r="D1" s="31" t="s">
        <v>148</v>
      </c>
      <c r="E1" s="30"/>
      <c r="F1" s="30"/>
      <c r="G1" s="16"/>
      <c r="H1" s="2" t="s">
        <v>2</v>
      </c>
      <c r="I1" s="1" t="s">
        <v>3</v>
      </c>
      <c r="J1" s="2" t="s">
        <v>4</v>
      </c>
      <c r="K1" s="2" t="s">
        <v>149</v>
      </c>
      <c r="L1" s="2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150</v>
      </c>
      <c r="I2" s="2" t="s">
        <v>9</v>
      </c>
      <c r="J2" s="2"/>
      <c r="K2" s="5">
        <v>8.5</v>
      </c>
      <c r="L2" s="5">
        <f t="shared" ref="L2:L34" si="0"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151</v>
      </c>
      <c r="I3" s="2" t="s">
        <v>9</v>
      </c>
      <c r="J3" s="2"/>
      <c r="K3" s="5">
        <v>8.5</v>
      </c>
      <c r="L3" s="5">
        <f t="shared" si="0"/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152</v>
      </c>
      <c r="I4" s="2" t="s">
        <v>9</v>
      </c>
      <c r="J4" s="2"/>
      <c r="K4" s="5">
        <v>8.5</v>
      </c>
      <c r="L4" s="5">
        <f t="shared" si="0"/>
        <v>0</v>
      </c>
    </row>
    <row r="5" spans="1:12" ht="13.15" customHeight="1">
      <c r="A5" s="2">
        <v>1</v>
      </c>
      <c r="B5" s="4" t="s">
        <v>153</v>
      </c>
      <c r="C5" s="2" t="s">
        <v>9</v>
      </c>
      <c r="D5" s="2"/>
      <c r="E5" s="5">
        <v>8.8000000000000007</v>
      </c>
      <c r="F5" s="20">
        <f>D5*E5</f>
        <v>0</v>
      </c>
      <c r="G5" s="2">
        <v>39</v>
      </c>
      <c r="H5" s="4" t="s">
        <v>154</v>
      </c>
      <c r="I5" s="2" t="s">
        <v>9</v>
      </c>
      <c r="J5" s="2"/>
      <c r="K5" s="5">
        <v>8.5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5.7</v>
      </c>
      <c r="F6" s="20">
        <f t="shared" ref="F6:F35" si="1">D6*E6</f>
        <v>0</v>
      </c>
      <c r="G6" s="2">
        <v>40</v>
      </c>
      <c r="H6" s="4" t="s">
        <v>155</v>
      </c>
      <c r="I6" s="2" t="s">
        <v>9</v>
      </c>
      <c r="J6" s="2"/>
      <c r="K6" s="5">
        <v>8.5</v>
      </c>
      <c r="L6" s="5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6.3</v>
      </c>
      <c r="F7" s="20">
        <f t="shared" si="1"/>
        <v>0</v>
      </c>
      <c r="G7" s="2">
        <v>41</v>
      </c>
      <c r="H7" s="4" t="s">
        <v>157</v>
      </c>
      <c r="I7" s="2" t="s">
        <v>9</v>
      </c>
      <c r="J7" s="2"/>
      <c r="K7" s="5">
        <v>8.5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9</v>
      </c>
      <c r="F8" s="20">
        <f t="shared" si="1"/>
        <v>0</v>
      </c>
      <c r="G8" s="2">
        <v>42</v>
      </c>
      <c r="H8" s="4" t="s">
        <v>158</v>
      </c>
      <c r="I8" s="2" t="s">
        <v>9</v>
      </c>
      <c r="J8" s="2"/>
      <c r="K8" s="5">
        <v>3.3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5.8</v>
      </c>
      <c r="F9" s="20">
        <f t="shared" si="1"/>
        <v>0</v>
      </c>
      <c r="G9" s="2">
        <v>43</v>
      </c>
      <c r="H9" s="4" t="s">
        <v>159</v>
      </c>
      <c r="I9" s="2" t="s">
        <v>9</v>
      </c>
      <c r="J9" s="2"/>
      <c r="K9" s="5">
        <v>3.8</v>
      </c>
      <c r="L9" s="5">
        <f t="shared" si="0"/>
        <v>0</v>
      </c>
    </row>
    <row r="10" spans="1:12" ht="13.15" customHeight="1">
      <c r="A10" s="2">
        <v>6</v>
      </c>
      <c r="B10" s="4" t="s">
        <v>160</v>
      </c>
      <c r="C10" s="2" t="s">
        <v>9</v>
      </c>
      <c r="D10" s="2"/>
      <c r="E10" s="5">
        <v>7.4</v>
      </c>
      <c r="F10" s="20">
        <f t="shared" si="1"/>
        <v>0</v>
      </c>
      <c r="G10" s="2">
        <v>44</v>
      </c>
      <c r="H10" s="4" t="s">
        <v>13</v>
      </c>
      <c r="I10" s="2" t="s">
        <v>9</v>
      </c>
      <c r="J10" s="2"/>
      <c r="K10" s="5">
        <v>3.3</v>
      </c>
      <c r="L10" s="5">
        <f t="shared" si="0"/>
        <v>0</v>
      </c>
    </row>
    <row r="11" spans="1:12" ht="13.15" customHeight="1">
      <c r="A11" s="2">
        <v>7</v>
      </c>
      <c r="B11" s="4" t="s">
        <v>78</v>
      </c>
      <c r="C11" s="2" t="s">
        <v>9</v>
      </c>
      <c r="D11" s="2"/>
      <c r="E11" s="5">
        <v>8.1</v>
      </c>
      <c r="F11" s="20">
        <f t="shared" si="1"/>
        <v>0</v>
      </c>
      <c r="G11" s="2">
        <v>45</v>
      </c>
      <c r="H11" s="4" t="s">
        <v>17</v>
      </c>
      <c r="I11" s="2" t="s">
        <v>9</v>
      </c>
      <c r="J11" s="2"/>
      <c r="K11" s="5">
        <v>2.6</v>
      </c>
      <c r="L11" s="5">
        <f t="shared" si="0"/>
        <v>0</v>
      </c>
    </row>
    <row r="12" spans="1:12" ht="13.15" customHeight="1">
      <c r="A12" s="2">
        <v>8</v>
      </c>
      <c r="B12" s="4" t="s">
        <v>80</v>
      </c>
      <c r="C12" s="2" t="s">
        <v>9</v>
      </c>
      <c r="D12" s="2"/>
      <c r="E12" s="5">
        <v>5.4</v>
      </c>
      <c r="F12" s="20">
        <f t="shared" si="1"/>
        <v>0</v>
      </c>
      <c r="G12" s="2">
        <v>46</v>
      </c>
      <c r="H12" s="4" t="s">
        <v>161</v>
      </c>
      <c r="I12" s="2" t="s">
        <v>9</v>
      </c>
      <c r="J12" s="2"/>
      <c r="K12" s="5">
        <v>2.6</v>
      </c>
      <c r="L12" s="5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6.3</v>
      </c>
      <c r="F13" s="20">
        <f t="shared" si="1"/>
        <v>0</v>
      </c>
      <c r="G13" s="2">
        <v>47</v>
      </c>
      <c r="H13" s="4" t="s">
        <v>163</v>
      </c>
      <c r="I13" s="2" t="s">
        <v>9</v>
      </c>
      <c r="J13" s="2"/>
      <c r="K13" s="5">
        <v>4.2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6.9</v>
      </c>
      <c r="F14" s="20">
        <f t="shared" si="1"/>
        <v>0</v>
      </c>
      <c r="G14" s="2">
        <v>48</v>
      </c>
      <c r="H14" s="4" t="s">
        <v>164</v>
      </c>
      <c r="I14" s="2" t="s">
        <v>9</v>
      </c>
      <c r="J14" s="2"/>
      <c r="K14" s="5">
        <v>4.2</v>
      </c>
      <c r="L14" s="5">
        <f t="shared" si="0"/>
        <v>0</v>
      </c>
    </row>
    <row r="15" spans="1:12" ht="13.15" customHeight="1">
      <c r="A15" s="2">
        <v>11</v>
      </c>
      <c r="B15" s="4" t="s">
        <v>165</v>
      </c>
      <c r="C15" s="2" t="s">
        <v>9</v>
      </c>
      <c r="D15" s="2"/>
      <c r="E15" s="5">
        <v>5.2</v>
      </c>
      <c r="F15" s="20">
        <f t="shared" si="1"/>
        <v>0</v>
      </c>
      <c r="G15" s="2">
        <v>49</v>
      </c>
      <c r="H15" s="4" t="s">
        <v>166</v>
      </c>
      <c r="I15" s="2" t="s">
        <v>9</v>
      </c>
      <c r="J15" s="2"/>
      <c r="K15" s="5">
        <v>4.2</v>
      </c>
      <c r="L15" s="5">
        <f t="shared" si="0"/>
        <v>0</v>
      </c>
    </row>
    <row r="16" spans="1:12" ht="13.15" customHeight="1">
      <c r="A16" s="2">
        <v>12</v>
      </c>
      <c r="B16" s="4" t="s">
        <v>167</v>
      </c>
      <c r="C16" s="2" t="s">
        <v>9</v>
      </c>
      <c r="D16" s="2"/>
      <c r="E16" s="5">
        <v>7.2</v>
      </c>
      <c r="F16" s="20">
        <f>D16*E16</f>
        <v>0</v>
      </c>
      <c r="G16" s="2">
        <v>50</v>
      </c>
      <c r="H16" s="4" t="s">
        <v>168</v>
      </c>
      <c r="I16" s="2" t="s">
        <v>9</v>
      </c>
      <c r="J16" s="2"/>
      <c r="K16" s="5">
        <v>0</v>
      </c>
      <c r="L16" s="5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7.8</v>
      </c>
      <c r="F17" s="20">
        <f t="shared" si="1"/>
        <v>0</v>
      </c>
      <c r="G17" s="2">
        <v>51</v>
      </c>
      <c r="H17" s="4" t="s">
        <v>169</v>
      </c>
      <c r="I17" s="2" t="s">
        <v>9</v>
      </c>
      <c r="J17" s="2"/>
      <c r="K17" s="5">
        <v>4.2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5.4</v>
      </c>
      <c r="F18" s="20">
        <f t="shared" si="1"/>
        <v>0</v>
      </c>
      <c r="G18" s="2">
        <v>52</v>
      </c>
      <c r="H18" s="4" t="s">
        <v>170</v>
      </c>
      <c r="I18" s="2" t="s">
        <v>9</v>
      </c>
      <c r="J18" s="2"/>
      <c r="K18" s="5">
        <v>3.8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</v>
      </c>
      <c r="F19" s="20">
        <f t="shared" si="1"/>
        <v>0</v>
      </c>
      <c r="G19" s="2">
        <v>53</v>
      </c>
      <c r="H19" s="4" t="s">
        <v>171</v>
      </c>
      <c r="I19" s="2" t="s">
        <v>9</v>
      </c>
      <c r="J19" s="2"/>
      <c r="K19" s="5">
        <v>3.8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3</v>
      </c>
      <c r="F20" s="20">
        <f t="shared" si="1"/>
        <v>0</v>
      </c>
      <c r="G20" s="2">
        <v>54</v>
      </c>
      <c r="H20" s="4" t="s">
        <v>172</v>
      </c>
      <c r="I20" s="2" t="s">
        <v>9</v>
      </c>
      <c r="J20" s="2"/>
      <c r="K20" s="5">
        <v>3.8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1.7</v>
      </c>
      <c r="F21" s="20">
        <f t="shared" si="1"/>
        <v>0</v>
      </c>
      <c r="G21" s="2">
        <v>55</v>
      </c>
      <c r="H21" s="4" t="s">
        <v>173</v>
      </c>
      <c r="I21" s="2" t="s">
        <v>9</v>
      </c>
      <c r="J21" s="2"/>
      <c r="K21" s="5">
        <v>3.8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7.5</v>
      </c>
      <c r="F22" s="20">
        <f t="shared" si="1"/>
        <v>0</v>
      </c>
      <c r="G22" s="2">
        <v>56</v>
      </c>
      <c r="H22" s="4" t="s">
        <v>174</v>
      </c>
      <c r="I22" s="2" t="s">
        <v>9</v>
      </c>
      <c r="J22" s="2"/>
      <c r="K22" s="5">
        <v>10</v>
      </c>
      <c r="L22" s="5">
        <f t="shared" si="0"/>
        <v>0</v>
      </c>
    </row>
    <row r="23" spans="1:12" ht="13.15" customHeight="1">
      <c r="A23" s="2">
        <v>19</v>
      </c>
      <c r="B23" s="4" t="s">
        <v>175</v>
      </c>
      <c r="C23" s="2" t="s">
        <v>9</v>
      </c>
      <c r="D23" s="2"/>
      <c r="E23" s="5">
        <v>8</v>
      </c>
      <c r="F23" s="20">
        <f t="shared" si="1"/>
        <v>0</v>
      </c>
      <c r="G23" s="2">
        <v>57</v>
      </c>
      <c r="H23" s="4" t="s">
        <v>176</v>
      </c>
      <c r="I23" s="2" t="s">
        <v>9</v>
      </c>
      <c r="J23" s="4"/>
      <c r="K23" s="2">
        <v>8.8000000000000007</v>
      </c>
      <c r="L23" s="5">
        <f t="shared" si="0"/>
        <v>0</v>
      </c>
    </row>
    <row r="24" spans="1:12" ht="13.15" customHeight="1">
      <c r="A24" s="2">
        <v>20</v>
      </c>
      <c r="B24" s="4" t="s">
        <v>177</v>
      </c>
      <c r="C24" s="2" t="s">
        <v>9</v>
      </c>
      <c r="D24" s="2"/>
      <c r="E24" s="5">
        <v>8.4</v>
      </c>
      <c r="F24" s="20">
        <f t="shared" si="1"/>
        <v>0</v>
      </c>
      <c r="G24" s="2">
        <v>58</v>
      </c>
      <c r="H24" s="4" t="s">
        <v>178</v>
      </c>
      <c r="I24" s="2" t="s">
        <v>9</v>
      </c>
      <c r="J24" s="4"/>
      <c r="K24" s="2">
        <v>7.2</v>
      </c>
      <c r="L24" s="5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8.8000000000000007</v>
      </c>
      <c r="F25" s="20">
        <f t="shared" si="1"/>
        <v>0</v>
      </c>
      <c r="G25" s="2">
        <v>59</v>
      </c>
      <c r="H25" s="4" t="s">
        <v>179</v>
      </c>
      <c r="I25" s="2" t="s">
        <v>9</v>
      </c>
      <c r="J25" s="4"/>
      <c r="K25" s="2">
        <v>8.5</v>
      </c>
      <c r="L25" s="5">
        <f t="shared" si="0"/>
        <v>0</v>
      </c>
    </row>
    <row r="26" spans="1:12" ht="13.15" customHeight="1">
      <c r="A26" s="2">
        <v>22</v>
      </c>
      <c r="B26" s="4" t="s">
        <v>180</v>
      </c>
      <c r="C26" s="2" t="s">
        <v>9</v>
      </c>
      <c r="D26" s="2"/>
      <c r="E26" s="5">
        <v>6</v>
      </c>
      <c r="F26" s="20">
        <f t="shared" si="1"/>
        <v>0</v>
      </c>
      <c r="G26" s="2">
        <v>60</v>
      </c>
      <c r="H26" s="4" t="s">
        <v>131</v>
      </c>
      <c r="I26" s="2" t="s">
        <v>9</v>
      </c>
      <c r="J26" s="4"/>
      <c r="K26" s="2">
        <v>4.2</v>
      </c>
      <c r="L26" s="5">
        <f t="shared" si="0"/>
        <v>0</v>
      </c>
    </row>
    <row r="27" spans="1:12" ht="13.15" customHeight="1">
      <c r="A27" s="2">
        <v>23</v>
      </c>
      <c r="B27" s="4" t="s">
        <v>181</v>
      </c>
      <c r="C27" s="2" t="s">
        <v>9</v>
      </c>
      <c r="D27" s="2"/>
      <c r="E27" s="5">
        <v>3.8</v>
      </c>
      <c r="F27" s="20">
        <f t="shared" si="1"/>
        <v>0</v>
      </c>
      <c r="G27" s="2">
        <v>61</v>
      </c>
      <c r="H27" s="4" t="s">
        <v>182</v>
      </c>
      <c r="I27" s="2" t="s">
        <v>9</v>
      </c>
      <c r="J27" s="4"/>
      <c r="K27" s="2">
        <v>13.5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6.3</v>
      </c>
      <c r="F28" s="20">
        <f t="shared" si="1"/>
        <v>0</v>
      </c>
      <c r="G28" s="2">
        <v>62</v>
      </c>
      <c r="H28" s="4" t="s">
        <v>183</v>
      </c>
      <c r="I28" s="2" t="s">
        <v>9</v>
      </c>
      <c r="J28" s="4"/>
      <c r="K28" s="2">
        <v>12.8</v>
      </c>
      <c r="L28" s="5">
        <f t="shared" si="0"/>
        <v>0</v>
      </c>
    </row>
    <row r="29" spans="1:12" ht="13.15" customHeight="1">
      <c r="A29" s="2">
        <v>25</v>
      </c>
      <c r="B29" s="4" t="s">
        <v>184</v>
      </c>
      <c r="C29" s="2" t="s">
        <v>9</v>
      </c>
      <c r="D29" s="2"/>
      <c r="E29" s="5">
        <v>7.7</v>
      </c>
      <c r="F29" s="20">
        <f t="shared" si="1"/>
        <v>0</v>
      </c>
      <c r="G29" s="2">
        <v>63</v>
      </c>
      <c r="H29" s="4" t="s">
        <v>185</v>
      </c>
      <c r="I29" s="2" t="s">
        <v>9</v>
      </c>
      <c r="J29" s="4"/>
      <c r="K29" s="2">
        <v>8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6.2</v>
      </c>
      <c r="F30" s="5">
        <f t="shared" si="1"/>
        <v>0</v>
      </c>
      <c r="G30" s="2">
        <v>64</v>
      </c>
      <c r="H30" s="4" t="s">
        <v>186</v>
      </c>
      <c r="I30" s="2" t="s">
        <v>9</v>
      </c>
      <c r="J30" s="4"/>
      <c r="K30" s="2">
        <v>7.25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7</v>
      </c>
      <c r="F31" s="5">
        <f t="shared" si="1"/>
        <v>0</v>
      </c>
      <c r="G31" s="2">
        <v>65</v>
      </c>
      <c r="H31" s="4" t="s">
        <v>187</v>
      </c>
      <c r="I31" s="2" t="s">
        <v>9</v>
      </c>
      <c r="J31" s="4"/>
      <c r="K31" s="2">
        <v>10.8</v>
      </c>
      <c r="L31" s="5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10</v>
      </c>
      <c r="F32" s="20">
        <f t="shared" si="1"/>
        <v>0</v>
      </c>
      <c r="G32" s="2">
        <v>66</v>
      </c>
      <c r="H32" s="4" t="s">
        <v>188</v>
      </c>
      <c r="I32" s="2" t="s">
        <v>9</v>
      </c>
      <c r="J32" s="4"/>
      <c r="K32" s="2">
        <v>3.8</v>
      </c>
      <c r="L32" s="5">
        <f t="shared" si="0"/>
        <v>0</v>
      </c>
    </row>
    <row r="33" spans="1:12" ht="13.15" customHeight="1">
      <c r="A33" s="2">
        <v>29</v>
      </c>
      <c r="B33" s="4" t="s">
        <v>189</v>
      </c>
      <c r="C33" s="2" t="s">
        <v>9</v>
      </c>
      <c r="D33" s="2"/>
      <c r="E33" s="5">
        <v>1.5</v>
      </c>
      <c r="F33" s="5">
        <f t="shared" si="1"/>
        <v>0</v>
      </c>
      <c r="G33" s="2">
        <v>67</v>
      </c>
      <c r="H33" s="4" t="s">
        <v>190</v>
      </c>
      <c r="I33" s="2" t="s">
        <v>9</v>
      </c>
      <c r="J33" s="4"/>
      <c r="K33" s="2">
        <v>6.7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7.9</v>
      </c>
      <c r="F34" s="5">
        <f t="shared" si="1"/>
        <v>0</v>
      </c>
      <c r="G34" s="2">
        <v>68</v>
      </c>
      <c r="H34" s="4" t="s">
        <v>191</v>
      </c>
      <c r="I34" s="2" t="s">
        <v>9</v>
      </c>
      <c r="J34" s="4"/>
      <c r="K34" s="2">
        <v>6.7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7</v>
      </c>
      <c r="F35" s="20">
        <f t="shared" si="1"/>
        <v>0</v>
      </c>
      <c r="G35" s="2">
        <v>69</v>
      </c>
      <c r="H35" s="4" t="s">
        <v>192</v>
      </c>
      <c r="I35" s="2" t="s">
        <v>9</v>
      </c>
      <c r="J35" s="4"/>
      <c r="K35" s="2">
        <v>4.8</v>
      </c>
      <c r="L35" s="5">
        <f>J35*K35</f>
        <v>0</v>
      </c>
    </row>
    <row r="36" spans="1:12" ht="13.15" customHeight="1">
      <c r="A36" s="2">
        <v>32</v>
      </c>
      <c r="B36" s="4" t="s">
        <v>193</v>
      </c>
      <c r="C36" s="2" t="s">
        <v>9</v>
      </c>
      <c r="D36" s="2"/>
      <c r="E36" s="5">
        <v>10.25</v>
      </c>
      <c r="F36" s="20">
        <f>D36*E36</f>
        <v>0</v>
      </c>
      <c r="G36" s="2">
        <v>70</v>
      </c>
      <c r="H36" s="4" t="s">
        <v>194</v>
      </c>
      <c r="I36" s="2" t="s">
        <v>9</v>
      </c>
      <c r="J36" s="4"/>
      <c r="K36" s="2">
        <v>7.25</v>
      </c>
      <c r="L36" s="5">
        <f>J36*K36</f>
        <v>0</v>
      </c>
    </row>
    <row r="37" spans="1:12" ht="13.15" customHeight="1">
      <c r="A37" s="2">
        <v>33</v>
      </c>
      <c r="B37" s="4" t="s">
        <v>195</v>
      </c>
      <c r="C37" s="2" t="s">
        <v>9</v>
      </c>
      <c r="D37" s="2"/>
      <c r="E37" s="5">
        <v>6</v>
      </c>
      <c r="F37" s="20">
        <f>D37*E37</f>
        <v>0</v>
      </c>
      <c r="G37" s="2">
        <v>71</v>
      </c>
      <c r="H37" s="4" t="s">
        <v>196</v>
      </c>
      <c r="I37" s="2" t="s">
        <v>9</v>
      </c>
      <c r="J37" s="4"/>
      <c r="K37" s="2">
        <v>5.4</v>
      </c>
      <c r="L37" s="5">
        <f>J37*K37</f>
        <v>0</v>
      </c>
    </row>
    <row r="38" spans="1:12" ht="13.15" customHeight="1">
      <c r="A38" s="2">
        <v>34</v>
      </c>
      <c r="B38" s="4"/>
      <c r="C38" s="2" t="s">
        <v>9</v>
      </c>
      <c r="D38" s="2"/>
      <c r="E38" s="5">
        <v>0</v>
      </c>
      <c r="F38" s="20">
        <f>D38*E38</f>
        <v>0</v>
      </c>
      <c r="G38" s="2">
        <v>72</v>
      </c>
      <c r="H38" s="4" t="s">
        <v>197</v>
      </c>
      <c r="I38" s="2" t="s">
        <v>9</v>
      </c>
      <c r="J38" s="4"/>
      <c r="K38" s="2">
        <v>8.5</v>
      </c>
      <c r="L38" s="5">
        <f>J38*K38</f>
        <v>0</v>
      </c>
    </row>
    <row r="39" spans="1:12" ht="13.15" customHeight="1">
      <c r="A39" s="2">
        <v>35</v>
      </c>
      <c r="B39" s="4" t="s">
        <v>198</v>
      </c>
      <c r="C39" s="2" t="s">
        <v>9</v>
      </c>
      <c r="D39" s="2"/>
      <c r="E39" s="5">
        <v>8.5</v>
      </c>
      <c r="F39" s="20">
        <f>D39*E39</f>
        <v>0</v>
      </c>
      <c r="G39" s="2">
        <v>73</v>
      </c>
      <c r="H39" s="4" t="s">
        <v>199</v>
      </c>
      <c r="I39" s="2" t="s">
        <v>9</v>
      </c>
      <c r="J39" s="4"/>
      <c r="K39" s="2">
        <v>6.7</v>
      </c>
      <c r="L39" s="5">
        <f>J39*K39</f>
        <v>0</v>
      </c>
    </row>
    <row r="40" spans="1:12" ht="13.15" customHeight="1">
      <c r="K40" t="s">
        <v>200</v>
      </c>
      <c r="L40" s="25">
        <f>F5+F6+F7+F8+F9+F10+F11+F12+F13+F14+F15+F16+F17+F18+F19+F20+F21+F22+F23+F24+F25+F26+F27+F28+F29+F30+F31+F32+F33+F34+F35+F36+F37+F38+F39+L2+L3+L4+L5+L6+L7+L8+L9+L10+L11+L12+L13+L14+L15+L16+L17+L18+L19+L20+L21+L22+L23+L24+L25+L26+L27+L28+L29+L30+L31+L32+L33+L34+L35+L36+L37+L38+L39</f>
        <v>0</v>
      </c>
    </row>
    <row r="42" spans="1:12" ht="13.15" customHeight="1">
      <c r="H42" t="s">
        <v>201</v>
      </c>
      <c r="J42" t="s">
        <v>202</v>
      </c>
    </row>
  </sheetData>
  <mergeCells count="4">
    <mergeCell ref="A1:C1"/>
    <mergeCell ref="D1:F1"/>
    <mergeCell ref="A2:F2"/>
    <mergeCell ref="A3:F3"/>
  </mergeCells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>
  <sheetPr codeName="Лист88"/>
  <dimension ref="A1:L42"/>
  <sheetViews>
    <sheetView topLeftCell="A22" workbookViewId="0">
      <selection activeCell="N51" sqref="N51"/>
    </sheetView>
  </sheetViews>
  <sheetFormatPr defaultRowHeight="13.15" customHeight="1"/>
  <cols>
    <col min="1" max="1" width="5" style="17" customWidth="1"/>
    <col min="2" max="2" width="30.28515625" customWidth="1"/>
    <col min="3" max="3" width="6.85546875" customWidth="1"/>
    <col min="4" max="4" width="6.5703125" customWidth="1"/>
    <col min="6" max="6" width="8.85546875" style="17"/>
    <col min="7" max="7" width="4.7109375" style="17" customWidth="1"/>
    <col min="8" max="8" width="24.7109375" customWidth="1"/>
    <col min="9" max="9" width="6.7109375" customWidth="1"/>
    <col min="10" max="10" width="7" customWidth="1"/>
    <col min="12" max="12" width="8.85546875" style="17"/>
  </cols>
  <sheetData>
    <row r="1" spans="1:12" ht="13.15" customHeight="1">
      <c r="A1" s="30" t="s">
        <v>147</v>
      </c>
      <c r="B1" s="30"/>
      <c r="C1" s="30"/>
      <c r="D1" s="31" t="s">
        <v>148</v>
      </c>
      <c r="E1" s="30"/>
      <c r="F1" s="30"/>
      <c r="G1" s="16"/>
      <c r="H1" s="2" t="s">
        <v>2</v>
      </c>
      <c r="I1" s="1" t="s">
        <v>3</v>
      </c>
      <c r="J1" s="2" t="s">
        <v>4</v>
      </c>
      <c r="K1" s="2" t="s">
        <v>149</v>
      </c>
      <c r="L1" s="2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150</v>
      </c>
      <c r="I2" s="2" t="s">
        <v>9</v>
      </c>
      <c r="J2" s="2"/>
      <c r="K2" s="5">
        <v>8.5</v>
      </c>
      <c r="L2" s="5">
        <f t="shared" ref="L2:L34" si="0"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151</v>
      </c>
      <c r="I3" s="2" t="s">
        <v>9</v>
      </c>
      <c r="J3" s="2"/>
      <c r="K3" s="5">
        <v>8.5</v>
      </c>
      <c r="L3" s="5">
        <f t="shared" si="0"/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152</v>
      </c>
      <c r="I4" s="2" t="s">
        <v>9</v>
      </c>
      <c r="J4" s="2"/>
      <c r="K4" s="5">
        <v>8.5</v>
      </c>
      <c r="L4" s="5">
        <f t="shared" si="0"/>
        <v>0</v>
      </c>
    </row>
    <row r="5" spans="1:12" ht="13.15" customHeight="1">
      <c r="A5" s="2">
        <v>1</v>
      </c>
      <c r="B5" s="4" t="s">
        <v>153</v>
      </c>
      <c r="C5" s="2" t="s">
        <v>9</v>
      </c>
      <c r="D5" s="2"/>
      <c r="E5" s="5">
        <v>8.8000000000000007</v>
      </c>
      <c r="F5" s="20">
        <f>D5*E5</f>
        <v>0</v>
      </c>
      <c r="G5" s="2">
        <v>39</v>
      </c>
      <c r="H5" s="4" t="s">
        <v>154</v>
      </c>
      <c r="I5" s="2" t="s">
        <v>9</v>
      </c>
      <c r="J5" s="2"/>
      <c r="K5" s="5">
        <v>8.5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5.7</v>
      </c>
      <c r="F6" s="20">
        <f t="shared" ref="F6:F35" si="1">D6*E6</f>
        <v>0</v>
      </c>
      <c r="G6" s="2">
        <v>40</v>
      </c>
      <c r="H6" s="4" t="s">
        <v>155</v>
      </c>
      <c r="I6" s="2" t="s">
        <v>9</v>
      </c>
      <c r="J6" s="2"/>
      <c r="K6" s="5">
        <v>8.5</v>
      </c>
      <c r="L6" s="5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6.3</v>
      </c>
      <c r="F7" s="20">
        <f t="shared" si="1"/>
        <v>0</v>
      </c>
      <c r="G7" s="2">
        <v>41</v>
      </c>
      <c r="H7" s="4" t="s">
        <v>157</v>
      </c>
      <c r="I7" s="2" t="s">
        <v>9</v>
      </c>
      <c r="J7" s="2"/>
      <c r="K7" s="5">
        <v>8.5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9</v>
      </c>
      <c r="F8" s="20">
        <f t="shared" si="1"/>
        <v>0</v>
      </c>
      <c r="G8" s="2">
        <v>42</v>
      </c>
      <c r="H8" s="4" t="s">
        <v>158</v>
      </c>
      <c r="I8" s="2" t="s">
        <v>9</v>
      </c>
      <c r="J8" s="2"/>
      <c r="K8" s="5">
        <v>3.3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5.8</v>
      </c>
      <c r="F9" s="20">
        <f t="shared" si="1"/>
        <v>0</v>
      </c>
      <c r="G9" s="2">
        <v>43</v>
      </c>
      <c r="H9" s="4" t="s">
        <v>159</v>
      </c>
      <c r="I9" s="2" t="s">
        <v>9</v>
      </c>
      <c r="J9" s="2"/>
      <c r="K9" s="5">
        <v>3.8</v>
      </c>
      <c r="L9" s="5">
        <f t="shared" si="0"/>
        <v>0</v>
      </c>
    </row>
    <row r="10" spans="1:12" ht="13.15" customHeight="1">
      <c r="A10" s="2">
        <v>6</v>
      </c>
      <c r="B10" s="4" t="s">
        <v>160</v>
      </c>
      <c r="C10" s="2" t="s">
        <v>9</v>
      </c>
      <c r="D10" s="2"/>
      <c r="E10" s="5">
        <v>7.4</v>
      </c>
      <c r="F10" s="20">
        <f t="shared" si="1"/>
        <v>0</v>
      </c>
      <c r="G10" s="2">
        <v>44</v>
      </c>
      <c r="H10" s="4" t="s">
        <v>13</v>
      </c>
      <c r="I10" s="2" t="s">
        <v>9</v>
      </c>
      <c r="J10" s="2"/>
      <c r="K10" s="5">
        <v>3.3</v>
      </c>
      <c r="L10" s="5">
        <f t="shared" si="0"/>
        <v>0</v>
      </c>
    </row>
    <row r="11" spans="1:12" ht="13.15" customHeight="1">
      <c r="A11" s="2">
        <v>7</v>
      </c>
      <c r="B11" s="4" t="s">
        <v>78</v>
      </c>
      <c r="C11" s="2" t="s">
        <v>9</v>
      </c>
      <c r="D11" s="2"/>
      <c r="E11" s="5">
        <v>8.1</v>
      </c>
      <c r="F11" s="20">
        <f t="shared" si="1"/>
        <v>0</v>
      </c>
      <c r="G11" s="2">
        <v>45</v>
      </c>
      <c r="H11" s="4" t="s">
        <v>17</v>
      </c>
      <c r="I11" s="2" t="s">
        <v>9</v>
      </c>
      <c r="J11" s="2"/>
      <c r="K11" s="5">
        <v>2.6</v>
      </c>
      <c r="L11" s="5">
        <f t="shared" si="0"/>
        <v>0</v>
      </c>
    </row>
    <row r="12" spans="1:12" ht="13.15" customHeight="1">
      <c r="A12" s="2">
        <v>8</v>
      </c>
      <c r="B12" s="4" t="s">
        <v>80</v>
      </c>
      <c r="C12" s="2" t="s">
        <v>9</v>
      </c>
      <c r="D12" s="2"/>
      <c r="E12" s="5">
        <v>5.4</v>
      </c>
      <c r="F12" s="20">
        <f t="shared" si="1"/>
        <v>0</v>
      </c>
      <c r="G12" s="2">
        <v>46</v>
      </c>
      <c r="H12" s="4" t="s">
        <v>161</v>
      </c>
      <c r="I12" s="2" t="s">
        <v>9</v>
      </c>
      <c r="J12" s="2"/>
      <c r="K12" s="5">
        <v>2.6</v>
      </c>
      <c r="L12" s="5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6.3</v>
      </c>
      <c r="F13" s="20">
        <f t="shared" si="1"/>
        <v>0</v>
      </c>
      <c r="G13" s="2">
        <v>47</v>
      </c>
      <c r="H13" s="4" t="s">
        <v>163</v>
      </c>
      <c r="I13" s="2" t="s">
        <v>9</v>
      </c>
      <c r="J13" s="2"/>
      <c r="K13" s="5">
        <v>4.2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6.9</v>
      </c>
      <c r="F14" s="20">
        <f t="shared" si="1"/>
        <v>0</v>
      </c>
      <c r="G14" s="2">
        <v>48</v>
      </c>
      <c r="H14" s="4" t="s">
        <v>164</v>
      </c>
      <c r="I14" s="2" t="s">
        <v>9</v>
      </c>
      <c r="J14" s="2"/>
      <c r="K14" s="5">
        <v>4.2</v>
      </c>
      <c r="L14" s="5">
        <f t="shared" si="0"/>
        <v>0</v>
      </c>
    </row>
    <row r="15" spans="1:12" ht="13.15" customHeight="1">
      <c r="A15" s="2">
        <v>11</v>
      </c>
      <c r="B15" s="4" t="s">
        <v>165</v>
      </c>
      <c r="C15" s="2" t="s">
        <v>9</v>
      </c>
      <c r="D15" s="2"/>
      <c r="E15" s="5">
        <v>5.2</v>
      </c>
      <c r="F15" s="20">
        <f t="shared" si="1"/>
        <v>0</v>
      </c>
      <c r="G15" s="2">
        <v>49</v>
      </c>
      <c r="H15" s="4" t="s">
        <v>166</v>
      </c>
      <c r="I15" s="2" t="s">
        <v>9</v>
      </c>
      <c r="J15" s="2"/>
      <c r="K15" s="5">
        <v>4.2</v>
      </c>
      <c r="L15" s="5">
        <f t="shared" si="0"/>
        <v>0</v>
      </c>
    </row>
    <row r="16" spans="1:12" ht="13.15" customHeight="1">
      <c r="A16" s="2">
        <v>12</v>
      </c>
      <c r="B16" s="4" t="s">
        <v>167</v>
      </c>
      <c r="C16" s="2" t="s">
        <v>9</v>
      </c>
      <c r="D16" s="2"/>
      <c r="E16" s="5">
        <v>7.2</v>
      </c>
      <c r="F16" s="20">
        <f>D16*E16</f>
        <v>0</v>
      </c>
      <c r="G16" s="2">
        <v>50</v>
      </c>
      <c r="H16" s="4" t="s">
        <v>168</v>
      </c>
      <c r="I16" s="2" t="s">
        <v>9</v>
      </c>
      <c r="J16" s="2"/>
      <c r="K16" s="5">
        <v>0</v>
      </c>
      <c r="L16" s="5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7.8</v>
      </c>
      <c r="F17" s="20">
        <f t="shared" si="1"/>
        <v>0</v>
      </c>
      <c r="G17" s="2">
        <v>51</v>
      </c>
      <c r="H17" s="4" t="s">
        <v>169</v>
      </c>
      <c r="I17" s="2" t="s">
        <v>9</v>
      </c>
      <c r="J17" s="2"/>
      <c r="K17" s="5">
        <v>4.2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5.4</v>
      </c>
      <c r="F18" s="20">
        <f t="shared" si="1"/>
        <v>0</v>
      </c>
      <c r="G18" s="2">
        <v>52</v>
      </c>
      <c r="H18" s="4" t="s">
        <v>170</v>
      </c>
      <c r="I18" s="2" t="s">
        <v>9</v>
      </c>
      <c r="J18" s="2"/>
      <c r="K18" s="5">
        <v>3.8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</v>
      </c>
      <c r="F19" s="20">
        <f t="shared" si="1"/>
        <v>0</v>
      </c>
      <c r="G19" s="2">
        <v>53</v>
      </c>
      <c r="H19" s="4" t="s">
        <v>171</v>
      </c>
      <c r="I19" s="2" t="s">
        <v>9</v>
      </c>
      <c r="J19" s="2"/>
      <c r="K19" s="5">
        <v>3.8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3</v>
      </c>
      <c r="F20" s="20">
        <f t="shared" si="1"/>
        <v>0</v>
      </c>
      <c r="G20" s="2">
        <v>54</v>
      </c>
      <c r="H20" s="4" t="s">
        <v>172</v>
      </c>
      <c r="I20" s="2" t="s">
        <v>9</v>
      </c>
      <c r="J20" s="2"/>
      <c r="K20" s="5">
        <v>3.8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1.7</v>
      </c>
      <c r="F21" s="20">
        <f t="shared" si="1"/>
        <v>0</v>
      </c>
      <c r="G21" s="2">
        <v>55</v>
      </c>
      <c r="H21" s="4" t="s">
        <v>173</v>
      </c>
      <c r="I21" s="2" t="s">
        <v>9</v>
      </c>
      <c r="J21" s="2"/>
      <c r="K21" s="5">
        <v>3.8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7.5</v>
      </c>
      <c r="F22" s="20">
        <f t="shared" si="1"/>
        <v>0</v>
      </c>
      <c r="G22" s="2">
        <v>56</v>
      </c>
      <c r="H22" s="4" t="s">
        <v>174</v>
      </c>
      <c r="I22" s="2" t="s">
        <v>9</v>
      </c>
      <c r="J22" s="2"/>
      <c r="K22" s="5">
        <v>10</v>
      </c>
      <c r="L22" s="5">
        <f t="shared" si="0"/>
        <v>0</v>
      </c>
    </row>
    <row r="23" spans="1:12" ht="13.15" customHeight="1">
      <c r="A23" s="2">
        <v>19</v>
      </c>
      <c r="B23" s="4" t="s">
        <v>175</v>
      </c>
      <c r="C23" s="2" t="s">
        <v>9</v>
      </c>
      <c r="D23" s="2"/>
      <c r="E23" s="5">
        <v>8</v>
      </c>
      <c r="F23" s="20">
        <f t="shared" si="1"/>
        <v>0</v>
      </c>
      <c r="G23" s="2">
        <v>57</v>
      </c>
      <c r="H23" s="4" t="s">
        <v>176</v>
      </c>
      <c r="I23" s="2" t="s">
        <v>9</v>
      </c>
      <c r="J23" s="4"/>
      <c r="K23" s="2">
        <v>8.8000000000000007</v>
      </c>
      <c r="L23" s="5">
        <f t="shared" si="0"/>
        <v>0</v>
      </c>
    </row>
    <row r="24" spans="1:12" ht="13.15" customHeight="1">
      <c r="A24" s="2">
        <v>20</v>
      </c>
      <c r="B24" s="4" t="s">
        <v>177</v>
      </c>
      <c r="C24" s="2" t="s">
        <v>9</v>
      </c>
      <c r="D24" s="2"/>
      <c r="E24" s="5">
        <v>8.4</v>
      </c>
      <c r="F24" s="20">
        <f t="shared" si="1"/>
        <v>0</v>
      </c>
      <c r="G24" s="2">
        <v>58</v>
      </c>
      <c r="H24" s="4" t="s">
        <v>178</v>
      </c>
      <c r="I24" s="2" t="s">
        <v>9</v>
      </c>
      <c r="J24" s="4"/>
      <c r="K24" s="2">
        <v>7.2</v>
      </c>
      <c r="L24" s="5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8.8000000000000007</v>
      </c>
      <c r="F25" s="20">
        <f t="shared" si="1"/>
        <v>0</v>
      </c>
      <c r="G25" s="2">
        <v>59</v>
      </c>
      <c r="H25" s="4" t="s">
        <v>179</v>
      </c>
      <c r="I25" s="2" t="s">
        <v>9</v>
      </c>
      <c r="J25" s="4"/>
      <c r="K25" s="2">
        <v>8.5</v>
      </c>
      <c r="L25" s="5">
        <f t="shared" si="0"/>
        <v>0</v>
      </c>
    </row>
    <row r="26" spans="1:12" ht="13.15" customHeight="1">
      <c r="A26" s="2">
        <v>22</v>
      </c>
      <c r="B26" s="4" t="s">
        <v>180</v>
      </c>
      <c r="C26" s="2" t="s">
        <v>9</v>
      </c>
      <c r="D26" s="2"/>
      <c r="E26" s="5">
        <v>6</v>
      </c>
      <c r="F26" s="20">
        <f t="shared" si="1"/>
        <v>0</v>
      </c>
      <c r="G26" s="2">
        <v>60</v>
      </c>
      <c r="H26" s="4" t="s">
        <v>131</v>
      </c>
      <c r="I26" s="2" t="s">
        <v>9</v>
      </c>
      <c r="J26" s="4"/>
      <c r="K26" s="2">
        <v>4.2</v>
      </c>
      <c r="L26" s="5">
        <f t="shared" si="0"/>
        <v>0</v>
      </c>
    </row>
    <row r="27" spans="1:12" ht="13.15" customHeight="1">
      <c r="A27" s="2">
        <v>23</v>
      </c>
      <c r="B27" s="4" t="s">
        <v>181</v>
      </c>
      <c r="C27" s="2" t="s">
        <v>9</v>
      </c>
      <c r="D27" s="2"/>
      <c r="E27" s="5">
        <v>3.8</v>
      </c>
      <c r="F27" s="20">
        <f t="shared" si="1"/>
        <v>0</v>
      </c>
      <c r="G27" s="2">
        <v>61</v>
      </c>
      <c r="H27" s="4" t="s">
        <v>182</v>
      </c>
      <c r="I27" s="2" t="s">
        <v>9</v>
      </c>
      <c r="J27" s="4"/>
      <c r="K27" s="2">
        <v>13.5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6.3</v>
      </c>
      <c r="F28" s="20">
        <f t="shared" si="1"/>
        <v>0</v>
      </c>
      <c r="G28" s="2">
        <v>62</v>
      </c>
      <c r="H28" s="4" t="s">
        <v>183</v>
      </c>
      <c r="I28" s="2" t="s">
        <v>9</v>
      </c>
      <c r="J28" s="4"/>
      <c r="K28" s="2">
        <v>12.8</v>
      </c>
      <c r="L28" s="5">
        <f t="shared" si="0"/>
        <v>0</v>
      </c>
    </row>
    <row r="29" spans="1:12" ht="13.15" customHeight="1">
      <c r="A29" s="2">
        <v>25</v>
      </c>
      <c r="B29" s="4" t="s">
        <v>184</v>
      </c>
      <c r="C29" s="2" t="s">
        <v>9</v>
      </c>
      <c r="D29" s="2"/>
      <c r="E29" s="5">
        <v>7.7</v>
      </c>
      <c r="F29" s="20">
        <f t="shared" si="1"/>
        <v>0</v>
      </c>
      <c r="G29" s="2">
        <v>63</v>
      </c>
      <c r="H29" s="4" t="s">
        <v>185</v>
      </c>
      <c r="I29" s="2" t="s">
        <v>9</v>
      </c>
      <c r="J29" s="4"/>
      <c r="K29" s="2">
        <v>8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6.2</v>
      </c>
      <c r="F30" s="5">
        <f t="shared" si="1"/>
        <v>0</v>
      </c>
      <c r="G30" s="2">
        <v>64</v>
      </c>
      <c r="H30" s="4" t="s">
        <v>186</v>
      </c>
      <c r="I30" s="2" t="s">
        <v>9</v>
      </c>
      <c r="J30" s="4"/>
      <c r="K30" s="2">
        <v>7.25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7</v>
      </c>
      <c r="F31" s="5">
        <f t="shared" si="1"/>
        <v>0</v>
      </c>
      <c r="G31" s="2">
        <v>65</v>
      </c>
      <c r="H31" s="4" t="s">
        <v>187</v>
      </c>
      <c r="I31" s="2" t="s">
        <v>9</v>
      </c>
      <c r="J31" s="4"/>
      <c r="K31" s="2">
        <v>10.8</v>
      </c>
      <c r="L31" s="5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10</v>
      </c>
      <c r="F32" s="20">
        <f t="shared" si="1"/>
        <v>0</v>
      </c>
      <c r="G32" s="2">
        <v>66</v>
      </c>
      <c r="H32" s="4" t="s">
        <v>188</v>
      </c>
      <c r="I32" s="2" t="s">
        <v>9</v>
      </c>
      <c r="J32" s="4"/>
      <c r="K32" s="2">
        <v>3.8</v>
      </c>
      <c r="L32" s="5">
        <f t="shared" si="0"/>
        <v>0</v>
      </c>
    </row>
    <row r="33" spans="1:12" ht="13.15" customHeight="1">
      <c r="A33" s="2">
        <v>29</v>
      </c>
      <c r="B33" s="4" t="s">
        <v>189</v>
      </c>
      <c r="C33" s="2" t="s">
        <v>9</v>
      </c>
      <c r="D33" s="2"/>
      <c r="E33" s="5">
        <v>1.5</v>
      </c>
      <c r="F33" s="5">
        <f t="shared" si="1"/>
        <v>0</v>
      </c>
      <c r="G33" s="2">
        <v>67</v>
      </c>
      <c r="H33" s="4" t="s">
        <v>190</v>
      </c>
      <c r="I33" s="2" t="s">
        <v>9</v>
      </c>
      <c r="J33" s="4"/>
      <c r="K33" s="2">
        <v>6.7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7.9</v>
      </c>
      <c r="F34" s="5">
        <f t="shared" si="1"/>
        <v>0</v>
      </c>
      <c r="G34" s="2">
        <v>68</v>
      </c>
      <c r="H34" s="4" t="s">
        <v>191</v>
      </c>
      <c r="I34" s="2" t="s">
        <v>9</v>
      </c>
      <c r="J34" s="4"/>
      <c r="K34" s="2">
        <v>6.7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7</v>
      </c>
      <c r="F35" s="20">
        <f t="shared" si="1"/>
        <v>0</v>
      </c>
      <c r="G35" s="2">
        <v>69</v>
      </c>
      <c r="H35" s="4" t="s">
        <v>192</v>
      </c>
      <c r="I35" s="2" t="s">
        <v>9</v>
      </c>
      <c r="J35" s="4"/>
      <c r="K35" s="2">
        <v>4.8</v>
      </c>
      <c r="L35" s="5">
        <f>J35*K35</f>
        <v>0</v>
      </c>
    </row>
    <row r="36" spans="1:12" ht="13.15" customHeight="1">
      <c r="A36" s="2">
        <v>32</v>
      </c>
      <c r="B36" s="4" t="s">
        <v>193</v>
      </c>
      <c r="C36" s="2" t="s">
        <v>9</v>
      </c>
      <c r="D36" s="2"/>
      <c r="E36" s="5">
        <v>10.25</v>
      </c>
      <c r="F36" s="20">
        <f>D36*E36</f>
        <v>0</v>
      </c>
      <c r="G36" s="2">
        <v>70</v>
      </c>
      <c r="H36" s="4" t="s">
        <v>194</v>
      </c>
      <c r="I36" s="2" t="s">
        <v>9</v>
      </c>
      <c r="J36" s="4"/>
      <c r="K36" s="2">
        <v>7.25</v>
      </c>
      <c r="L36" s="5">
        <f>J36*K36</f>
        <v>0</v>
      </c>
    </row>
    <row r="37" spans="1:12" ht="13.15" customHeight="1">
      <c r="A37" s="2">
        <v>33</v>
      </c>
      <c r="B37" s="4" t="s">
        <v>195</v>
      </c>
      <c r="C37" s="2" t="s">
        <v>9</v>
      </c>
      <c r="D37" s="2"/>
      <c r="E37" s="5">
        <v>6</v>
      </c>
      <c r="F37" s="20">
        <f>D37*E37</f>
        <v>0</v>
      </c>
      <c r="G37" s="2">
        <v>71</v>
      </c>
      <c r="H37" s="4" t="s">
        <v>196</v>
      </c>
      <c r="I37" s="2" t="s">
        <v>9</v>
      </c>
      <c r="J37" s="4"/>
      <c r="K37" s="2">
        <v>5.4</v>
      </c>
      <c r="L37" s="5">
        <f>J37*K37</f>
        <v>0</v>
      </c>
    </row>
    <row r="38" spans="1:12" ht="13.15" customHeight="1">
      <c r="A38" s="2">
        <v>34</v>
      </c>
      <c r="B38" s="4"/>
      <c r="C38" s="2" t="s">
        <v>9</v>
      </c>
      <c r="D38" s="2"/>
      <c r="E38" s="5">
        <v>0</v>
      </c>
      <c r="F38" s="20">
        <f>D38*E38</f>
        <v>0</v>
      </c>
      <c r="G38" s="2">
        <v>72</v>
      </c>
      <c r="H38" s="4" t="s">
        <v>197</v>
      </c>
      <c r="I38" s="2" t="s">
        <v>9</v>
      </c>
      <c r="J38" s="4"/>
      <c r="K38" s="2">
        <v>8.5</v>
      </c>
      <c r="L38" s="5">
        <f>J38*K38</f>
        <v>0</v>
      </c>
    </row>
    <row r="39" spans="1:12" ht="13.15" customHeight="1">
      <c r="A39" s="2">
        <v>35</v>
      </c>
      <c r="B39" s="4" t="s">
        <v>198</v>
      </c>
      <c r="C39" s="2" t="s">
        <v>9</v>
      </c>
      <c r="D39" s="2"/>
      <c r="E39" s="5">
        <v>8.5</v>
      </c>
      <c r="F39" s="20">
        <f>D39*E39</f>
        <v>0</v>
      </c>
      <c r="G39" s="2">
        <v>73</v>
      </c>
      <c r="H39" s="4" t="s">
        <v>199</v>
      </c>
      <c r="I39" s="2" t="s">
        <v>9</v>
      </c>
      <c r="J39" s="4"/>
      <c r="K39" s="2">
        <v>6.7</v>
      </c>
      <c r="L39" s="5">
        <f>J39*K39</f>
        <v>0</v>
      </c>
    </row>
    <row r="40" spans="1:12" ht="13.15" customHeight="1">
      <c r="K40" t="s">
        <v>200</v>
      </c>
      <c r="L40" s="25">
        <f>F5+F6+F7+F8+F9+F10+F11+F12+F13+F14+F15+F16+F17+F18+F19+F20+F21+F22+F23+F24+F25+F26+F27+F28+F29+F30+F31+F32+F33+F34+F35+F36+F37+F38+F39+L2+L3+L4+L5+L6+L7+L8+L9+L10+L11+L12+L13+L14+L15+L16+L17+L18+L19+L20+L21+L22+L23+L24+L25+L26+L27+L28+L29+L30+L31+L32+L33+L34+L35+L36+L37+L38+L39</f>
        <v>0</v>
      </c>
    </row>
    <row r="42" spans="1:12" ht="13.15" customHeight="1">
      <c r="H42" t="s">
        <v>201</v>
      </c>
      <c r="J42" t="s">
        <v>202</v>
      </c>
    </row>
  </sheetData>
  <mergeCells count="4">
    <mergeCell ref="A1:C1"/>
    <mergeCell ref="D1:F1"/>
    <mergeCell ref="A2:F2"/>
    <mergeCell ref="A3:F3"/>
  </mergeCells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>
  <sheetPr codeName="Лист89"/>
  <dimension ref="A1:L42"/>
  <sheetViews>
    <sheetView topLeftCell="A22" workbookViewId="0">
      <selection activeCell="N51" sqref="N51"/>
    </sheetView>
  </sheetViews>
  <sheetFormatPr defaultRowHeight="13.15" customHeight="1"/>
  <cols>
    <col min="1" max="1" width="5" style="17" customWidth="1"/>
    <col min="2" max="2" width="30.28515625" customWidth="1"/>
    <col min="3" max="3" width="6.85546875" customWidth="1"/>
    <col min="4" max="4" width="6.5703125" customWidth="1"/>
    <col min="6" max="6" width="8.85546875" style="17"/>
    <col min="7" max="7" width="4.7109375" style="17" customWidth="1"/>
    <col min="8" max="8" width="24.7109375" customWidth="1"/>
    <col min="9" max="9" width="6.7109375" customWidth="1"/>
    <col min="10" max="10" width="7" customWidth="1"/>
    <col min="12" max="12" width="8.85546875" style="17"/>
  </cols>
  <sheetData>
    <row r="1" spans="1:12" ht="13.15" customHeight="1">
      <c r="A1" s="30" t="s">
        <v>147</v>
      </c>
      <c r="B1" s="30"/>
      <c r="C1" s="30"/>
      <c r="D1" s="31" t="s">
        <v>148</v>
      </c>
      <c r="E1" s="30"/>
      <c r="F1" s="30"/>
      <c r="G1" s="16"/>
      <c r="H1" s="2" t="s">
        <v>2</v>
      </c>
      <c r="I1" s="1" t="s">
        <v>3</v>
      </c>
      <c r="J1" s="2" t="s">
        <v>4</v>
      </c>
      <c r="K1" s="2" t="s">
        <v>149</v>
      </c>
      <c r="L1" s="2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150</v>
      </c>
      <c r="I2" s="2" t="s">
        <v>9</v>
      </c>
      <c r="J2" s="2"/>
      <c r="K2" s="5">
        <v>8.5</v>
      </c>
      <c r="L2" s="5">
        <f t="shared" ref="L2:L34" si="0"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151</v>
      </c>
      <c r="I3" s="2" t="s">
        <v>9</v>
      </c>
      <c r="J3" s="2"/>
      <c r="K3" s="5">
        <v>8.5</v>
      </c>
      <c r="L3" s="5">
        <f t="shared" si="0"/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152</v>
      </c>
      <c r="I4" s="2" t="s">
        <v>9</v>
      </c>
      <c r="J4" s="2"/>
      <c r="K4" s="5">
        <v>8.5</v>
      </c>
      <c r="L4" s="5">
        <f t="shared" si="0"/>
        <v>0</v>
      </c>
    </row>
    <row r="5" spans="1:12" ht="13.15" customHeight="1">
      <c r="A5" s="2">
        <v>1</v>
      </c>
      <c r="B5" s="4" t="s">
        <v>153</v>
      </c>
      <c r="C5" s="2" t="s">
        <v>9</v>
      </c>
      <c r="D5" s="2"/>
      <c r="E5" s="5">
        <v>8.8000000000000007</v>
      </c>
      <c r="F5" s="20">
        <f>D5*E5</f>
        <v>0</v>
      </c>
      <c r="G5" s="2">
        <v>39</v>
      </c>
      <c r="H5" s="4" t="s">
        <v>154</v>
      </c>
      <c r="I5" s="2" t="s">
        <v>9</v>
      </c>
      <c r="J5" s="2"/>
      <c r="K5" s="5">
        <v>8.5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5.7</v>
      </c>
      <c r="F6" s="20">
        <f t="shared" ref="F6:F35" si="1">D6*E6</f>
        <v>0</v>
      </c>
      <c r="G6" s="2">
        <v>40</v>
      </c>
      <c r="H6" s="4" t="s">
        <v>155</v>
      </c>
      <c r="I6" s="2" t="s">
        <v>9</v>
      </c>
      <c r="J6" s="2"/>
      <c r="K6" s="5">
        <v>8.5</v>
      </c>
      <c r="L6" s="5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6.3</v>
      </c>
      <c r="F7" s="20">
        <f t="shared" si="1"/>
        <v>0</v>
      </c>
      <c r="G7" s="2">
        <v>41</v>
      </c>
      <c r="H7" s="4" t="s">
        <v>157</v>
      </c>
      <c r="I7" s="2" t="s">
        <v>9</v>
      </c>
      <c r="J7" s="2"/>
      <c r="K7" s="5">
        <v>8.5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9</v>
      </c>
      <c r="F8" s="20">
        <f t="shared" si="1"/>
        <v>0</v>
      </c>
      <c r="G8" s="2">
        <v>42</v>
      </c>
      <c r="H8" s="4" t="s">
        <v>158</v>
      </c>
      <c r="I8" s="2" t="s">
        <v>9</v>
      </c>
      <c r="J8" s="2"/>
      <c r="K8" s="5">
        <v>3.3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5.8</v>
      </c>
      <c r="F9" s="20">
        <f t="shared" si="1"/>
        <v>0</v>
      </c>
      <c r="G9" s="2">
        <v>43</v>
      </c>
      <c r="H9" s="4" t="s">
        <v>159</v>
      </c>
      <c r="I9" s="2" t="s">
        <v>9</v>
      </c>
      <c r="J9" s="2"/>
      <c r="K9" s="5">
        <v>3.8</v>
      </c>
      <c r="L9" s="5">
        <f t="shared" si="0"/>
        <v>0</v>
      </c>
    </row>
    <row r="10" spans="1:12" ht="13.15" customHeight="1">
      <c r="A10" s="2">
        <v>6</v>
      </c>
      <c r="B10" s="4" t="s">
        <v>160</v>
      </c>
      <c r="C10" s="2" t="s">
        <v>9</v>
      </c>
      <c r="D10" s="2"/>
      <c r="E10" s="5">
        <v>7.4</v>
      </c>
      <c r="F10" s="20">
        <f t="shared" si="1"/>
        <v>0</v>
      </c>
      <c r="G10" s="2">
        <v>44</v>
      </c>
      <c r="H10" s="4" t="s">
        <v>13</v>
      </c>
      <c r="I10" s="2" t="s">
        <v>9</v>
      </c>
      <c r="J10" s="2"/>
      <c r="K10" s="5">
        <v>3.3</v>
      </c>
      <c r="L10" s="5">
        <f t="shared" si="0"/>
        <v>0</v>
      </c>
    </row>
    <row r="11" spans="1:12" ht="13.15" customHeight="1">
      <c r="A11" s="2">
        <v>7</v>
      </c>
      <c r="B11" s="4" t="s">
        <v>78</v>
      </c>
      <c r="C11" s="2" t="s">
        <v>9</v>
      </c>
      <c r="D11" s="2"/>
      <c r="E11" s="5">
        <v>8.1</v>
      </c>
      <c r="F11" s="20">
        <f t="shared" si="1"/>
        <v>0</v>
      </c>
      <c r="G11" s="2">
        <v>45</v>
      </c>
      <c r="H11" s="4" t="s">
        <v>17</v>
      </c>
      <c r="I11" s="2" t="s">
        <v>9</v>
      </c>
      <c r="J11" s="2"/>
      <c r="K11" s="5">
        <v>2.6</v>
      </c>
      <c r="L11" s="5">
        <f t="shared" si="0"/>
        <v>0</v>
      </c>
    </row>
    <row r="12" spans="1:12" ht="13.15" customHeight="1">
      <c r="A12" s="2">
        <v>8</v>
      </c>
      <c r="B12" s="4" t="s">
        <v>80</v>
      </c>
      <c r="C12" s="2" t="s">
        <v>9</v>
      </c>
      <c r="D12" s="2"/>
      <c r="E12" s="5">
        <v>5.4</v>
      </c>
      <c r="F12" s="20">
        <f t="shared" si="1"/>
        <v>0</v>
      </c>
      <c r="G12" s="2">
        <v>46</v>
      </c>
      <c r="H12" s="4" t="s">
        <v>161</v>
      </c>
      <c r="I12" s="2" t="s">
        <v>9</v>
      </c>
      <c r="J12" s="2"/>
      <c r="K12" s="5">
        <v>2.6</v>
      </c>
      <c r="L12" s="5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6.3</v>
      </c>
      <c r="F13" s="20">
        <f t="shared" si="1"/>
        <v>0</v>
      </c>
      <c r="G13" s="2">
        <v>47</v>
      </c>
      <c r="H13" s="4" t="s">
        <v>163</v>
      </c>
      <c r="I13" s="2" t="s">
        <v>9</v>
      </c>
      <c r="J13" s="2"/>
      <c r="K13" s="5">
        <v>4.2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6.9</v>
      </c>
      <c r="F14" s="20">
        <f t="shared" si="1"/>
        <v>0</v>
      </c>
      <c r="G14" s="2">
        <v>48</v>
      </c>
      <c r="H14" s="4" t="s">
        <v>164</v>
      </c>
      <c r="I14" s="2" t="s">
        <v>9</v>
      </c>
      <c r="J14" s="2"/>
      <c r="K14" s="5">
        <v>4.2</v>
      </c>
      <c r="L14" s="5">
        <f t="shared" si="0"/>
        <v>0</v>
      </c>
    </row>
    <row r="15" spans="1:12" ht="13.15" customHeight="1">
      <c r="A15" s="2">
        <v>11</v>
      </c>
      <c r="B15" s="4" t="s">
        <v>165</v>
      </c>
      <c r="C15" s="2" t="s">
        <v>9</v>
      </c>
      <c r="D15" s="2"/>
      <c r="E15" s="5">
        <v>5.2</v>
      </c>
      <c r="F15" s="20">
        <f t="shared" si="1"/>
        <v>0</v>
      </c>
      <c r="G15" s="2">
        <v>49</v>
      </c>
      <c r="H15" s="4" t="s">
        <v>166</v>
      </c>
      <c r="I15" s="2" t="s">
        <v>9</v>
      </c>
      <c r="J15" s="2"/>
      <c r="K15" s="5">
        <v>4.2</v>
      </c>
      <c r="L15" s="5">
        <f t="shared" si="0"/>
        <v>0</v>
      </c>
    </row>
    <row r="16" spans="1:12" ht="13.15" customHeight="1">
      <c r="A16" s="2">
        <v>12</v>
      </c>
      <c r="B16" s="4" t="s">
        <v>167</v>
      </c>
      <c r="C16" s="2" t="s">
        <v>9</v>
      </c>
      <c r="D16" s="2"/>
      <c r="E16" s="5">
        <v>7.2</v>
      </c>
      <c r="F16" s="20">
        <f>D16*E16</f>
        <v>0</v>
      </c>
      <c r="G16" s="2">
        <v>50</v>
      </c>
      <c r="H16" s="4" t="s">
        <v>168</v>
      </c>
      <c r="I16" s="2" t="s">
        <v>9</v>
      </c>
      <c r="J16" s="2"/>
      <c r="K16" s="5">
        <v>0</v>
      </c>
      <c r="L16" s="5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7.8</v>
      </c>
      <c r="F17" s="20">
        <f t="shared" si="1"/>
        <v>0</v>
      </c>
      <c r="G17" s="2">
        <v>51</v>
      </c>
      <c r="H17" s="4" t="s">
        <v>169</v>
      </c>
      <c r="I17" s="2" t="s">
        <v>9</v>
      </c>
      <c r="J17" s="2"/>
      <c r="K17" s="5">
        <v>4.2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5.4</v>
      </c>
      <c r="F18" s="20">
        <f t="shared" si="1"/>
        <v>0</v>
      </c>
      <c r="G18" s="2">
        <v>52</v>
      </c>
      <c r="H18" s="4" t="s">
        <v>170</v>
      </c>
      <c r="I18" s="2" t="s">
        <v>9</v>
      </c>
      <c r="J18" s="2"/>
      <c r="K18" s="5">
        <v>3.8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</v>
      </c>
      <c r="F19" s="20">
        <f t="shared" si="1"/>
        <v>0</v>
      </c>
      <c r="G19" s="2">
        <v>53</v>
      </c>
      <c r="H19" s="4" t="s">
        <v>171</v>
      </c>
      <c r="I19" s="2" t="s">
        <v>9</v>
      </c>
      <c r="J19" s="2"/>
      <c r="K19" s="5">
        <v>3.8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3</v>
      </c>
      <c r="F20" s="20">
        <f t="shared" si="1"/>
        <v>0</v>
      </c>
      <c r="G20" s="2">
        <v>54</v>
      </c>
      <c r="H20" s="4" t="s">
        <v>172</v>
      </c>
      <c r="I20" s="2" t="s">
        <v>9</v>
      </c>
      <c r="J20" s="2"/>
      <c r="K20" s="5">
        <v>3.8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1.7</v>
      </c>
      <c r="F21" s="20">
        <f t="shared" si="1"/>
        <v>0</v>
      </c>
      <c r="G21" s="2">
        <v>55</v>
      </c>
      <c r="H21" s="4" t="s">
        <v>173</v>
      </c>
      <c r="I21" s="2" t="s">
        <v>9</v>
      </c>
      <c r="J21" s="2"/>
      <c r="K21" s="5">
        <v>3.8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7.5</v>
      </c>
      <c r="F22" s="20">
        <f t="shared" si="1"/>
        <v>0</v>
      </c>
      <c r="G22" s="2">
        <v>56</v>
      </c>
      <c r="H22" s="4" t="s">
        <v>174</v>
      </c>
      <c r="I22" s="2" t="s">
        <v>9</v>
      </c>
      <c r="J22" s="2"/>
      <c r="K22" s="5">
        <v>10</v>
      </c>
      <c r="L22" s="5">
        <f t="shared" si="0"/>
        <v>0</v>
      </c>
    </row>
    <row r="23" spans="1:12" ht="13.15" customHeight="1">
      <c r="A23" s="2">
        <v>19</v>
      </c>
      <c r="B23" s="4" t="s">
        <v>175</v>
      </c>
      <c r="C23" s="2" t="s">
        <v>9</v>
      </c>
      <c r="D23" s="2"/>
      <c r="E23" s="5">
        <v>8</v>
      </c>
      <c r="F23" s="20">
        <f t="shared" si="1"/>
        <v>0</v>
      </c>
      <c r="G23" s="2">
        <v>57</v>
      </c>
      <c r="H23" s="4" t="s">
        <v>176</v>
      </c>
      <c r="I23" s="2" t="s">
        <v>9</v>
      </c>
      <c r="J23" s="4"/>
      <c r="K23" s="2">
        <v>8.8000000000000007</v>
      </c>
      <c r="L23" s="5">
        <f t="shared" si="0"/>
        <v>0</v>
      </c>
    </row>
    <row r="24" spans="1:12" ht="13.15" customHeight="1">
      <c r="A24" s="2">
        <v>20</v>
      </c>
      <c r="B24" s="4" t="s">
        <v>177</v>
      </c>
      <c r="C24" s="2" t="s">
        <v>9</v>
      </c>
      <c r="D24" s="2"/>
      <c r="E24" s="5">
        <v>8.4</v>
      </c>
      <c r="F24" s="20">
        <f t="shared" si="1"/>
        <v>0</v>
      </c>
      <c r="G24" s="2">
        <v>58</v>
      </c>
      <c r="H24" s="4" t="s">
        <v>178</v>
      </c>
      <c r="I24" s="2" t="s">
        <v>9</v>
      </c>
      <c r="J24" s="4"/>
      <c r="K24" s="2">
        <v>7.2</v>
      </c>
      <c r="L24" s="5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8.8000000000000007</v>
      </c>
      <c r="F25" s="20">
        <f t="shared" si="1"/>
        <v>0</v>
      </c>
      <c r="G25" s="2">
        <v>59</v>
      </c>
      <c r="H25" s="4" t="s">
        <v>179</v>
      </c>
      <c r="I25" s="2" t="s">
        <v>9</v>
      </c>
      <c r="J25" s="4"/>
      <c r="K25" s="2">
        <v>8.5</v>
      </c>
      <c r="L25" s="5">
        <f t="shared" si="0"/>
        <v>0</v>
      </c>
    </row>
    <row r="26" spans="1:12" ht="13.15" customHeight="1">
      <c r="A26" s="2">
        <v>22</v>
      </c>
      <c r="B26" s="4" t="s">
        <v>180</v>
      </c>
      <c r="C26" s="2" t="s">
        <v>9</v>
      </c>
      <c r="D26" s="2"/>
      <c r="E26" s="5">
        <v>6</v>
      </c>
      <c r="F26" s="20">
        <f t="shared" si="1"/>
        <v>0</v>
      </c>
      <c r="G26" s="2">
        <v>60</v>
      </c>
      <c r="H26" s="4" t="s">
        <v>131</v>
      </c>
      <c r="I26" s="2" t="s">
        <v>9</v>
      </c>
      <c r="J26" s="4"/>
      <c r="K26" s="2">
        <v>4.2</v>
      </c>
      <c r="L26" s="5">
        <f t="shared" si="0"/>
        <v>0</v>
      </c>
    </row>
    <row r="27" spans="1:12" ht="13.15" customHeight="1">
      <c r="A27" s="2">
        <v>23</v>
      </c>
      <c r="B27" s="4" t="s">
        <v>181</v>
      </c>
      <c r="C27" s="2" t="s">
        <v>9</v>
      </c>
      <c r="D27" s="2"/>
      <c r="E27" s="5">
        <v>3.8</v>
      </c>
      <c r="F27" s="20">
        <f t="shared" si="1"/>
        <v>0</v>
      </c>
      <c r="G27" s="2">
        <v>61</v>
      </c>
      <c r="H27" s="4" t="s">
        <v>182</v>
      </c>
      <c r="I27" s="2" t="s">
        <v>9</v>
      </c>
      <c r="J27" s="4"/>
      <c r="K27" s="2">
        <v>13.5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6.3</v>
      </c>
      <c r="F28" s="20">
        <f t="shared" si="1"/>
        <v>0</v>
      </c>
      <c r="G28" s="2">
        <v>62</v>
      </c>
      <c r="H28" s="4" t="s">
        <v>183</v>
      </c>
      <c r="I28" s="2" t="s">
        <v>9</v>
      </c>
      <c r="J28" s="4"/>
      <c r="K28" s="2">
        <v>12.8</v>
      </c>
      <c r="L28" s="5">
        <f t="shared" si="0"/>
        <v>0</v>
      </c>
    </row>
    <row r="29" spans="1:12" ht="13.15" customHeight="1">
      <c r="A29" s="2">
        <v>25</v>
      </c>
      <c r="B29" s="4" t="s">
        <v>184</v>
      </c>
      <c r="C29" s="2" t="s">
        <v>9</v>
      </c>
      <c r="D29" s="2"/>
      <c r="E29" s="5">
        <v>7.7</v>
      </c>
      <c r="F29" s="20">
        <f t="shared" si="1"/>
        <v>0</v>
      </c>
      <c r="G29" s="2">
        <v>63</v>
      </c>
      <c r="H29" s="4" t="s">
        <v>185</v>
      </c>
      <c r="I29" s="2" t="s">
        <v>9</v>
      </c>
      <c r="J29" s="4"/>
      <c r="K29" s="2">
        <v>8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6.2</v>
      </c>
      <c r="F30" s="5">
        <f t="shared" si="1"/>
        <v>0</v>
      </c>
      <c r="G30" s="2">
        <v>64</v>
      </c>
      <c r="H30" s="4" t="s">
        <v>186</v>
      </c>
      <c r="I30" s="2" t="s">
        <v>9</v>
      </c>
      <c r="J30" s="4"/>
      <c r="K30" s="2">
        <v>7.25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7</v>
      </c>
      <c r="F31" s="5">
        <f t="shared" si="1"/>
        <v>0</v>
      </c>
      <c r="G31" s="2">
        <v>65</v>
      </c>
      <c r="H31" s="4" t="s">
        <v>187</v>
      </c>
      <c r="I31" s="2" t="s">
        <v>9</v>
      </c>
      <c r="J31" s="4"/>
      <c r="K31" s="2">
        <v>10.8</v>
      </c>
      <c r="L31" s="5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10</v>
      </c>
      <c r="F32" s="20">
        <f t="shared" si="1"/>
        <v>0</v>
      </c>
      <c r="G32" s="2">
        <v>66</v>
      </c>
      <c r="H32" s="4" t="s">
        <v>188</v>
      </c>
      <c r="I32" s="2" t="s">
        <v>9</v>
      </c>
      <c r="J32" s="4"/>
      <c r="K32" s="2">
        <v>3.8</v>
      </c>
      <c r="L32" s="5">
        <f t="shared" si="0"/>
        <v>0</v>
      </c>
    </row>
    <row r="33" spans="1:12" ht="13.15" customHeight="1">
      <c r="A33" s="2">
        <v>29</v>
      </c>
      <c r="B33" s="4" t="s">
        <v>189</v>
      </c>
      <c r="C33" s="2" t="s">
        <v>9</v>
      </c>
      <c r="D33" s="2"/>
      <c r="E33" s="5">
        <v>1.5</v>
      </c>
      <c r="F33" s="5">
        <f t="shared" si="1"/>
        <v>0</v>
      </c>
      <c r="G33" s="2">
        <v>67</v>
      </c>
      <c r="H33" s="4" t="s">
        <v>190</v>
      </c>
      <c r="I33" s="2" t="s">
        <v>9</v>
      </c>
      <c r="J33" s="4"/>
      <c r="K33" s="2">
        <v>6.7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7.9</v>
      </c>
      <c r="F34" s="5">
        <f t="shared" si="1"/>
        <v>0</v>
      </c>
      <c r="G34" s="2">
        <v>68</v>
      </c>
      <c r="H34" s="4" t="s">
        <v>191</v>
      </c>
      <c r="I34" s="2" t="s">
        <v>9</v>
      </c>
      <c r="J34" s="4"/>
      <c r="K34" s="2">
        <v>6.7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7</v>
      </c>
      <c r="F35" s="20">
        <f t="shared" si="1"/>
        <v>0</v>
      </c>
      <c r="G35" s="2">
        <v>69</v>
      </c>
      <c r="H35" s="4" t="s">
        <v>192</v>
      </c>
      <c r="I35" s="2" t="s">
        <v>9</v>
      </c>
      <c r="J35" s="4"/>
      <c r="K35" s="2">
        <v>4.8</v>
      </c>
      <c r="L35" s="5">
        <f>J35*K35</f>
        <v>0</v>
      </c>
    </row>
    <row r="36" spans="1:12" ht="13.15" customHeight="1">
      <c r="A36" s="2">
        <v>32</v>
      </c>
      <c r="B36" s="4" t="s">
        <v>193</v>
      </c>
      <c r="C36" s="2" t="s">
        <v>9</v>
      </c>
      <c r="D36" s="2"/>
      <c r="E36" s="5">
        <v>10.25</v>
      </c>
      <c r="F36" s="20">
        <f>D36*E36</f>
        <v>0</v>
      </c>
      <c r="G36" s="2">
        <v>70</v>
      </c>
      <c r="H36" s="4" t="s">
        <v>194</v>
      </c>
      <c r="I36" s="2" t="s">
        <v>9</v>
      </c>
      <c r="J36" s="4"/>
      <c r="K36" s="2">
        <v>7.25</v>
      </c>
      <c r="L36" s="5">
        <f>J36*K36</f>
        <v>0</v>
      </c>
    </row>
    <row r="37" spans="1:12" ht="13.15" customHeight="1">
      <c r="A37" s="2">
        <v>33</v>
      </c>
      <c r="B37" s="4" t="s">
        <v>195</v>
      </c>
      <c r="C37" s="2" t="s">
        <v>9</v>
      </c>
      <c r="D37" s="2"/>
      <c r="E37" s="5">
        <v>6</v>
      </c>
      <c r="F37" s="20">
        <f>D37*E37</f>
        <v>0</v>
      </c>
      <c r="G37" s="2">
        <v>71</v>
      </c>
      <c r="H37" s="4" t="s">
        <v>196</v>
      </c>
      <c r="I37" s="2" t="s">
        <v>9</v>
      </c>
      <c r="J37" s="4"/>
      <c r="K37" s="2">
        <v>5.4</v>
      </c>
      <c r="L37" s="5">
        <f>J37*K37</f>
        <v>0</v>
      </c>
    </row>
    <row r="38" spans="1:12" ht="13.15" customHeight="1">
      <c r="A38" s="2">
        <v>34</v>
      </c>
      <c r="B38" s="4"/>
      <c r="C38" s="2" t="s">
        <v>9</v>
      </c>
      <c r="D38" s="2"/>
      <c r="E38" s="5">
        <v>0</v>
      </c>
      <c r="F38" s="20">
        <f>D38*E38</f>
        <v>0</v>
      </c>
      <c r="G38" s="2">
        <v>72</v>
      </c>
      <c r="H38" s="4" t="s">
        <v>197</v>
      </c>
      <c r="I38" s="2" t="s">
        <v>9</v>
      </c>
      <c r="J38" s="4"/>
      <c r="K38" s="2">
        <v>8.5</v>
      </c>
      <c r="L38" s="5">
        <f>J38*K38</f>
        <v>0</v>
      </c>
    </row>
    <row r="39" spans="1:12" ht="13.15" customHeight="1">
      <c r="A39" s="2">
        <v>35</v>
      </c>
      <c r="B39" s="4" t="s">
        <v>198</v>
      </c>
      <c r="C39" s="2" t="s">
        <v>9</v>
      </c>
      <c r="D39" s="2"/>
      <c r="E39" s="5">
        <v>8.5</v>
      </c>
      <c r="F39" s="20">
        <f>D39*E39</f>
        <v>0</v>
      </c>
      <c r="G39" s="2">
        <v>73</v>
      </c>
      <c r="H39" s="4" t="s">
        <v>199</v>
      </c>
      <c r="I39" s="2" t="s">
        <v>9</v>
      </c>
      <c r="J39" s="4"/>
      <c r="K39" s="2">
        <v>6.7</v>
      </c>
      <c r="L39" s="5">
        <f>J39*K39</f>
        <v>0</v>
      </c>
    </row>
    <row r="40" spans="1:12" ht="13.15" customHeight="1">
      <c r="K40" t="s">
        <v>200</v>
      </c>
      <c r="L40" s="25">
        <f>F5+F6+F7+F8+F9+F10+F11+F12+F13+F14+F15+F16+F17+F18+F19+F20+F21+F22+F23+F24+F25+F26+F27+F28+F29+F30+F31+F32+F33+F34+F35+F36+F37+F38+F39+L2+L3+L4+L5+L6+L7+L8+L9+L10+L11+L12+L13+L14+L15+L16+L17+L18+L19+L20+L21+L22+L23+L24+L25+L26+L27+L28+L29+L30+L31+L32+L33+L34+L35+L36+L37+L38+L39</f>
        <v>0</v>
      </c>
    </row>
    <row r="42" spans="1:12" ht="13.15" customHeight="1">
      <c r="H42" t="s">
        <v>201</v>
      </c>
      <c r="J42" t="s">
        <v>202</v>
      </c>
    </row>
  </sheetData>
  <mergeCells count="4">
    <mergeCell ref="A1:C1"/>
    <mergeCell ref="D1:F1"/>
    <mergeCell ref="A2:F2"/>
    <mergeCell ref="A3:F3"/>
  </mergeCells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>
  <sheetPr codeName="Лист90"/>
  <dimension ref="A1:L42"/>
  <sheetViews>
    <sheetView topLeftCell="A22" workbookViewId="0">
      <selection activeCell="N51" sqref="N51"/>
    </sheetView>
  </sheetViews>
  <sheetFormatPr defaultRowHeight="13.15" customHeight="1"/>
  <cols>
    <col min="1" max="1" width="5" style="17" customWidth="1"/>
    <col min="2" max="2" width="30.28515625" customWidth="1"/>
    <col min="3" max="3" width="6.85546875" customWidth="1"/>
    <col min="4" max="4" width="6.5703125" customWidth="1"/>
    <col min="6" max="6" width="8.85546875" style="17"/>
    <col min="7" max="7" width="4.7109375" style="17" customWidth="1"/>
    <col min="8" max="8" width="24.7109375" customWidth="1"/>
    <col min="9" max="9" width="6.7109375" customWidth="1"/>
    <col min="10" max="10" width="7" customWidth="1"/>
    <col min="12" max="12" width="8.85546875" style="17"/>
  </cols>
  <sheetData>
    <row r="1" spans="1:12" ht="13.15" customHeight="1">
      <c r="A1" s="30" t="s">
        <v>147</v>
      </c>
      <c r="B1" s="30"/>
      <c r="C1" s="30"/>
      <c r="D1" s="31" t="s">
        <v>148</v>
      </c>
      <c r="E1" s="30"/>
      <c r="F1" s="30"/>
      <c r="G1" s="16"/>
      <c r="H1" s="2" t="s">
        <v>2</v>
      </c>
      <c r="I1" s="1" t="s">
        <v>3</v>
      </c>
      <c r="J1" s="2" t="s">
        <v>4</v>
      </c>
      <c r="K1" s="2" t="s">
        <v>149</v>
      </c>
      <c r="L1" s="2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150</v>
      </c>
      <c r="I2" s="2" t="s">
        <v>9</v>
      </c>
      <c r="J2" s="2"/>
      <c r="K2" s="5">
        <v>8.5</v>
      </c>
      <c r="L2" s="5">
        <f t="shared" ref="L2:L34" si="0"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151</v>
      </c>
      <c r="I3" s="2" t="s">
        <v>9</v>
      </c>
      <c r="J3" s="2"/>
      <c r="K3" s="5">
        <v>8.5</v>
      </c>
      <c r="L3" s="5">
        <f t="shared" si="0"/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152</v>
      </c>
      <c r="I4" s="2" t="s">
        <v>9</v>
      </c>
      <c r="J4" s="2"/>
      <c r="K4" s="5">
        <v>8.5</v>
      </c>
      <c r="L4" s="5">
        <f t="shared" si="0"/>
        <v>0</v>
      </c>
    </row>
    <row r="5" spans="1:12" ht="13.15" customHeight="1">
      <c r="A5" s="2">
        <v>1</v>
      </c>
      <c r="B5" s="4" t="s">
        <v>153</v>
      </c>
      <c r="C5" s="2" t="s">
        <v>9</v>
      </c>
      <c r="D5" s="2"/>
      <c r="E5" s="5">
        <v>8.8000000000000007</v>
      </c>
      <c r="F5" s="20">
        <f>D5*E5</f>
        <v>0</v>
      </c>
      <c r="G5" s="2">
        <v>39</v>
      </c>
      <c r="H5" s="4" t="s">
        <v>154</v>
      </c>
      <c r="I5" s="2" t="s">
        <v>9</v>
      </c>
      <c r="J5" s="2"/>
      <c r="K5" s="5">
        <v>8.5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5.7</v>
      </c>
      <c r="F6" s="20">
        <f t="shared" ref="F6:F35" si="1">D6*E6</f>
        <v>0</v>
      </c>
      <c r="G6" s="2">
        <v>40</v>
      </c>
      <c r="H6" s="4" t="s">
        <v>155</v>
      </c>
      <c r="I6" s="2" t="s">
        <v>9</v>
      </c>
      <c r="J6" s="2"/>
      <c r="K6" s="5">
        <v>8.5</v>
      </c>
      <c r="L6" s="5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6.3</v>
      </c>
      <c r="F7" s="20">
        <f t="shared" si="1"/>
        <v>0</v>
      </c>
      <c r="G7" s="2">
        <v>41</v>
      </c>
      <c r="H7" s="4" t="s">
        <v>157</v>
      </c>
      <c r="I7" s="2" t="s">
        <v>9</v>
      </c>
      <c r="J7" s="2"/>
      <c r="K7" s="5">
        <v>8.5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9</v>
      </c>
      <c r="F8" s="20">
        <f t="shared" si="1"/>
        <v>0</v>
      </c>
      <c r="G8" s="2">
        <v>42</v>
      </c>
      <c r="H8" s="4" t="s">
        <v>158</v>
      </c>
      <c r="I8" s="2" t="s">
        <v>9</v>
      </c>
      <c r="J8" s="2"/>
      <c r="K8" s="5">
        <v>3.3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5.8</v>
      </c>
      <c r="F9" s="20">
        <f t="shared" si="1"/>
        <v>0</v>
      </c>
      <c r="G9" s="2">
        <v>43</v>
      </c>
      <c r="H9" s="4" t="s">
        <v>159</v>
      </c>
      <c r="I9" s="2" t="s">
        <v>9</v>
      </c>
      <c r="J9" s="2"/>
      <c r="K9" s="5">
        <v>3.8</v>
      </c>
      <c r="L9" s="5">
        <f t="shared" si="0"/>
        <v>0</v>
      </c>
    </row>
    <row r="10" spans="1:12" ht="13.15" customHeight="1">
      <c r="A10" s="2">
        <v>6</v>
      </c>
      <c r="B10" s="4" t="s">
        <v>160</v>
      </c>
      <c r="C10" s="2" t="s">
        <v>9</v>
      </c>
      <c r="D10" s="2"/>
      <c r="E10" s="5">
        <v>7.4</v>
      </c>
      <c r="F10" s="20">
        <f t="shared" si="1"/>
        <v>0</v>
      </c>
      <c r="G10" s="2">
        <v>44</v>
      </c>
      <c r="H10" s="4" t="s">
        <v>13</v>
      </c>
      <c r="I10" s="2" t="s">
        <v>9</v>
      </c>
      <c r="J10" s="2"/>
      <c r="K10" s="5">
        <v>3.3</v>
      </c>
      <c r="L10" s="5">
        <f t="shared" si="0"/>
        <v>0</v>
      </c>
    </row>
    <row r="11" spans="1:12" ht="13.15" customHeight="1">
      <c r="A11" s="2">
        <v>7</v>
      </c>
      <c r="B11" s="4" t="s">
        <v>78</v>
      </c>
      <c r="C11" s="2" t="s">
        <v>9</v>
      </c>
      <c r="D11" s="2"/>
      <c r="E11" s="5">
        <v>8.1</v>
      </c>
      <c r="F11" s="20">
        <f t="shared" si="1"/>
        <v>0</v>
      </c>
      <c r="G11" s="2">
        <v>45</v>
      </c>
      <c r="H11" s="4" t="s">
        <v>17</v>
      </c>
      <c r="I11" s="2" t="s">
        <v>9</v>
      </c>
      <c r="J11" s="2"/>
      <c r="K11" s="5">
        <v>2.6</v>
      </c>
      <c r="L11" s="5">
        <f t="shared" si="0"/>
        <v>0</v>
      </c>
    </row>
    <row r="12" spans="1:12" ht="13.15" customHeight="1">
      <c r="A12" s="2">
        <v>8</v>
      </c>
      <c r="B12" s="4" t="s">
        <v>80</v>
      </c>
      <c r="C12" s="2" t="s">
        <v>9</v>
      </c>
      <c r="D12" s="2"/>
      <c r="E12" s="5">
        <v>5.4</v>
      </c>
      <c r="F12" s="20">
        <f t="shared" si="1"/>
        <v>0</v>
      </c>
      <c r="G12" s="2">
        <v>46</v>
      </c>
      <c r="H12" s="4" t="s">
        <v>161</v>
      </c>
      <c r="I12" s="2" t="s">
        <v>9</v>
      </c>
      <c r="J12" s="2"/>
      <c r="K12" s="5">
        <v>2.6</v>
      </c>
      <c r="L12" s="5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6.3</v>
      </c>
      <c r="F13" s="20">
        <f t="shared" si="1"/>
        <v>0</v>
      </c>
      <c r="G13" s="2">
        <v>47</v>
      </c>
      <c r="H13" s="4" t="s">
        <v>163</v>
      </c>
      <c r="I13" s="2" t="s">
        <v>9</v>
      </c>
      <c r="J13" s="2"/>
      <c r="K13" s="5">
        <v>4.2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6.9</v>
      </c>
      <c r="F14" s="20">
        <f t="shared" si="1"/>
        <v>0</v>
      </c>
      <c r="G14" s="2">
        <v>48</v>
      </c>
      <c r="H14" s="4" t="s">
        <v>164</v>
      </c>
      <c r="I14" s="2" t="s">
        <v>9</v>
      </c>
      <c r="J14" s="2"/>
      <c r="K14" s="5">
        <v>4.2</v>
      </c>
      <c r="L14" s="5">
        <f t="shared" si="0"/>
        <v>0</v>
      </c>
    </row>
    <row r="15" spans="1:12" ht="13.15" customHeight="1">
      <c r="A15" s="2">
        <v>11</v>
      </c>
      <c r="B15" s="4" t="s">
        <v>165</v>
      </c>
      <c r="C15" s="2" t="s">
        <v>9</v>
      </c>
      <c r="D15" s="2"/>
      <c r="E15" s="5">
        <v>5.2</v>
      </c>
      <c r="F15" s="20">
        <f t="shared" si="1"/>
        <v>0</v>
      </c>
      <c r="G15" s="2">
        <v>49</v>
      </c>
      <c r="H15" s="4" t="s">
        <v>166</v>
      </c>
      <c r="I15" s="2" t="s">
        <v>9</v>
      </c>
      <c r="J15" s="2"/>
      <c r="K15" s="5">
        <v>4.2</v>
      </c>
      <c r="L15" s="5">
        <f t="shared" si="0"/>
        <v>0</v>
      </c>
    </row>
    <row r="16" spans="1:12" ht="13.15" customHeight="1">
      <c r="A16" s="2">
        <v>12</v>
      </c>
      <c r="B16" s="4" t="s">
        <v>167</v>
      </c>
      <c r="C16" s="2" t="s">
        <v>9</v>
      </c>
      <c r="D16" s="2"/>
      <c r="E16" s="5">
        <v>7.2</v>
      </c>
      <c r="F16" s="20">
        <f>D16*E16</f>
        <v>0</v>
      </c>
      <c r="G16" s="2">
        <v>50</v>
      </c>
      <c r="H16" s="4" t="s">
        <v>168</v>
      </c>
      <c r="I16" s="2" t="s">
        <v>9</v>
      </c>
      <c r="J16" s="2"/>
      <c r="K16" s="5">
        <v>0</v>
      </c>
      <c r="L16" s="5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7.8</v>
      </c>
      <c r="F17" s="20">
        <f t="shared" si="1"/>
        <v>0</v>
      </c>
      <c r="G17" s="2">
        <v>51</v>
      </c>
      <c r="H17" s="4" t="s">
        <v>169</v>
      </c>
      <c r="I17" s="2" t="s">
        <v>9</v>
      </c>
      <c r="J17" s="2"/>
      <c r="K17" s="5">
        <v>4.2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5.4</v>
      </c>
      <c r="F18" s="20">
        <f t="shared" si="1"/>
        <v>0</v>
      </c>
      <c r="G18" s="2">
        <v>52</v>
      </c>
      <c r="H18" s="4" t="s">
        <v>170</v>
      </c>
      <c r="I18" s="2" t="s">
        <v>9</v>
      </c>
      <c r="J18" s="2"/>
      <c r="K18" s="5">
        <v>3.8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</v>
      </c>
      <c r="F19" s="20">
        <f t="shared" si="1"/>
        <v>0</v>
      </c>
      <c r="G19" s="2">
        <v>53</v>
      </c>
      <c r="H19" s="4" t="s">
        <v>171</v>
      </c>
      <c r="I19" s="2" t="s">
        <v>9</v>
      </c>
      <c r="J19" s="2"/>
      <c r="K19" s="5">
        <v>3.8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3</v>
      </c>
      <c r="F20" s="20">
        <f t="shared" si="1"/>
        <v>0</v>
      </c>
      <c r="G20" s="2">
        <v>54</v>
      </c>
      <c r="H20" s="4" t="s">
        <v>172</v>
      </c>
      <c r="I20" s="2" t="s">
        <v>9</v>
      </c>
      <c r="J20" s="2"/>
      <c r="K20" s="5">
        <v>3.8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1.7</v>
      </c>
      <c r="F21" s="20">
        <f t="shared" si="1"/>
        <v>0</v>
      </c>
      <c r="G21" s="2">
        <v>55</v>
      </c>
      <c r="H21" s="4" t="s">
        <v>173</v>
      </c>
      <c r="I21" s="2" t="s">
        <v>9</v>
      </c>
      <c r="J21" s="2"/>
      <c r="K21" s="5">
        <v>3.8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7.5</v>
      </c>
      <c r="F22" s="20">
        <f t="shared" si="1"/>
        <v>0</v>
      </c>
      <c r="G22" s="2">
        <v>56</v>
      </c>
      <c r="H22" s="4" t="s">
        <v>174</v>
      </c>
      <c r="I22" s="2" t="s">
        <v>9</v>
      </c>
      <c r="J22" s="2"/>
      <c r="K22" s="5">
        <v>10</v>
      </c>
      <c r="L22" s="5">
        <f t="shared" si="0"/>
        <v>0</v>
      </c>
    </row>
    <row r="23" spans="1:12" ht="13.15" customHeight="1">
      <c r="A23" s="2">
        <v>19</v>
      </c>
      <c r="B23" s="4" t="s">
        <v>175</v>
      </c>
      <c r="C23" s="2" t="s">
        <v>9</v>
      </c>
      <c r="D23" s="2"/>
      <c r="E23" s="5">
        <v>8</v>
      </c>
      <c r="F23" s="20">
        <f t="shared" si="1"/>
        <v>0</v>
      </c>
      <c r="G23" s="2">
        <v>57</v>
      </c>
      <c r="H23" s="4" t="s">
        <v>176</v>
      </c>
      <c r="I23" s="2" t="s">
        <v>9</v>
      </c>
      <c r="J23" s="4"/>
      <c r="K23" s="2">
        <v>8.8000000000000007</v>
      </c>
      <c r="L23" s="5">
        <f t="shared" si="0"/>
        <v>0</v>
      </c>
    </row>
    <row r="24" spans="1:12" ht="13.15" customHeight="1">
      <c r="A24" s="2">
        <v>20</v>
      </c>
      <c r="B24" s="4" t="s">
        <v>177</v>
      </c>
      <c r="C24" s="2" t="s">
        <v>9</v>
      </c>
      <c r="D24" s="2"/>
      <c r="E24" s="5">
        <v>8.4</v>
      </c>
      <c r="F24" s="20">
        <f t="shared" si="1"/>
        <v>0</v>
      </c>
      <c r="G24" s="2">
        <v>58</v>
      </c>
      <c r="H24" s="4" t="s">
        <v>178</v>
      </c>
      <c r="I24" s="2" t="s">
        <v>9</v>
      </c>
      <c r="J24" s="4"/>
      <c r="K24" s="2">
        <v>7.2</v>
      </c>
      <c r="L24" s="5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8.8000000000000007</v>
      </c>
      <c r="F25" s="20">
        <f t="shared" si="1"/>
        <v>0</v>
      </c>
      <c r="G25" s="2">
        <v>59</v>
      </c>
      <c r="H25" s="4" t="s">
        <v>179</v>
      </c>
      <c r="I25" s="2" t="s">
        <v>9</v>
      </c>
      <c r="J25" s="4"/>
      <c r="K25" s="2">
        <v>8.5</v>
      </c>
      <c r="L25" s="5">
        <f t="shared" si="0"/>
        <v>0</v>
      </c>
    </row>
    <row r="26" spans="1:12" ht="13.15" customHeight="1">
      <c r="A26" s="2">
        <v>22</v>
      </c>
      <c r="B26" s="4" t="s">
        <v>180</v>
      </c>
      <c r="C26" s="2" t="s">
        <v>9</v>
      </c>
      <c r="D26" s="2"/>
      <c r="E26" s="5">
        <v>6</v>
      </c>
      <c r="F26" s="20">
        <f t="shared" si="1"/>
        <v>0</v>
      </c>
      <c r="G26" s="2">
        <v>60</v>
      </c>
      <c r="H26" s="4" t="s">
        <v>131</v>
      </c>
      <c r="I26" s="2" t="s">
        <v>9</v>
      </c>
      <c r="J26" s="4"/>
      <c r="K26" s="2">
        <v>4.2</v>
      </c>
      <c r="L26" s="5">
        <f t="shared" si="0"/>
        <v>0</v>
      </c>
    </row>
    <row r="27" spans="1:12" ht="13.15" customHeight="1">
      <c r="A27" s="2">
        <v>23</v>
      </c>
      <c r="B27" s="4" t="s">
        <v>181</v>
      </c>
      <c r="C27" s="2" t="s">
        <v>9</v>
      </c>
      <c r="D27" s="2"/>
      <c r="E27" s="5">
        <v>3.8</v>
      </c>
      <c r="F27" s="20">
        <f t="shared" si="1"/>
        <v>0</v>
      </c>
      <c r="G27" s="2">
        <v>61</v>
      </c>
      <c r="H27" s="4" t="s">
        <v>182</v>
      </c>
      <c r="I27" s="2" t="s">
        <v>9</v>
      </c>
      <c r="J27" s="4"/>
      <c r="K27" s="2">
        <v>13.5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6.3</v>
      </c>
      <c r="F28" s="20">
        <f t="shared" si="1"/>
        <v>0</v>
      </c>
      <c r="G28" s="2">
        <v>62</v>
      </c>
      <c r="H28" s="4" t="s">
        <v>183</v>
      </c>
      <c r="I28" s="2" t="s">
        <v>9</v>
      </c>
      <c r="J28" s="4"/>
      <c r="K28" s="2">
        <v>12.8</v>
      </c>
      <c r="L28" s="5">
        <f t="shared" si="0"/>
        <v>0</v>
      </c>
    </row>
    <row r="29" spans="1:12" ht="13.15" customHeight="1">
      <c r="A29" s="2">
        <v>25</v>
      </c>
      <c r="B29" s="4" t="s">
        <v>184</v>
      </c>
      <c r="C29" s="2" t="s">
        <v>9</v>
      </c>
      <c r="D29" s="2"/>
      <c r="E29" s="5">
        <v>7.7</v>
      </c>
      <c r="F29" s="20">
        <f t="shared" si="1"/>
        <v>0</v>
      </c>
      <c r="G29" s="2">
        <v>63</v>
      </c>
      <c r="H29" s="4" t="s">
        <v>185</v>
      </c>
      <c r="I29" s="2" t="s">
        <v>9</v>
      </c>
      <c r="J29" s="4"/>
      <c r="K29" s="2">
        <v>8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6.2</v>
      </c>
      <c r="F30" s="5">
        <f t="shared" si="1"/>
        <v>0</v>
      </c>
      <c r="G30" s="2">
        <v>64</v>
      </c>
      <c r="H30" s="4" t="s">
        <v>186</v>
      </c>
      <c r="I30" s="2" t="s">
        <v>9</v>
      </c>
      <c r="J30" s="4"/>
      <c r="K30" s="2">
        <v>7.25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7</v>
      </c>
      <c r="F31" s="5">
        <f t="shared" si="1"/>
        <v>0</v>
      </c>
      <c r="G31" s="2">
        <v>65</v>
      </c>
      <c r="H31" s="4" t="s">
        <v>187</v>
      </c>
      <c r="I31" s="2" t="s">
        <v>9</v>
      </c>
      <c r="J31" s="4"/>
      <c r="K31" s="2">
        <v>10.8</v>
      </c>
      <c r="L31" s="5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10</v>
      </c>
      <c r="F32" s="20">
        <f t="shared" si="1"/>
        <v>0</v>
      </c>
      <c r="G32" s="2">
        <v>66</v>
      </c>
      <c r="H32" s="4" t="s">
        <v>188</v>
      </c>
      <c r="I32" s="2" t="s">
        <v>9</v>
      </c>
      <c r="J32" s="4"/>
      <c r="K32" s="2">
        <v>3.8</v>
      </c>
      <c r="L32" s="5">
        <f t="shared" si="0"/>
        <v>0</v>
      </c>
    </row>
    <row r="33" spans="1:12" ht="13.15" customHeight="1">
      <c r="A33" s="2">
        <v>29</v>
      </c>
      <c r="B33" s="4" t="s">
        <v>189</v>
      </c>
      <c r="C33" s="2" t="s">
        <v>9</v>
      </c>
      <c r="D33" s="2"/>
      <c r="E33" s="5">
        <v>1.5</v>
      </c>
      <c r="F33" s="5">
        <f t="shared" si="1"/>
        <v>0</v>
      </c>
      <c r="G33" s="2">
        <v>67</v>
      </c>
      <c r="H33" s="4" t="s">
        <v>190</v>
      </c>
      <c r="I33" s="2" t="s">
        <v>9</v>
      </c>
      <c r="J33" s="4"/>
      <c r="K33" s="2">
        <v>6.7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7.9</v>
      </c>
      <c r="F34" s="5">
        <f t="shared" si="1"/>
        <v>0</v>
      </c>
      <c r="G34" s="2">
        <v>68</v>
      </c>
      <c r="H34" s="4" t="s">
        <v>191</v>
      </c>
      <c r="I34" s="2" t="s">
        <v>9</v>
      </c>
      <c r="J34" s="4"/>
      <c r="K34" s="2">
        <v>6.7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7</v>
      </c>
      <c r="F35" s="20">
        <f t="shared" si="1"/>
        <v>0</v>
      </c>
      <c r="G35" s="2">
        <v>69</v>
      </c>
      <c r="H35" s="4" t="s">
        <v>192</v>
      </c>
      <c r="I35" s="2" t="s">
        <v>9</v>
      </c>
      <c r="J35" s="4"/>
      <c r="K35" s="2">
        <v>4.8</v>
      </c>
      <c r="L35" s="5">
        <f>J35*K35</f>
        <v>0</v>
      </c>
    </row>
    <row r="36" spans="1:12" ht="13.15" customHeight="1">
      <c r="A36" s="2">
        <v>32</v>
      </c>
      <c r="B36" s="4" t="s">
        <v>193</v>
      </c>
      <c r="C36" s="2" t="s">
        <v>9</v>
      </c>
      <c r="D36" s="2"/>
      <c r="E36" s="5">
        <v>10.25</v>
      </c>
      <c r="F36" s="20">
        <f>D36*E36</f>
        <v>0</v>
      </c>
      <c r="G36" s="2">
        <v>70</v>
      </c>
      <c r="H36" s="4" t="s">
        <v>194</v>
      </c>
      <c r="I36" s="2" t="s">
        <v>9</v>
      </c>
      <c r="J36" s="4"/>
      <c r="K36" s="2">
        <v>7.25</v>
      </c>
      <c r="L36" s="5">
        <f>J36*K36</f>
        <v>0</v>
      </c>
    </row>
    <row r="37" spans="1:12" ht="13.15" customHeight="1">
      <c r="A37" s="2">
        <v>33</v>
      </c>
      <c r="B37" s="4" t="s">
        <v>195</v>
      </c>
      <c r="C37" s="2" t="s">
        <v>9</v>
      </c>
      <c r="D37" s="2"/>
      <c r="E37" s="5">
        <v>6</v>
      </c>
      <c r="F37" s="20">
        <f>D37*E37</f>
        <v>0</v>
      </c>
      <c r="G37" s="2">
        <v>71</v>
      </c>
      <c r="H37" s="4" t="s">
        <v>196</v>
      </c>
      <c r="I37" s="2" t="s">
        <v>9</v>
      </c>
      <c r="J37" s="4"/>
      <c r="K37" s="2">
        <v>5.4</v>
      </c>
      <c r="L37" s="5">
        <f>J37*K37</f>
        <v>0</v>
      </c>
    </row>
    <row r="38" spans="1:12" ht="13.15" customHeight="1">
      <c r="A38" s="2">
        <v>34</v>
      </c>
      <c r="B38" s="4"/>
      <c r="C38" s="2" t="s">
        <v>9</v>
      </c>
      <c r="D38" s="2"/>
      <c r="E38" s="5">
        <v>0</v>
      </c>
      <c r="F38" s="20">
        <f>D38*E38</f>
        <v>0</v>
      </c>
      <c r="G38" s="2">
        <v>72</v>
      </c>
      <c r="H38" s="4" t="s">
        <v>197</v>
      </c>
      <c r="I38" s="2" t="s">
        <v>9</v>
      </c>
      <c r="J38" s="4"/>
      <c r="K38" s="2">
        <v>8.5</v>
      </c>
      <c r="L38" s="5">
        <f>J38*K38</f>
        <v>0</v>
      </c>
    </row>
    <row r="39" spans="1:12" ht="13.15" customHeight="1">
      <c r="A39" s="2">
        <v>35</v>
      </c>
      <c r="B39" s="4" t="s">
        <v>198</v>
      </c>
      <c r="C39" s="2" t="s">
        <v>9</v>
      </c>
      <c r="D39" s="2"/>
      <c r="E39" s="5">
        <v>8.5</v>
      </c>
      <c r="F39" s="20">
        <f>D39*E39</f>
        <v>0</v>
      </c>
      <c r="G39" s="2">
        <v>73</v>
      </c>
      <c r="H39" s="4" t="s">
        <v>199</v>
      </c>
      <c r="I39" s="2" t="s">
        <v>9</v>
      </c>
      <c r="J39" s="4"/>
      <c r="K39" s="2">
        <v>6.7</v>
      </c>
      <c r="L39" s="5">
        <f>J39*K39</f>
        <v>0</v>
      </c>
    </row>
    <row r="40" spans="1:12" ht="13.15" customHeight="1">
      <c r="K40" t="s">
        <v>200</v>
      </c>
      <c r="L40" s="25">
        <f>F5+F6+F7+F8+F9+F10+F11+F12+F13+F14+F15+F16+F17+F18+F19+F20+F21+F22+F23+F24+F25+F26+F27+F28+F29+F30+F31+F32+F33+F34+F35+F36+F37+F38+F39+L2+L3+L4+L5+L6+L7+L8+L9+L10+L11+L12+L13+L14+L15+L16+L17+L18+L19+L20+L21+L22+L23+L24+L25+L26+L27+L28+L29+L30+L31+L32+L33+L34+L35+L36+L37+L38+L39</f>
        <v>0</v>
      </c>
    </row>
    <row r="42" spans="1:12" ht="13.15" customHeight="1">
      <c r="H42" t="s">
        <v>201</v>
      </c>
      <c r="J42" t="s">
        <v>202</v>
      </c>
    </row>
  </sheetData>
  <mergeCells count="4">
    <mergeCell ref="A1:C1"/>
    <mergeCell ref="D1:F1"/>
    <mergeCell ref="A2:F2"/>
    <mergeCell ref="A3:F3"/>
  </mergeCells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>
  <sheetPr codeName="Лист91"/>
  <dimension ref="A1:L42"/>
  <sheetViews>
    <sheetView topLeftCell="A22" workbookViewId="0">
      <selection activeCell="N51" sqref="N51"/>
    </sheetView>
  </sheetViews>
  <sheetFormatPr defaultRowHeight="13.15" customHeight="1"/>
  <cols>
    <col min="1" max="1" width="5" style="17" customWidth="1"/>
    <col min="2" max="2" width="30.28515625" customWidth="1"/>
    <col min="3" max="3" width="6.85546875" customWidth="1"/>
    <col min="4" max="4" width="6.5703125" customWidth="1"/>
    <col min="6" max="6" width="8.85546875" style="17"/>
    <col min="7" max="7" width="4.7109375" style="17" customWidth="1"/>
    <col min="8" max="8" width="24.7109375" customWidth="1"/>
    <col min="9" max="9" width="6.7109375" customWidth="1"/>
    <col min="10" max="10" width="7" customWidth="1"/>
    <col min="12" max="12" width="8.85546875" style="17"/>
  </cols>
  <sheetData>
    <row r="1" spans="1:12" ht="13.15" customHeight="1">
      <c r="A1" s="30" t="s">
        <v>147</v>
      </c>
      <c r="B1" s="30"/>
      <c r="C1" s="30"/>
      <c r="D1" s="31" t="s">
        <v>148</v>
      </c>
      <c r="E1" s="30"/>
      <c r="F1" s="30"/>
      <c r="G1" s="16"/>
      <c r="H1" s="2" t="s">
        <v>2</v>
      </c>
      <c r="I1" s="1" t="s">
        <v>3</v>
      </c>
      <c r="J1" s="2" t="s">
        <v>4</v>
      </c>
      <c r="K1" s="2" t="s">
        <v>149</v>
      </c>
      <c r="L1" s="2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150</v>
      </c>
      <c r="I2" s="2" t="s">
        <v>9</v>
      </c>
      <c r="J2" s="2"/>
      <c r="K2" s="5">
        <v>8.5</v>
      </c>
      <c r="L2" s="5">
        <f t="shared" ref="L2:L34" si="0"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151</v>
      </c>
      <c r="I3" s="2" t="s">
        <v>9</v>
      </c>
      <c r="J3" s="2"/>
      <c r="K3" s="5">
        <v>8.5</v>
      </c>
      <c r="L3" s="5">
        <f t="shared" si="0"/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152</v>
      </c>
      <c r="I4" s="2" t="s">
        <v>9</v>
      </c>
      <c r="J4" s="2"/>
      <c r="K4" s="5">
        <v>8.5</v>
      </c>
      <c r="L4" s="5">
        <f t="shared" si="0"/>
        <v>0</v>
      </c>
    </row>
    <row r="5" spans="1:12" ht="13.15" customHeight="1">
      <c r="A5" s="2">
        <v>1</v>
      </c>
      <c r="B5" s="4" t="s">
        <v>153</v>
      </c>
      <c r="C5" s="2" t="s">
        <v>9</v>
      </c>
      <c r="D5" s="2"/>
      <c r="E5" s="5">
        <v>8.8000000000000007</v>
      </c>
      <c r="F5" s="20">
        <f>D5*E5</f>
        <v>0</v>
      </c>
      <c r="G5" s="2">
        <v>39</v>
      </c>
      <c r="H5" s="4" t="s">
        <v>154</v>
      </c>
      <c r="I5" s="2" t="s">
        <v>9</v>
      </c>
      <c r="J5" s="2"/>
      <c r="K5" s="5">
        <v>8.5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5.7</v>
      </c>
      <c r="F6" s="20">
        <f t="shared" ref="F6:F35" si="1">D6*E6</f>
        <v>0</v>
      </c>
      <c r="G6" s="2">
        <v>40</v>
      </c>
      <c r="H6" s="4" t="s">
        <v>155</v>
      </c>
      <c r="I6" s="2" t="s">
        <v>9</v>
      </c>
      <c r="J6" s="2"/>
      <c r="K6" s="5">
        <v>8.5</v>
      </c>
      <c r="L6" s="5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6.3</v>
      </c>
      <c r="F7" s="20">
        <f t="shared" si="1"/>
        <v>0</v>
      </c>
      <c r="G7" s="2">
        <v>41</v>
      </c>
      <c r="H7" s="4" t="s">
        <v>157</v>
      </c>
      <c r="I7" s="2" t="s">
        <v>9</v>
      </c>
      <c r="J7" s="2"/>
      <c r="K7" s="5">
        <v>8.5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9</v>
      </c>
      <c r="F8" s="20">
        <f t="shared" si="1"/>
        <v>0</v>
      </c>
      <c r="G8" s="2">
        <v>42</v>
      </c>
      <c r="H8" s="4" t="s">
        <v>158</v>
      </c>
      <c r="I8" s="2" t="s">
        <v>9</v>
      </c>
      <c r="J8" s="2"/>
      <c r="K8" s="5">
        <v>3.3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5.8</v>
      </c>
      <c r="F9" s="20">
        <f t="shared" si="1"/>
        <v>0</v>
      </c>
      <c r="G9" s="2">
        <v>43</v>
      </c>
      <c r="H9" s="4" t="s">
        <v>159</v>
      </c>
      <c r="I9" s="2" t="s">
        <v>9</v>
      </c>
      <c r="J9" s="2"/>
      <c r="K9" s="5">
        <v>3.8</v>
      </c>
      <c r="L9" s="5">
        <f t="shared" si="0"/>
        <v>0</v>
      </c>
    </row>
    <row r="10" spans="1:12" ht="13.15" customHeight="1">
      <c r="A10" s="2">
        <v>6</v>
      </c>
      <c r="B10" s="4" t="s">
        <v>160</v>
      </c>
      <c r="C10" s="2" t="s">
        <v>9</v>
      </c>
      <c r="D10" s="2"/>
      <c r="E10" s="5">
        <v>7.4</v>
      </c>
      <c r="F10" s="20">
        <f t="shared" si="1"/>
        <v>0</v>
      </c>
      <c r="G10" s="2">
        <v>44</v>
      </c>
      <c r="H10" s="4" t="s">
        <v>13</v>
      </c>
      <c r="I10" s="2" t="s">
        <v>9</v>
      </c>
      <c r="J10" s="2"/>
      <c r="K10" s="5">
        <v>3.3</v>
      </c>
      <c r="L10" s="5">
        <f t="shared" si="0"/>
        <v>0</v>
      </c>
    </row>
    <row r="11" spans="1:12" ht="13.15" customHeight="1">
      <c r="A11" s="2">
        <v>7</v>
      </c>
      <c r="B11" s="4" t="s">
        <v>78</v>
      </c>
      <c r="C11" s="2" t="s">
        <v>9</v>
      </c>
      <c r="D11" s="2"/>
      <c r="E11" s="5">
        <v>8.1</v>
      </c>
      <c r="F11" s="20">
        <f t="shared" si="1"/>
        <v>0</v>
      </c>
      <c r="G11" s="2">
        <v>45</v>
      </c>
      <c r="H11" s="4" t="s">
        <v>17</v>
      </c>
      <c r="I11" s="2" t="s">
        <v>9</v>
      </c>
      <c r="J11" s="2"/>
      <c r="K11" s="5">
        <v>2.6</v>
      </c>
      <c r="L11" s="5">
        <f t="shared" si="0"/>
        <v>0</v>
      </c>
    </row>
    <row r="12" spans="1:12" ht="13.15" customHeight="1">
      <c r="A12" s="2">
        <v>8</v>
      </c>
      <c r="B12" s="4" t="s">
        <v>80</v>
      </c>
      <c r="C12" s="2" t="s">
        <v>9</v>
      </c>
      <c r="D12" s="2"/>
      <c r="E12" s="5">
        <v>5.4</v>
      </c>
      <c r="F12" s="20">
        <f t="shared" si="1"/>
        <v>0</v>
      </c>
      <c r="G12" s="2">
        <v>46</v>
      </c>
      <c r="H12" s="4" t="s">
        <v>161</v>
      </c>
      <c r="I12" s="2" t="s">
        <v>9</v>
      </c>
      <c r="J12" s="2"/>
      <c r="K12" s="5">
        <v>2.6</v>
      </c>
      <c r="L12" s="5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6.3</v>
      </c>
      <c r="F13" s="20">
        <f t="shared" si="1"/>
        <v>0</v>
      </c>
      <c r="G13" s="2">
        <v>47</v>
      </c>
      <c r="H13" s="4" t="s">
        <v>163</v>
      </c>
      <c r="I13" s="2" t="s">
        <v>9</v>
      </c>
      <c r="J13" s="2"/>
      <c r="K13" s="5">
        <v>4.2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6.9</v>
      </c>
      <c r="F14" s="20">
        <f t="shared" si="1"/>
        <v>0</v>
      </c>
      <c r="G14" s="2">
        <v>48</v>
      </c>
      <c r="H14" s="4" t="s">
        <v>164</v>
      </c>
      <c r="I14" s="2" t="s">
        <v>9</v>
      </c>
      <c r="J14" s="2"/>
      <c r="K14" s="5">
        <v>4.2</v>
      </c>
      <c r="L14" s="5">
        <f t="shared" si="0"/>
        <v>0</v>
      </c>
    </row>
    <row r="15" spans="1:12" ht="13.15" customHeight="1">
      <c r="A15" s="2">
        <v>11</v>
      </c>
      <c r="B15" s="4" t="s">
        <v>165</v>
      </c>
      <c r="C15" s="2" t="s">
        <v>9</v>
      </c>
      <c r="D15" s="2"/>
      <c r="E15" s="5">
        <v>5.2</v>
      </c>
      <c r="F15" s="20">
        <f t="shared" si="1"/>
        <v>0</v>
      </c>
      <c r="G15" s="2">
        <v>49</v>
      </c>
      <c r="H15" s="4" t="s">
        <v>166</v>
      </c>
      <c r="I15" s="2" t="s">
        <v>9</v>
      </c>
      <c r="J15" s="2"/>
      <c r="K15" s="5">
        <v>4.2</v>
      </c>
      <c r="L15" s="5">
        <f t="shared" si="0"/>
        <v>0</v>
      </c>
    </row>
    <row r="16" spans="1:12" ht="13.15" customHeight="1">
      <c r="A16" s="2">
        <v>12</v>
      </c>
      <c r="B16" s="4" t="s">
        <v>167</v>
      </c>
      <c r="C16" s="2" t="s">
        <v>9</v>
      </c>
      <c r="D16" s="2"/>
      <c r="E16" s="5">
        <v>7.2</v>
      </c>
      <c r="F16" s="20">
        <f>D16*E16</f>
        <v>0</v>
      </c>
      <c r="G16" s="2">
        <v>50</v>
      </c>
      <c r="H16" s="4" t="s">
        <v>168</v>
      </c>
      <c r="I16" s="2" t="s">
        <v>9</v>
      </c>
      <c r="J16" s="2"/>
      <c r="K16" s="5">
        <v>0</v>
      </c>
      <c r="L16" s="5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7.8</v>
      </c>
      <c r="F17" s="20">
        <f t="shared" si="1"/>
        <v>0</v>
      </c>
      <c r="G17" s="2">
        <v>51</v>
      </c>
      <c r="H17" s="4" t="s">
        <v>169</v>
      </c>
      <c r="I17" s="2" t="s">
        <v>9</v>
      </c>
      <c r="J17" s="2"/>
      <c r="K17" s="5">
        <v>4.2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5.4</v>
      </c>
      <c r="F18" s="20">
        <f t="shared" si="1"/>
        <v>0</v>
      </c>
      <c r="G18" s="2">
        <v>52</v>
      </c>
      <c r="H18" s="4" t="s">
        <v>170</v>
      </c>
      <c r="I18" s="2" t="s">
        <v>9</v>
      </c>
      <c r="J18" s="2"/>
      <c r="K18" s="5">
        <v>3.8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</v>
      </c>
      <c r="F19" s="20">
        <f t="shared" si="1"/>
        <v>0</v>
      </c>
      <c r="G19" s="2">
        <v>53</v>
      </c>
      <c r="H19" s="4" t="s">
        <v>171</v>
      </c>
      <c r="I19" s="2" t="s">
        <v>9</v>
      </c>
      <c r="J19" s="2"/>
      <c r="K19" s="5">
        <v>3.8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3</v>
      </c>
      <c r="F20" s="20">
        <f t="shared" si="1"/>
        <v>0</v>
      </c>
      <c r="G20" s="2">
        <v>54</v>
      </c>
      <c r="H20" s="4" t="s">
        <v>172</v>
      </c>
      <c r="I20" s="2" t="s">
        <v>9</v>
      </c>
      <c r="J20" s="2"/>
      <c r="K20" s="5">
        <v>3.8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1.7</v>
      </c>
      <c r="F21" s="20">
        <f t="shared" si="1"/>
        <v>0</v>
      </c>
      <c r="G21" s="2">
        <v>55</v>
      </c>
      <c r="H21" s="4" t="s">
        <v>173</v>
      </c>
      <c r="I21" s="2" t="s">
        <v>9</v>
      </c>
      <c r="J21" s="2"/>
      <c r="K21" s="5">
        <v>3.8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7.5</v>
      </c>
      <c r="F22" s="20">
        <f t="shared" si="1"/>
        <v>0</v>
      </c>
      <c r="G22" s="2">
        <v>56</v>
      </c>
      <c r="H22" s="4" t="s">
        <v>174</v>
      </c>
      <c r="I22" s="2" t="s">
        <v>9</v>
      </c>
      <c r="J22" s="2"/>
      <c r="K22" s="5">
        <v>10</v>
      </c>
      <c r="L22" s="5">
        <f t="shared" si="0"/>
        <v>0</v>
      </c>
    </row>
    <row r="23" spans="1:12" ht="13.15" customHeight="1">
      <c r="A23" s="2">
        <v>19</v>
      </c>
      <c r="B23" s="4" t="s">
        <v>175</v>
      </c>
      <c r="C23" s="2" t="s">
        <v>9</v>
      </c>
      <c r="D23" s="2"/>
      <c r="E23" s="5">
        <v>8</v>
      </c>
      <c r="F23" s="20">
        <f t="shared" si="1"/>
        <v>0</v>
      </c>
      <c r="G23" s="2">
        <v>57</v>
      </c>
      <c r="H23" s="4" t="s">
        <v>176</v>
      </c>
      <c r="I23" s="2" t="s">
        <v>9</v>
      </c>
      <c r="J23" s="4"/>
      <c r="K23" s="2">
        <v>8.8000000000000007</v>
      </c>
      <c r="L23" s="5">
        <f t="shared" si="0"/>
        <v>0</v>
      </c>
    </row>
    <row r="24" spans="1:12" ht="13.15" customHeight="1">
      <c r="A24" s="2">
        <v>20</v>
      </c>
      <c r="B24" s="4" t="s">
        <v>177</v>
      </c>
      <c r="C24" s="2" t="s">
        <v>9</v>
      </c>
      <c r="D24" s="2"/>
      <c r="E24" s="5">
        <v>8.4</v>
      </c>
      <c r="F24" s="20">
        <f t="shared" si="1"/>
        <v>0</v>
      </c>
      <c r="G24" s="2">
        <v>58</v>
      </c>
      <c r="H24" s="4" t="s">
        <v>178</v>
      </c>
      <c r="I24" s="2" t="s">
        <v>9</v>
      </c>
      <c r="J24" s="4"/>
      <c r="K24" s="2">
        <v>7.2</v>
      </c>
      <c r="L24" s="5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8.8000000000000007</v>
      </c>
      <c r="F25" s="20">
        <f t="shared" si="1"/>
        <v>0</v>
      </c>
      <c r="G25" s="2">
        <v>59</v>
      </c>
      <c r="H25" s="4" t="s">
        <v>179</v>
      </c>
      <c r="I25" s="2" t="s">
        <v>9</v>
      </c>
      <c r="J25" s="4"/>
      <c r="K25" s="2">
        <v>8.5</v>
      </c>
      <c r="L25" s="5">
        <f t="shared" si="0"/>
        <v>0</v>
      </c>
    </row>
    <row r="26" spans="1:12" ht="13.15" customHeight="1">
      <c r="A26" s="2">
        <v>22</v>
      </c>
      <c r="B26" s="4" t="s">
        <v>180</v>
      </c>
      <c r="C26" s="2" t="s">
        <v>9</v>
      </c>
      <c r="D26" s="2"/>
      <c r="E26" s="5">
        <v>6</v>
      </c>
      <c r="F26" s="20">
        <f t="shared" si="1"/>
        <v>0</v>
      </c>
      <c r="G26" s="2">
        <v>60</v>
      </c>
      <c r="H26" s="4" t="s">
        <v>131</v>
      </c>
      <c r="I26" s="2" t="s">
        <v>9</v>
      </c>
      <c r="J26" s="4"/>
      <c r="K26" s="2">
        <v>4.2</v>
      </c>
      <c r="L26" s="5">
        <f t="shared" si="0"/>
        <v>0</v>
      </c>
    </row>
    <row r="27" spans="1:12" ht="13.15" customHeight="1">
      <c r="A27" s="2">
        <v>23</v>
      </c>
      <c r="B27" s="4" t="s">
        <v>181</v>
      </c>
      <c r="C27" s="2" t="s">
        <v>9</v>
      </c>
      <c r="D27" s="2"/>
      <c r="E27" s="5">
        <v>3.8</v>
      </c>
      <c r="F27" s="20">
        <f t="shared" si="1"/>
        <v>0</v>
      </c>
      <c r="G27" s="2">
        <v>61</v>
      </c>
      <c r="H27" s="4" t="s">
        <v>182</v>
      </c>
      <c r="I27" s="2" t="s">
        <v>9</v>
      </c>
      <c r="J27" s="4"/>
      <c r="K27" s="2">
        <v>13.5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6.3</v>
      </c>
      <c r="F28" s="20">
        <f t="shared" si="1"/>
        <v>0</v>
      </c>
      <c r="G28" s="2">
        <v>62</v>
      </c>
      <c r="H28" s="4" t="s">
        <v>183</v>
      </c>
      <c r="I28" s="2" t="s">
        <v>9</v>
      </c>
      <c r="J28" s="4"/>
      <c r="K28" s="2">
        <v>12.8</v>
      </c>
      <c r="L28" s="5">
        <f t="shared" si="0"/>
        <v>0</v>
      </c>
    </row>
    <row r="29" spans="1:12" ht="13.15" customHeight="1">
      <c r="A29" s="2">
        <v>25</v>
      </c>
      <c r="B29" s="4" t="s">
        <v>184</v>
      </c>
      <c r="C29" s="2" t="s">
        <v>9</v>
      </c>
      <c r="D29" s="2"/>
      <c r="E29" s="5">
        <v>7.7</v>
      </c>
      <c r="F29" s="20">
        <f t="shared" si="1"/>
        <v>0</v>
      </c>
      <c r="G29" s="2">
        <v>63</v>
      </c>
      <c r="H29" s="4" t="s">
        <v>185</v>
      </c>
      <c r="I29" s="2" t="s">
        <v>9</v>
      </c>
      <c r="J29" s="4"/>
      <c r="K29" s="2">
        <v>8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6.2</v>
      </c>
      <c r="F30" s="5">
        <f t="shared" si="1"/>
        <v>0</v>
      </c>
      <c r="G30" s="2">
        <v>64</v>
      </c>
      <c r="H30" s="4" t="s">
        <v>186</v>
      </c>
      <c r="I30" s="2" t="s">
        <v>9</v>
      </c>
      <c r="J30" s="4"/>
      <c r="K30" s="2">
        <v>7.25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7</v>
      </c>
      <c r="F31" s="5">
        <f t="shared" si="1"/>
        <v>0</v>
      </c>
      <c r="G31" s="2">
        <v>65</v>
      </c>
      <c r="H31" s="4" t="s">
        <v>187</v>
      </c>
      <c r="I31" s="2" t="s">
        <v>9</v>
      </c>
      <c r="J31" s="4"/>
      <c r="K31" s="2">
        <v>10.8</v>
      </c>
      <c r="L31" s="5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10</v>
      </c>
      <c r="F32" s="20">
        <f t="shared" si="1"/>
        <v>0</v>
      </c>
      <c r="G32" s="2">
        <v>66</v>
      </c>
      <c r="H32" s="4" t="s">
        <v>188</v>
      </c>
      <c r="I32" s="2" t="s">
        <v>9</v>
      </c>
      <c r="J32" s="4"/>
      <c r="K32" s="2">
        <v>3.8</v>
      </c>
      <c r="L32" s="5">
        <f t="shared" si="0"/>
        <v>0</v>
      </c>
    </row>
    <row r="33" spans="1:12" ht="13.15" customHeight="1">
      <c r="A33" s="2">
        <v>29</v>
      </c>
      <c r="B33" s="4" t="s">
        <v>189</v>
      </c>
      <c r="C33" s="2" t="s">
        <v>9</v>
      </c>
      <c r="D33" s="2"/>
      <c r="E33" s="5">
        <v>1.5</v>
      </c>
      <c r="F33" s="5">
        <f t="shared" si="1"/>
        <v>0</v>
      </c>
      <c r="G33" s="2">
        <v>67</v>
      </c>
      <c r="H33" s="4" t="s">
        <v>190</v>
      </c>
      <c r="I33" s="2" t="s">
        <v>9</v>
      </c>
      <c r="J33" s="4"/>
      <c r="K33" s="2">
        <v>6.7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7.9</v>
      </c>
      <c r="F34" s="5">
        <f t="shared" si="1"/>
        <v>0</v>
      </c>
      <c r="G34" s="2">
        <v>68</v>
      </c>
      <c r="H34" s="4" t="s">
        <v>191</v>
      </c>
      <c r="I34" s="2" t="s">
        <v>9</v>
      </c>
      <c r="J34" s="4"/>
      <c r="K34" s="2">
        <v>6.7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7</v>
      </c>
      <c r="F35" s="20">
        <f t="shared" si="1"/>
        <v>0</v>
      </c>
      <c r="G35" s="2">
        <v>69</v>
      </c>
      <c r="H35" s="4" t="s">
        <v>192</v>
      </c>
      <c r="I35" s="2" t="s">
        <v>9</v>
      </c>
      <c r="J35" s="4"/>
      <c r="K35" s="2">
        <v>4.8</v>
      </c>
      <c r="L35" s="5">
        <f>J35*K35</f>
        <v>0</v>
      </c>
    </row>
    <row r="36" spans="1:12" ht="13.15" customHeight="1">
      <c r="A36" s="2">
        <v>32</v>
      </c>
      <c r="B36" s="4" t="s">
        <v>193</v>
      </c>
      <c r="C36" s="2" t="s">
        <v>9</v>
      </c>
      <c r="D36" s="2"/>
      <c r="E36" s="5">
        <v>10.25</v>
      </c>
      <c r="F36" s="20">
        <f>D36*E36</f>
        <v>0</v>
      </c>
      <c r="G36" s="2">
        <v>70</v>
      </c>
      <c r="H36" s="4" t="s">
        <v>194</v>
      </c>
      <c r="I36" s="2" t="s">
        <v>9</v>
      </c>
      <c r="J36" s="4"/>
      <c r="K36" s="2">
        <v>7.25</v>
      </c>
      <c r="L36" s="5">
        <f>J36*K36</f>
        <v>0</v>
      </c>
    </row>
    <row r="37" spans="1:12" ht="13.15" customHeight="1">
      <c r="A37" s="2">
        <v>33</v>
      </c>
      <c r="B37" s="4" t="s">
        <v>195</v>
      </c>
      <c r="C37" s="2" t="s">
        <v>9</v>
      </c>
      <c r="D37" s="2"/>
      <c r="E37" s="5">
        <v>6</v>
      </c>
      <c r="F37" s="20">
        <f>D37*E37</f>
        <v>0</v>
      </c>
      <c r="G37" s="2">
        <v>71</v>
      </c>
      <c r="H37" s="4" t="s">
        <v>196</v>
      </c>
      <c r="I37" s="2" t="s">
        <v>9</v>
      </c>
      <c r="J37" s="4"/>
      <c r="K37" s="2">
        <v>5.4</v>
      </c>
      <c r="L37" s="5">
        <f>J37*K37</f>
        <v>0</v>
      </c>
    </row>
    <row r="38" spans="1:12" ht="13.15" customHeight="1">
      <c r="A38" s="2">
        <v>34</v>
      </c>
      <c r="B38" s="4"/>
      <c r="C38" s="2" t="s">
        <v>9</v>
      </c>
      <c r="D38" s="2"/>
      <c r="E38" s="5">
        <v>0</v>
      </c>
      <c r="F38" s="20">
        <f>D38*E38</f>
        <v>0</v>
      </c>
      <c r="G38" s="2">
        <v>72</v>
      </c>
      <c r="H38" s="4" t="s">
        <v>197</v>
      </c>
      <c r="I38" s="2" t="s">
        <v>9</v>
      </c>
      <c r="J38" s="4"/>
      <c r="K38" s="2">
        <v>8.5</v>
      </c>
      <c r="L38" s="5">
        <f>J38*K38</f>
        <v>0</v>
      </c>
    </row>
    <row r="39" spans="1:12" ht="13.15" customHeight="1">
      <c r="A39" s="2">
        <v>35</v>
      </c>
      <c r="B39" s="4" t="s">
        <v>198</v>
      </c>
      <c r="C39" s="2" t="s">
        <v>9</v>
      </c>
      <c r="D39" s="2"/>
      <c r="E39" s="5">
        <v>8.5</v>
      </c>
      <c r="F39" s="20">
        <f>D39*E39</f>
        <v>0</v>
      </c>
      <c r="G39" s="2">
        <v>73</v>
      </c>
      <c r="H39" s="4" t="s">
        <v>199</v>
      </c>
      <c r="I39" s="2" t="s">
        <v>9</v>
      </c>
      <c r="J39" s="4"/>
      <c r="K39" s="2">
        <v>6.7</v>
      </c>
      <c r="L39" s="5">
        <f>J39*K39</f>
        <v>0</v>
      </c>
    </row>
    <row r="40" spans="1:12" ht="13.15" customHeight="1">
      <c r="K40" t="s">
        <v>200</v>
      </c>
      <c r="L40" s="25">
        <f>F5+F6+F7+F8+F9+F10+F11+F12+F13+F14+F15+F16+F17+F18+F19+F20+F21+F22+F23+F24+F25+F26+F27+F28+F29+F30+F31+F32+F33+F34+F35+F36+F37+F38+F39+L2+L3+L4+L5+L6+L7+L8+L9+L10+L11+L12+L13+L14+L15+L16+L17+L18+L19+L20+L21+L22+L23+L24+L25+L26+L27+L28+L29+L30+L31+L32+L33+L34+L35+L36+L37+L38+L39</f>
        <v>0</v>
      </c>
    </row>
    <row r="42" spans="1:12" ht="13.15" customHeight="1">
      <c r="H42" t="s">
        <v>201</v>
      </c>
      <c r="J42" t="s">
        <v>202</v>
      </c>
    </row>
  </sheetData>
  <mergeCells count="4">
    <mergeCell ref="A1:C1"/>
    <mergeCell ref="D1:F1"/>
    <mergeCell ref="A2:F2"/>
    <mergeCell ref="A3:F3"/>
  </mergeCells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>
  <sheetPr codeName="Лист92"/>
  <dimension ref="A1:L42"/>
  <sheetViews>
    <sheetView topLeftCell="A22" workbookViewId="0">
      <selection activeCell="N51" sqref="N51"/>
    </sheetView>
  </sheetViews>
  <sheetFormatPr defaultRowHeight="13.15" customHeight="1"/>
  <cols>
    <col min="1" max="1" width="5" style="17" customWidth="1"/>
    <col min="2" max="2" width="30.28515625" customWidth="1"/>
    <col min="3" max="3" width="6.85546875" customWidth="1"/>
    <col min="4" max="4" width="6.5703125" customWidth="1"/>
    <col min="6" max="6" width="8.85546875" style="17"/>
    <col min="7" max="7" width="4.7109375" style="17" customWidth="1"/>
    <col min="8" max="8" width="24.7109375" customWidth="1"/>
    <col min="9" max="9" width="6.7109375" customWidth="1"/>
    <col min="10" max="10" width="7" customWidth="1"/>
    <col min="12" max="12" width="8.85546875" style="17"/>
  </cols>
  <sheetData>
    <row r="1" spans="1:12" ht="13.15" customHeight="1">
      <c r="A1" s="30" t="s">
        <v>147</v>
      </c>
      <c r="B1" s="30"/>
      <c r="C1" s="30"/>
      <c r="D1" s="31" t="s">
        <v>148</v>
      </c>
      <c r="E1" s="30"/>
      <c r="F1" s="30"/>
      <c r="G1" s="16"/>
      <c r="H1" s="2" t="s">
        <v>2</v>
      </c>
      <c r="I1" s="1" t="s">
        <v>3</v>
      </c>
      <c r="J1" s="2" t="s">
        <v>4</v>
      </c>
      <c r="K1" s="2" t="s">
        <v>149</v>
      </c>
      <c r="L1" s="2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150</v>
      </c>
      <c r="I2" s="2" t="s">
        <v>9</v>
      </c>
      <c r="J2" s="2"/>
      <c r="K2" s="5">
        <v>8.5</v>
      </c>
      <c r="L2" s="5">
        <f t="shared" ref="L2:L34" si="0"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151</v>
      </c>
      <c r="I3" s="2" t="s">
        <v>9</v>
      </c>
      <c r="J3" s="2"/>
      <c r="K3" s="5">
        <v>8.5</v>
      </c>
      <c r="L3" s="5">
        <f t="shared" si="0"/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152</v>
      </c>
      <c r="I4" s="2" t="s">
        <v>9</v>
      </c>
      <c r="J4" s="2"/>
      <c r="K4" s="5">
        <v>8.5</v>
      </c>
      <c r="L4" s="5">
        <f t="shared" si="0"/>
        <v>0</v>
      </c>
    </row>
    <row r="5" spans="1:12" ht="13.15" customHeight="1">
      <c r="A5" s="2">
        <v>1</v>
      </c>
      <c r="B5" s="4" t="s">
        <v>153</v>
      </c>
      <c r="C5" s="2" t="s">
        <v>9</v>
      </c>
      <c r="D5" s="2"/>
      <c r="E5" s="5">
        <v>8.8000000000000007</v>
      </c>
      <c r="F5" s="20">
        <f>D5*E5</f>
        <v>0</v>
      </c>
      <c r="G5" s="2">
        <v>39</v>
      </c>
      <c r="H5" s="4" t="s">
        <v>154</v>
      </c>
      <c r="I5" s="2" t="s">
        <v>9</v>
      </c>
      <c r="J5" s="2"/>
      <c r="K5" s="5">
        <v>8.5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5.7</v>
      </c>
      <c r="F6" s="20">
        <f t="shared" ref="F6:F35" si="1">D6*E6</f>
        <v>0</v>
      </c>
      <c r="G6" s="2">
        <v>40</v>
      </c>
      <c r="H6" s="4" t="s">
        <v>155</v>
      </c>
      <c r="I6" s="2" t="s">
        <v>9</v>
      </c>
      <c r="J6" s="2"/>
      <c r="K6" s="5">
        <v>8.5</v>
      </c>
      <c r="L6" s="5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6.3</v>
      </c>
      <c r="F7" s="20">
        <f t="shared" si="1"/>
        <v>0</v>
      </c>
      <c r="G7" s="2">
        <v>41</v>
      </c>
      <c r="H7" s="4" t="s">
        <v>157</v>
      </c>
      <c r="I7" s="2" t="s">
        <v>9</v>
      </c>
      <c r="J7" s="2"/>
      <c r="K7" s="5">
        <v>8.5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9</v>
      </c>
      <c r="F8" s="20">
        <f t="shared" si="1"/>
        <v>0</v>
      </c>
      <c r="G8" s="2">
        <v>42</v>
      </c>
      <c r="H8" s="4" t="s">
        <v>158</v>
      </c>
      <c r="I8" s="2" t="s">
        <v>9</v>
      </c>
      <c r="J8" s="2"/>
      <c r="K8" s="5">
        <v>3.3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5.8</v>
      </c>
      <c r="F9" s="20">
        <f t="shared" si="1"/>
        <v>0</v>
      </c>
      <c r="G9" s="2">
        <v>43</v>
      </c>
      <c r="H9" s="4" t="s">
        <v>159</v>
      </c>
      <c r="I9" s="2" t="s">
        <v>9</v>
      </c>
      <c r="J9" s="2"/>
      <c r="K9" s="5">
        <v>3.8</v>
      </c>
      <c r="L9" s="5">
        <f t="shared" si="0"/>
        <v>0</v>
      </c>
    </row>
    <row r="10" spans="1:12" ht="13.15" customHeight="1">
      <c r="A10" s="2">
        <v>6</v>
      </c>
      <c r="B10" s="4" t="s">
        <v>160</v>
      </c>
      <c r="C10" s="2" t="s">
        <v>9</v>
      </c>
      <c r="D10" s="2"/>
      <c r="E10" s="5">
        <v>7.4</v>
      </c>
      <c r="F10" s="20">
        <f t="shared" si="1"/>
        <v>0</v>
      </c>
      <c r="G10" s="2">
        <v>44</v>
      </c>
      <c r="H10" s="4" t="s">
        <v>13</v>
      </c>
      <c r="I10" s="2" t="s">
        <v>9</v>
      </c>
      <c r="J10" s="2"/>
      <c r="K10" s="5">
        <v>3.3</v>
      </c>
      <c r="L10" s="5">
        <f t="shared" si="0"/>
        <v>0</v>
      </c>
    </row>
    <row r="11" spans="1:12" ht="13.15" customHeight="1">
      <c r="A11" s="2">
        <v>7</v>
      </c>
      <c r="B11" s="4" t="s">
        <v>78</v>
      </c>
      <c r="C11" s="2" t="s">
        <v>9</v>
      </c>
      <c r="D11" s="2"/>
      <c r="E11" s="5">
        <v>8.1</v>
      </c>
      <c r="F11" s="20">
        <f t="shared" si="1"/>
        <v>0</v>
      </c>
      <c r="G11" s="2">
        <v>45</v>
      </c>
      <c r="H11" s="4" t="s">
        <v>17</v>
      </c>
      <c r="I11" s="2" t="s">
        <v>9</v>
      </c>
      <c r="J11" s="2"/>
      <c r="K11" s="5">
        <v>2.6</v>
      </c>
      <c r="L11" s="5">
        <f t="shared" si="0"/>
        <v>0</v>
      </c>
    </row>
    <row r="12" spans="1:12" ht="13.15" customHeight="1">
      <c r="A12" s="2">
        <v>8</v>
      </c>
      <c r="B12" s="4" t="s">
        <v>80</v>
      </c>
      <c r="C12" s="2" t="s">
        <v>9</v>
      </c>
      <c r="D12" s="2"/>
      <c r="E12" s="5">
        <v>5.4</v>
      </c>
      <c r="F12" s="20">
        <f t="shared" si="1"/>
        <v>0</v>
      </c>
      <c r="G12" s="2">
        <v>46</v>
      </c>
      <c r="H12" s="4" t="s">
        <v>161</v>
      </c>
      <c r="I12" s="2" t="s">
        <v>9</v>
      </c>
      <c r="J12" s="2"/>
      <c r="K12" s="5">
        <v>2.6</v>
      </c>
      <c r="L12" s="5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6.3</v>
      </c>
      <c r="F13" s="20">
        <f t="shared" si="1"/>
        <v>0</v>
      </c>
      <c r="G13" s="2">
        <v>47</v>
      </c>
      <c r="H13" s="4" t="s">
        <v>163</v>
      </c>
      <c r="I13" s="2" t="s">
        <v>9</v>
      </c>
      <c r="J13" s="2"/>
      <c r="K13" s="5">
        <v>4.2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6.9</v>
      </c>
      <c r="F14" s="20">
        <f t="shared" si="1"/>
        <v>0</v>
      </c>
      <c r="G14" s="2">
        <v>48</v>
      </c>
      <c r="H14" s="4" t="s">
        <v>164</v>
      </c>
      <c r="I14" s="2" t="s">
        <v>9</v>
      </c>
      <c r="J14" s="2"/>
      <c r="K14" s="5">
        <v>4.2</v>
      </c>
      <c r="L14" s="5">
        <f t="shared" si="0"/>
        <v>0</v>
      </c>
    </row>
    <row r="15" spans="1:12" ht="13.15" customHeight="1">
      <c r="A15" s="2">
        <v>11</v>
      </c>
      <c r="B15" s="4" t="s">
        <v>165</v>
      </c>
      <c r="C15" s="2" t="s">
        <v>9</v>
      </c>
      <c r="D15" s="2"/>
      <c r="E15" s="5">
        <v>5.2</v>
      </c>
      <c r="F15" s="20">
        <f t="shared" si="1"/>
        <v>0</v>
      </c>
      <c r="G15" s="2">
        <v>49</v>
      </c>
      <c r="H15" s="4" t="s">
        <v>166</v>
      </c>
      <c r="I15" s="2" t="s">
        <v>9</v>
      </c>
      <c r="J15" s="2"/>
      <c r="K15" s="5">
        <v>4.2</v>
      </c>
      <c r="L15" s="5">
        <f t="shared" si="0"/>
        <v>0</v>
      </c>
    </row>
    <row r="16" spans="1:12" ht="13.15" customHeight="1">
      <c r="A16" s="2">
        <v>12</v>
      </c>
      <c r="B16" s="4" t="s">
        <v>167</v>
      </c>
      <c r="C16" s="2" t="s">
        <v>9</v>
      </c>
      <c r="D16" s="2"/>
      <c r="E16" s="5">
        <v>7.2</v>
      </c>
      <c r="F16" s="20">
        <f>D16*E16</f>
        <v>0</v>
      </c>
      <c r="G16" s="2">
        <v>50</v>
      </c>
      <c r="H16" s="4" t="s">
        <v>168</v>
      </c>
      <c r="I16" s="2" t="s">
        <v>9</v>
      </c>
      <c r="J16" s="2"/>
      <c r="K16" s="5">
        <v>0</v>
      </c>
      <c r="L16" s="5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7.8</v>
      </c>
      <c r="F17" s="20">
        <f t="shared" si="1"/>
        <v>0</v>
      </c>
      <c r="G17" s="2">
        <v>51</v>
      </c>
      <c r="H17" s="4" t="s">
        <v>169</v>
      </c>
      <c r="I17" s="2" t="s">
        <v>9</v>
      </c>
      <c r="J17" s="2"/>
      <c r="K17" s="5">
        <v>4.2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5.4</v>
      </c>
      <c r="F18" s="20">
        <f t="shared" si="1"/>
        <v>0</v>
      </c>
      <c r="G18" s="2">
        <v>52</v>
      </c>
      <c r="H18" s="4" t="s">
        <v>170</v>
      </c>
      <c r="I18" s="2" t="s">
        <v>9</v>
      </c>
      <c r="J18" s="2"/>
      <c r="K18" s="5">
        <v>3.8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</v>
      </c>
      <c r="F19" s="20">
        <f t="shared" si="1"/>
        <v>0</v>
      </c>
      <c r="G19" s="2">
        <v>53</v>
      </c>
      <c r="H19" s="4" t="s">
        <v>171</v>
      </c>
      <c r="I19" s="2" t="s">
        <v>9</v>
      </c>
      <c r="J19" s="2"/>
      <c r="K19" s="5">
        <v>3.8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3</v>
      </c>
      <c r="F20" s="20">
        <f t="shared" si="1"/>
        <v>0</v>
      </c>
      <c r="G20" s="2">
        <v>54</v>
      </c>
      <c r="H20" s="4" t="s">
        <v>172</v>
      </c>
      <c r="I20" s="2" t="s">
        <v>9</v>
      </c>
      <c r="J20" s="2"/>
      <c r="K20" s="5">
        <v>3.8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1.7</v>
      </c>
      <c r="F21" s="20">
        <f t="shared" si="1"/>
        <v>0</v>
      </c>
      <c r="G21" s="2">
        <v>55</v>
      </c>
      <c r="H21" s="4" t="s">
        <v>173</v>
      </c>
      <c r="I21" s="2" t="s">
        <v>9</v>
      </c>
      <c r="J21" s="2"/>
      <c r="K21" s="5">
        <v>3.8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7.5</v>
      </c>
      <c r="F22" s="20">
        <f t="shared" si="1"/>
        <v>0</v>
      </c>
      <c r="G22" s="2">
        <v>56</v>
      </c>
      <c r="H22" s="4" t="s">
        <v>174</v>
      </c>
      <c r="I22" s="2" t="s">
        <v>9</v>
      </c>
      <c r="J22" s="2"/>
      <c r="K22" s="5">
        <v>10</v>
      </c>
      <c r="L22" s="5">
        <f t="shared" si="0"/>
        <v>0</v>
      </c>
    </row>
    <row r="23" spans="1:12" ht="13.15" customHeight="1">
      <c r="A23" s="2">
        <v>19</v>
      </c>
      <c r="B23" s="4" t="s">
        <v>175</v>
      </c>
      <c r="C23" s="2" t="s">
        <v>9</v>
      </c>
      <c r="D23" s="2"/>
      <c r="E23" s="5">
        <v>8</v>
      </c>
      <c r="F23" s="20">
        <f t="shared" si="1"/>
        <v>0</v>
      </c>
      <c r="G23" s="2">
        <v>57</v>
      </c>
      <c r="H23" s="4" t="s">
        <v>176</v>
      </c>
      <c r="I23" s="2" t="s">
        <v>9</v>
      </c>
      <c r="J23" s="4"/>
      <c r="K23" s="2">
        <v>8.8000000000000007</v>
      </c>
      <c r="L23" s="5">
        <f t="shared" si="0"/>
        <v>0</v>
      </c>
    </row>
    <row r="24" spans="1:12" ht="13.15" customHeight="1">
      <c r="A24" s="2">
        <v>20</v>
      </c>
      <c r="B24" s="4" t="s">
        <v>177</v>
      </c>
      <c r="C24" s="2" t="s">
        <v>9</v>
      </c>
      <c r="D24" s="2"/>
      <c r="E24" s="5">
        <v>8.4</v>
      </c>
      <c r="F24" s="20">
        <f t="shared" si="1"/>
        <v>0</v>
      </c>
      <c r="G24" s="2">
        <v>58</v>
      </c>
      <c r="H24" s="4" t="s">
        <v>178</v>
      </c>
      <c r="I24" s="2" t="s">
        <v>9</v>
      </c>
      <c r="J24" s="4"/>
      <c r="K24" s="2">
        <v>7.2</v>
      </c>
      <c r="L24" s="5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8.8000000000000007</v>
      </c>
      <c r="F25" s="20">
        <f t="shared" si="1"/>
        <v>0</v>
      </c>
      <c r="G25" s="2">
        <v>59</v>
      </c>
      <c r="H25" s="4" t="s">
        <v>179</v>
      </c>
      <c r="I25" s="2" t="s">
        <v>9</v>
      </c>
      <c r="J25" s="4"/>
      <c r="K25" s="2">
        <v>8.5</v>
      </c>
      <c r="L25" s="5">
        <f t="shared" si="0"/>
        <v>0</v>
      </c>
    </row>
    <row r="26" spans="1:12" ht="13.15" customHeight="1">
      <c r="A26" s="2">
        <v>22</v>
      </c>
      <c r="B26" s="4" t="s">
        <v>180</v>
      </c>
      <c r="C26" s="2" t="s">
        <v>9</v>
      </c>
      <c r="D26" s="2"/>
      <c r="E26" s="5">
        <v>6</v>
      </c>
      <c r="F26" s="20">
        <f t="shared" si="1"/>
        <v>0</v>
      </c>
      <c r="G26" s="2">
        <v>60</v>
      </c>
      <c r="H26" s="4" t="s">
        <v>131</v>
      </c>
      <c r="I26" s="2" t="s">
        <v>9</v>
      </c>
      <c r="J26" s="4"/>
      <c r="K26" s="2">
        <v>4.2</v>
      </c>
      <c r="L26" s="5">
        <f t="shared" si="0"/>
        <v>0</v>
      </c>
    </row>
    <row r="27" spans="1:12" ht="13.15" customHeight="1">
      <c r="A27" s="2">
        <v>23</v>
      </c>
      <c r="B27" s="4" t="s">
        <v>181</v>
      </c>
      <c r="C27" s="2" t="s">
        <v>9</v>
      </c>
      <c r="D27" s="2"/>
      <c r="E27" s="5">
        <v>3.8</v>
      </c>
      <c r="F27" s="20">
        <f t="shared" si="1"/>
        <v>0</v>
      </c>
      <c r="G27" s="2">
        <v>61</v>
      </c>
      <c r="H27" s="4" t="s">
        <v>182</v>
      </c>
      <c r="I27" s="2" t="s">
        <v>9</v>
      </c>
      <c r="J27" s="4"/>
      <c r="K27" s="2">
        <v>13.5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6.3</v>
      </c>
      <c r="F28" s="20">
        <f t="shared" si="1"/>
        <v>0</v>
      </c>
      <c r="G28" s="2">
        <v>62</v>
      </c>
      <c r="H28" s="4" t="s">
        <v>183</v>
      </c>
      <c r="I28" s="2" t="s">
        <v>9</v>
      </c>
      <c r="J28" s="4"/>
      <c r="K28" s="2">
        <v>12.8</v>
      </c>
      <c r="L28" s="5">
        <f t="shared" si="0"/>
        <v>0</v>
      </c>
    </row>
    <row r="29" spans="1:12" ht="13.15" customHeight="1">
      <c r="A29" s="2">
        <v>25</v>
      </c>
      <c r="B29" s="4" t="s">
        <v>184</v>
      </c>
      <c r="C29" s="2" t="s">
        <v>9</v>
      </c>
      <c r="D29" s="2"/>
      <c r="E29" s="5">
        <v>7.7</v>
      </c>
      <c r="F29" s="20">
        <f t="shared" si="1"/>
        <v>0</v>
      </c>
      <c r="G29" s="2">
        <v>63</v>
      </c>
      <c r="H29" s="4" t="s">
        <v>185</v>
      </c>
      <c r="I29" s="2" t="s">
        <v>9</v>
      </c>
      <c r="J29" s="4"/>
      <c r="K29" s="2">
        <v>8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6.2</v>
      </c>
      <c r="F30" s="5">
        <f t="shared" si="1"/>
        <v>0</v>
      </c>
      <c r="G30" s="2">
        <v>64</v>
      </c>
      <c r="H30" s="4" t="s">
        <v>186</v>
      </c>
      <c r="I30" s="2" t="s">
        <v>9</v>
      </c>
      <c r="J30" s="4"/>
      <c r="K30" s="2">
        <v>7.25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7</v>
      </c>
      <c r="F31" s="5">
        <f t="shared" si="1"/>
        <v>0</v>
      </c>
      <c r="G31" s="2">
        <v>65</v>
      </c>
      <c r="H31" s="4" t="s">
        <v>187</v>
      </c>
      <c r="I31" s="2" t="s">
        <v>9</v>
      </c>
      <c r="J31" s="4"/>
      <c r="K31" s="2">
        <v>10.8</v>
      </c>
      <c r="L31" s="5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10</v>
      </c>
      <c r="F32" s="20">
        <f t="shared" si="1"/>
        <v>0</v>
      </c>
      <c r="G32" s="2">
        <v>66</v>
      </c>
      <c r="H32" s="4" t="s">
        <v>188</v>
      </c>
      <c r="I32" s="2" t="s">
        <v>9</v>
      </c>
      <c r="J32" s="4"/>
      <c r="K32" s="2">
        <v>3.8</v>
      </c>
      <c r="L32" s="5">
        <f t="shared" si="0"/>
        <v>0</v>
      </c>
    </row>
    <row r="33" spans="1:12" ht="13.15" customHeight="1">
      <c r="A33" s="2">
        <v>29</v>
      </c>
      <c r="B33" s="4" t="s">
        <v>189</v>
      </c>
      <c r="C33" s="2" t="s">
        <v>9</v>
      </c>
      <c r="D33" s="2"/>
      <c r="E33" s="5">
        <v>1.5</v>
      </c>
      <c r="F33" s="5">
        <f t="shared" si="1"/>
        <v>0</v>
      </c>
      <c r="G33" s="2">
        <v>67</v>
      </c>
      <c r="H33" s="4" t="s">
        <v>190</v>
      </c>
      <c r="I33" s="2" t="s">
        <v>9</v>
      </c>
      <c r="J33" s="4"/>
      <c r="K33" s="2">
        <v>6.7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7.9</v>
      </c>
      <c r="F34" s="5">
        <f t="shared" si="1"/>
        <v>0</v>
      </c>
      <c r="G34" s="2">
        <v>68</v>
      </c>
      <c r="H34" s="4" t="s">
        <v>191</v>
      </c>
      <c r="I34" s="2" t="s">
        <v>9</v>
      </c>
      <c r="J34" s="4"/>
      <c r="K34" s="2">
        <v>6.7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7</v>
      </c>
      <c r="F35" s="20">
        <f t="shared" si="1"/>
        <v>0</v>
      </c>
      <c r="G35" s="2">
        <v>69</v>
      </c>
      <c r="H35" s="4" t="s">
        <v>192</v>
      </c>
      <c r="I35" s="2" t="s">
        <v>9</v>
      </c>
      <c r="J35" s="4"/>
      <c r="K35" s="2">
        <v>4.8</v>
      </c>
      <c r="L35" s="5">
        <f>J35*K35</f>
        <v>0</v>
      </c>
    </row>
    <row r="36" spans="1:12" ht="13.15" customHeight="1">
      <c r="A36" s="2">
        <v>32</v>
      </c>
      <c r="B36" s="4" t="s">
        <v>193</v>
      </c>
      <c r="C36" s="2" t="s">
        <v>9</v>
      </c>
      <c r="D36" s="2"/>
      <c r="E36" s="5">
        <v>10.25</v>
      </c>
      <c r="F36" s="20">
        <f>D36*E36</f>
        <v>0</v>
      </c>
      <c r="G36" s="2">
        <v>70</v>
      </c>
      <c r="H36" s="4" t="s">
        <v>194</v>
      </c>
      <c r="I36" s="2" t="s">
        <v>9</v>
      </c>
      <c r="J36" s="4"/>
      <c r="K36" s="2">
        <v>7.25</v>
      </c>
      <c r="L36" s="5">
        <f>J36*K36</f>
        <v>0</v>
      </c>
    </row>
    <row r="37" spans="1:12" ht="13.15" customHeight="1">
      <c r="A37" s="2">
        <v>33</v>
      </c>
      <c r="B37" s="4" t="s">
        <v>195</v>
      </c>
      <c r="C37" s="2" t="s">
        <v>9</v>
      </c>
      <c r="D37" s="2"/>
      <c r="E37" s="5">
        <v>6</v>
      </c>
      <c r="F37" s="20">
        <f>D37*E37</f>
        <v>0</v>
      </c>
      <c r="G37" s="2">
        <v>71</v>
      </c>
      <c r="H37" s="4" t="s">
        <v>196</v>
      </c>
      <c r="I37" s="2" t="s">
        <v>9</v>
      </c>
      <c r="J37" s="4"/>
      <c r="K37" s="2">
        <v>5.4</v>
      </c>
      <c r="L37" s="5">
        <f>J37*K37</f>
        <v>0</v>
      </c>
    </row>
    <row r="38" spans="1:12" ht="13.15" customHeight="1">
      <c r="A38" s="2">
        <v>34</v>
      </c>
      <c r="B38" s="4"/>
      <c r="C38" s="2" t="s">
        <v>9</v>
      </c>
      <c r="D38" s="2"/>
      <c r="E38" s="5">
        <v>0</v>
      </c>
      <c r="F38" s="20">
        <f>D38*E38</f>
        <v>0</v>
      </c>
      <c r="G38" s="2">
        <v>72</v>
      </c>
      <c r="H38" s="4" t="s">
        <v>197</v>
      </c>
      <c r="I38" s="2" t="s">
        <v>9</v>
      </c>
      <c r="J38" s="4"/>
      <c r="K38" s="2">
        <v>8.5</v>
      </c>
      <c r="L38" s="5">
        <f>J38*K38</f>
        <v>0</v>
      </c>
    </row>
    <row r="39" spans="1:12" ht="13.15" customHeight="1">
      <c r="A39" s="2">
        <v>35</v>
      </c>
      <c r="B39" s="4" t="s">
        <v>198</v>
      </c>
      <c r="C39" s="2" t="s">
        <v>9</v>
      </c>
      <c r="D39" s="2"/>
      <c r="E39" s="5">
        <v>8.5</v>
      </c>
      <c r="F39" s="20">
        <f>D39*E39</f>
        <v>0</v>
      </c>
      <c r="G39" s="2">
        <v>73</v>
      </c>
      <c r="H39" s="4" t="s">
        <v>199</v>
      </c>
      <c r="I39" s="2" t="s">
        <v>9</v>
      </c>
      <c r="J39" s="4"/>
      <c r="K39" s="2">
        <v>6.7</v>
      </c>
      <c r="L39" s="5">
        <f>J39*K39</f>
        <v>0</v>
      </c>
    </row>
    <row r="40" spans="1:12" ht="13.15" customHeight="1">
      <c r="K40" t="s">
        <v>200</v>
      </c>
      <c r="L40" s="25">
        <f>F5+F6+F7+F8+F9+F10+F11+F12+F13+F14+F15+F16+F17+F18+F19+F20+F21+F22+F23+F24+F25+F26+F27+F28+F29+F30+F31+F32+F33+F34+F35+F36+F37+F38+F39+L2+L3+L4+L5+L6+L7+L8+L9+L10+L11+L12+L13+L14+L15+L16+L17+L18+L19+L20+L21+L22+L23+L24+L25+L26+L27+L28+L29+L30+L31+L32+L33+L34+L35+L36+L37+L38+L39</f>
        <v>0</v>
      </c>
    </row>
    <row r="42" spans="1:12" ht="13.15" customHeight="1">
      <c r="H42" t="s">
        <v>201</v>
      </c>
      <c r="J42" t="s">
        <v>202</v>
      </c>
    </row>
  </sheetData>
  <mergeCells count="4">
    <mergeCell ref="A1:C1"/>
    <mergeCell ref="D1:F1"/>
    <mergeCell ref="A2:F2"/>
    <mergeCell ref="A3:F3"/>
  </mergeCells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>
  <sheetPr codeName="Лист93"/>
  <dimension ref="A1:L42"/>
  <sheetViews>
    <sheetView topLeftCell="A22" workbookViewId="0">
      <selection activeCell="N51" sqref="N51"/>
    </sheetView>
  </sheetViews>
  <sheetFormatPr defaultRowHeight="13.15" customHeight="1"/>
  <cols>
    <col min="1" max="1" width="5" style="17" customWidth="1"/>
    <col min="2" max="2" width="30.28515625" customWidth="1"/>
    <col min="3" max="3" width="6.85546875" customWidth="1"/>
    <col min="4" max="4" width="6.5703125" customWidth="1"/>
    <col min="6" max="6" width="8.85546875" style="17"/>
    <col min="7" max="7" width="4.7109375" style="17" customWidth="1"/>
    <col min="8" max="8" width="24.7109375" customWidth="1"/>
    <col min="9" max="9" width="6.7109375" customWidth="1"/>
    <col min="10" max="10" width="7" customWidth="1"/>
    <col min="12" max="12" width="8.85546875" style="17"/>
  </cols>
  <sheetData>
    <row r="1" spans="1:12" ht="13.15" customHeight="1">
      <c r="A1" s="30" t="s">
        <v>147</v>
      </c>
      <c r="B1" s="30"/>
      <c r="C1" s="30"/>
      <c r="D1" s="31" t="s">
        <v>148</v>
      </c>
      <c r="E1" s="30"/>
      <c r="F1" s="30"/>
      <c r="G1" s="16"/>
      <c r="H1" s="2" t="s">
        <v>2</v>
      </c>
      <c r="I1" s="1" t="s">
        <v>3</v>
      </c>
      <c r="J1" s="2" t="s">
        <v>4</v>
      </c>
      <c r="K1" s="2" t="s">
        <v>149</v>
      </c>
      <c r="L1" s="2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150</v>
      </c>
      <c r="I2" s="2" t="s">
        <v>9</v>
      </c>
      <c r="J2" s="2"/>
      <c r="K2" s="5">
        <v>8.5</v>
      </c>
      <c r="L2" s="5">
        <f t="shared" ref="L2:L34" si="0"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151</v>
      </c>
      <c r="I3" s="2" t="s">
        <v>9</v>
      </c>
      <c r="J3" s="2"/>
      <c r="K3" s="5">
        <v>8.5</v>
      </c>
      <c r="L3" s="5">
        <f t="shared" si="0"/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152</v>
      </c>
      <c r="I4" s="2" t="s">
        <v>9</v>
      </c>
      <c r="J4" s="2"/>
      <c r="K4" s="5">
        <v>8.5</v>
      </c>
      <c r="L4" s="5">
        <f t="shared" si="0"/>
        <v>0</v>
      </c>
    </row>
    <row r="5" spans="1:12" ht="13.15" customHeight="1">
      <c r="A5" s="2">
        <v>1</v>
      </c>
      <c r="B5" s="4" t="s">
        <v>153</v>
      </c>
      <c r="C5" s="2" t="s">
        <v>9</v>
      </c>
      <c r="D5" s="2"/>
      <c r="E5" s="5">
        <v>8.8000000000000007</v>
      </c>
      <c r="F5" s="20">
        <f>D5*E5</f>
        <v>0</v>
      </c>
      <c r="G5" s="2">
        <v>39</v>
      </c>
      <c r="H5" s="4" t="s">
        <v>154</v>
      </c>
      <c r="I5" s="2" t="s">
        <v>9</v>
      </c>
      <c r="J5" s="2"/>
      <c r="K5" s="5">
        <v>8.5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5.7</v>
      </c>
      <c r="F6" s="20">
        <f t="shared" ref="F6:F35" si="1">D6*E6</f>
        <v>0</v>
      </c>
      <c r="G6" s="2">
        <v>40</v>
      </c>
      <c r="H6" s="4" t="s">
        <v>155</v>
      </c>
      <c r="I6" s="2" t="s">
        <v>9</v>
      </c>
      <c r="J6" s="2"/>
      <c r="K6" s="5">
        <v>8.5</v>
      </c>
      <c r="L6" s="5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6.3</v>
      </c>
      <c r="F7" s="20">
        <f t="shared" si="1"/>
        <v>0</v>
      </c>
      <c r="G7" s="2">
        <v>41</v>
      </c>
      <c r="H7" s="4" t="s">
        <v>157</v>
      </c>
      <c r="I7" s="2" t="s">
        <v>9</v>
      </c>
      <c r="J7" s="2"/>
      <c r="K7" s="5">
        <v>8.5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9</v>
      </c>
      <c r="F8" s="20">
        <f t="shared" si="1"/>
        <v>0</v>
      </c>
      <c r="G8" s="2">
        <v>42</v>
      </c>
      <c r="H8" s="4" t="s">
        <v>158</v>
      </c>
      <c r="I8" s="2" t="s">
        <v>9</v>
      </c>
      <c r="J8" s="2"/>
      <c r="K8" s="5">
        <v>3.3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5.8</v>
      </c>
      <c r="F9" s="20">
        <f t="shared" si="1"/>
        <v>0</v>
      </c>
      <c r="G9" s="2">
        <v>43</v>
      </c>
      <c r="H9" s="4" t="s">
        <v>159</v>
      </c>
      <c r="I9" s="2" t="s">
        <v>9</v>
      </c>
      <c r="J9" s="2"/>
      <c r="K9" s="5">
        <v>3.8</v>
      </c>
      <c r="L9" s="5">
        <f t="shared" si="0"/>
        <v>0</v>
      </c>
    </row>
    <row r="10" spans="1:12" ht="13.15" customHeight="1">
      <c r="A10" s="2">
        <v>6</v>
      </c>
      <c r="B10" s="4" t="s">
        <v>160</v>
      </c>
      <c r="C10" s="2" t="s">
        <v>9</v>
      </c>
      <c r="D10" s="2"/>
      <c r="E10" s="5">
        <v>7.4</v>
      </c>
      <c r="F10" s="20">
        <f t="shared" si="1"/>
        <v>0</v>
      </c>
      <c r="G10" s="2">
        <v>44</v>
      </c>
      <c r="H10" s="4" t="s">
        <v>13</v>
      </c>
      <c r="I10" s="2" t="s">
        <v>9</v>
      </c>
      <c r="J10" s="2"/>
      <c r="K10" s="5">
        <v>3.3</v>
      </c>
      <c r="L10" s="5">
        <f t="shared" si="0"/>
        <v>0</v>
      </c>
    </row>
    <row r="11" spans="1:12" ht="13.15" customHeight="1">
      <c r="A11" s="2">
        <v>7</v>
      </c>
      <c r="B11" s="4" t="s">
        <v>78</v>
      </c>
      <c r="C11" s="2" t="s">
        <v>9</v>
      </c>
      <c r="D11" s="2"/>
      <c r="E11" s="5">
        <v>8.1</v>
      </c>
      <c r="F11" s="20">
        <f t="shared" si="1"/>
        <v>0</v>
      </c>
      <c r="G11" s="2">
        <v>45</v>
      </c>
      <c r="H11" s="4" t="s">
        <v>17</v>
      </c>
      <c r="I11" s="2" t="s">
        <v>9</v>
      </c>
      <c r="J11" s="2"/>
      <c r="K11" s="5">
        <v>2.6</v>
      </c>
      <c r="L11" s="5">
        <f t="shared" si="0"/>
        <v>0</v>
      </c>
    </row>
    <row r="12" spans="1:12" ht="13.15" customHeight="1">
      <c r="A12" s="2">
        <v>8</v>
      </c>
      <c r="B12" s="4" t="s">
        <v>80</v>
      </c>
      <c r="C12" s="2" t="s">
        <v>9</v>
      </c>
      <c r="D12" s="2"/>
      <c r="E12" s="5">
        <v>5.4</v>
      </c>
      <c r="F12" s="20">
        <f t="shared" si="1"/>
        <v>0</v>
      </c>
      <c r="G12" s="2">
        <v>46</v>
      </c>
      <c r="H12" s="4" t="s">
        <v>161</v>
      </c>
      <c r="I12" s="2" t="s">
        <v>9</v>
      </c>
      <c r="J12" s="2"/>
      <c r="K12" s="5">
        <v>2.6</v>
      </c>
      <c r="L12" s="5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6.3</v>
      </c>
      <c r="F13" s="20">
        <f t="shared" si="1"/>
        <v>0</v>
      </c>
      <c r="G13" s="2">
        <v>47</v>
      </c>
      <c r="H13" s="4" t="s">
        <v>163</v>
      </c>
      <c r="I13" s="2" t="s">
        <v>9</v>
      </c>
      <c r="J13" s="2"/>
      <c r="K13" s="5">
        <v>4.2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6.9</v>
      </c>
      <c r="F14" s="20">
        <f t="shared" si="1"/>
        <v>0</v>
      </c>
      <c r="G14" s="2">
        <v>48</v>
      </c>
      <c r="H14" s="4" t="s">
        <v>164</v>
      </c>
      <c r="I14" s="2" t="s">
        <v>9</v>
      </c>
      <c r="J14" s="2"/>
      <c r="K14" s="5">
        <v>4.2</v>
      </c>
      <c r="L14" s="5">
        <f t="shared" si="0"/>
        <v>0</v>
      </c>
    </row>
    <row r="15" spans="1:12" ht="13.15" customHeight="1">
      <c r="A15" s="2">
        <v>11</v>
      </c>
      <c r="B15" s="4" t="s">
        <v>165</v>
      </c>
      <c r="C15" s="2" t="s">
        <v>9</v>
      </c>
      <c r="D15" s="2"/>
      <c r="E15" s="5">
        <v>5.2</v>
      </c>
      <c r="F15" s="20">
        <f t="shared" si="1"/>
        <v>0</v>
      </c>
      <c r="G15" s="2">
        <v>49</v>
      </c>
      <c r="H15" s="4" t="s">
        <v>166</v>
      </c>
      <c r="I15" s="2" t="s">
        <v>9</v>
      </c>
      <c r="J15" s="2"/>
      <c r="K15" s="5">
        <v>4.2</v>
      </c>
      <c r="L15" s="5">
        <f t="shared" si="0"/>
        <v>0</v>
      </c>
    </row>
    <row r="16" spans="1:12" ht="13.15" customHeight="1">
      <c r="A16" s="2">
        <v>12</v>
      </c>
      <c r="B16" s="4" t="s">
        <v>167</v>
      </c>
      <c r="C16" s="2" t="s">
        <v>9</v>
      </c>
      <c r="D16" s="2"/>
      <c r="E16" s="5">
        <v>7.2</v>
      </c>
      <c r="F16" s="20">
        <f>D16*E16</f>
        <v>0</v>
      </c>
      <c r="G16" s="2">
        <v>50</v>
      </c>
      <c r="H16" s="4" t="s">
        <v>168</v>
      </c>
      <c r="I16" s="2" t="s">
        <v>9</v>
      </c>
      <c r="J16" s="2"/>
      <c r="K16" s="5">
        <v>0</v>
      </c>
      <c r="L16" s="5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7.8</v>
      </c>
      <c r="F17" s="20">
        <f t="shared" si="1"/>
        <v>0</v>
      </c>
      <c r="G17" s="2">
        <v>51</v>
      </c>
      <c r="H17" s="4" t="s">
        <v>169</v>
      </c>
      <c r="I17" s="2" t="s">
        <v>9</v>
      </c>
      <c r="J17" s="2"/>
      <c r="K17" s="5">
        <v>4.2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5.4</v>
      </c>
      <c r="F18" s="20">
        <f t="shared" si="1"/>
        <v>0</v>
      </c>
      <c r="G18" s="2">
        <v>52</v>
      </c>
      <c r="H18" s="4" t="s">
        <v>170</v>
      </c>
      <c r="I18" s="2" t="s">
        <v>9</v>
      </c>
      <c r="J18" s="2"/>
      <c r="K18" s="5">
        <v>3.8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</v>
      </c>
      <c r="F19" s="20">
        <f t="shared" si="1"/>
        <v>0</v>
      </c>
      <c r="G19" s="2">
        <v>53</v>
      </c>
      <c r="H19" s="4" t="s">
        <v>171</v>
      </c>
      <c r="I19" s="2" t="s">
        <v>9</v>
      </c>
      <c r="J19" s="2"/>
      <c r="K19" s="5">
        <v>3.8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3</v>
      </c>
      <c r="F20" s="20">
        <f t="shared" si="1"/>
        <v>0</v>
      </c>
      <c r="G20" s="2">
        <v>54</v>
      </c>
      <c r="H20" s="4" t="s">
        <v>172</v>
      </c>
      <c r="I20" s="2" t="s">
        <v>9</v>
      </c>
      <c r="J20" s="2"/>
      <c r="K20" s="5">
        <v>3.8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1.7</v>
      </c>
      <c r="F21" s="20">
        <f t="shared" si="1"/>
        <v>0</v>
      </c>
      <c r="G21" s="2">
        <v>55</v>
      </c>
      <c r="H21" s="4" t="s">
        <v>173</v>
      </c>
      <c r="I21" s="2" t="s">
        <v>9</v>
      </c>
      <c r="J21" s="2"/>
      <c r="K21" s="5">
        <v>3.8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7.5</v>
      </c>
      <c r="F22" s="20">
        <f t="shared" si="1"/>
        <v>0</v>
      </c>
      <c r="G22" s="2">
        <v>56</v>
      </c>
      <c r="H22" s="4" t="s">
        <v>174</v>
      </c>
      <c r="I22" s="2" t="s">
        <v>9</v>
      </c>
      <c r="J22" s="2"/>
      <c r="K22" s="5">
        <v>10</v>
      </c>
      <c r="L22" s="5">
        <f t="shared" si="0"/>
        <v>0</v>
      </c>
    </row>
    <row r="23" spans="1:12" ht="13.15" customHeight="1">
      <c r="A23" s="2">
        <v>19</v>
      </c>
      <c r="B23" s="4" t="s">
        <v>175</v>
      </c>
      <c r="C23" s="2" t="s">
        <v>9</v>
      </c>
      <c r="D23" s="2"/>
      <c r="E23" s="5">
        <v>8</v>
      </c>
      <c r="F23" s="20">
        <f t="shared" si="1"/>
        <v>0</v>
      </c>
      <c r="G23" s="2">
        <v>57</v>
      </c>
      <c r="H23" s="4" t="s">
        <v>176</v>
      </c>
      <c r="I23" s="2" t="s">
        <v>9</v>
      </c>
      <c r="J23" s="4"/>
      <c r="K23" s="2">
        <v>8.8000000000000007</v>
      </c>
      <c r="L23" s="5">
        <f t="shared" si="0"/>
        <v>0</v>
      </c>
    </row>
    <row r="24" spans="1:12" ht="13.15" customHeight="1">
      <c r="A24" s="2">
        <v>20</v>
      </c>
      <c r="B24" s="4" t="s">
        <v>177</v>
      </c>
      <c r="C24" s="2" t="s">
        <v>9</v>
      </c>
      <c r="D24" s="2"/>
      <c r="E24" s="5">
        <v>8.4</v>
      </c>
      <c r="F24" s="20">
        <f t="shared" si="1"/>
        <v>0</v>
      </c>
      <c r="G24" s="2">
        <v>58</v>
      </c>
      <c r="H24" s="4" t="s">
        <v>178</v>
      </c>
      <c r="I24" s="2" t="s">
        <v>9</v>
      </c>
      <c r="J24" s="4"/>
      <c r="K24" s="2">
        <v>7.2</v>
      </c>
      <c r="L24" s="5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8.8000000000000007</v>
      </c>
      <c r="F25" s="20">
        <f t="shared" si="1"/>
        <v>0</v>
      </c>
      <c r="G25" s="2">
        <v>59</v>
      </c>
      <c r="H25" s="4" t="s">
        <v>179</v>
      </c>
      <c r="I25" s="2" t="s">
        <v>9</v>
      </c>
      <c r="J25" s="4"/>
      <c r="K25" s="2">
        <v>8.5</v>
      </c>
      <c r="L25" s="5">
        <f t="shared" si="0"/>
        <v>0</v>
      </c>
    </row>
    <row r="26" spans="1:12" ht="13.15" customHeight="1">
      <c r="A26" s="2">
        <v>22</v>
      </c>
      <c r="B26" s="4" t="s">
        <v>180</v>
      </c>
      <c r="C26" s="2" t="s">
        <v>9</v>
      </c>
      <c r="D26" s="2"/>
      <c r="E26" s="5">
        <v>6</v>
      </c>
      <c r="F26" s="20">
        <f t="shared" si="1"/>
        <v>0</v>
      </c>
      <c r="G26" s="2">
        <v>60</v>
      </c>
      <c r="H26" s="4" t="s">
        <v>131</v>
      </c>
      <c r="I26" s="2" t="s">
        <v>9</v>
      </c>
      <c r="J26" s="4"/>
      <c r="K26" s="2">
        <v>4.2</v>
      </c>
      <c r="L26" s="5">
        <f t="shared" si="0"/>
        <v>0</v>
      </c>
    </row>
    <row r="27" spans="1:12" ht="13.15" customHeight="1">
      <c r="A27" s="2">
        <v>23</v>
      </c>
      <c r="B27" s="4" t="s">
        <v>181</v>
      </c>
      <c r="C27" s="2" t="s">
        <v>9</v>
      </c>
      <c r="D27" s="2"/>
      <c r="E27" s="5">
        <v>3.8</v>
      </c>
      <c r="F27" s="20">
        <f t="shared" si="1"/>
        <v>0</v>
      </c>
      <c r="G27" s="2">
        <v>61</v>
      </c>
      <c r="H27" s="4" t="s">
        <v>182</v>
      </c>
      <c r="I27" s="2" t="s">
        <v>9</v>
      </c>
      <c r="J27" s="4"/>
      <c r="K27" s="2">
        <v>13.5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6.3</v>
      </c>
      <c r="F28" s="20">
        <f t="shared" si="1"/>
        <v>0</v>
      </c>
      <c r="G28" s="2">
        <v>62</v>
      </c>
      <c r="H28" s="4" t="s">
        <v>183</v>
      </c>
      <c r="I28" s="2" t="s">
        <v>9</v>
      </c>
      <c r="J28" s="4"/>
      <c r="K28" s="2">
        <v>12.8</v>
      </c>
      <c r="L28" s="5">
        <f t="shared" si="0"/>
        <v>0</v>
      </c>
    </row>
    <row r="29" spans="1:12" ht="13.15" customHeight="1">
      <c r="A29" s="2">
        <v>25</v>
      </c>
      <c r="B29" s="4" t="s">
        <v>184</v>
      </c>
      <c r="C29" s="2" t="s">
        <v>9</v>
      </c>
      <c r="D29" s="2"/>
      <c r="E29" s="5">
        <v>7.7</v>
      </c>
      <c r="F29" s="20">
        <f t="shared" si="1"/>
        <v>0</v>
      </c>
      <c r="G29" s="2">
        <v>63</v>
      </c>
      <c r="H29" s="4" t="s">
        <v>185</v>
      </c>
      <c r="I29" s="2" t="s">
        <v>9</v>
      </c>
      <c r="J29" s="4"/>
      <c r="K29" s="2">
        <v>8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6.2</v>
      </c>
      <c r="F30" s="5">
        <f t="shared" si="1"/>
        <v>0</v>
      </c>
      <c r="G30" s="2">
        <v>64</v>
      </c>
      <c r="H30" s="4" t="s">
        <v>186</v>
      </c>
      <c r="I30" s="2" t="s">
        <v>9</v>
      </c>
      <c r="J30" s="4"/>
      <c r="K30" s="2">
        <v>7.25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7</v>
      </c>
      <c r="F31" s="5">
        <f t="shared" si="1"/>
        <v>0</v>
      </c>
      <c r="G31" s="2">
        <v>65</v>
      </c>
      <c r="H31" s="4" t="s">
        <v>187</v>
      </c>
      <c r="I31" s="2" t="s">
        <v>9</v>
      </c>
      <c r="J31" s="4"/>
      <c r="K31" s="2">
        <v>10.8</v>
      </c>
      <c r="L31" s="5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10</v>
      </c>
      <c r="F32" s="20">
        <f t="shared" si="1"/>
        <v>0</v>
      </c>
      <c r="G32" s="2">
        <v>66</v>
      </c>
      <c r="H32" s="4" t="s">
        <v>188</v>
      </c>
      <c r="I32" s="2" t="s">
        <v>9</v>
      </c>
      <c r="J32" s="4"/>
      <c r="K32" s="2">
        <v>3.8</v>
      </c>
      <c r="L32" s="5">
        <f t="shared" si="0"/>
        <v>0</v>
      </c>
    </row>
    <row r="33" spans="1:12" ht="13.15" customHeight="1">
      <c r="A33" s="2">
        <v>29</v>
      </c>
      <c r="B33" s="4" t="s">
        <v>189</v>
      </c>
      <c r="C33" s="2" t="s">
        <v>9</v>
      </c>
      <c r="D33" s="2"/>
      <c r="E33" s="5">
        <v>1.5</v>
      </c>
      <c r="F33" s="5">
        <f t="shared" si="1"/>
        <v>0</v>
      </c>
      <c r="G33" s="2">
        <v>67</v>
      </c>
      <c r="H33" s="4" t="s">
        <v>190</v>
      </c>
      <c r="I33" s="2" t="s">
        <v>9</v>
      </c>
      <c r="J33" s="4"/>
      <c r="K33" s="2">
        <v>6.7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7.9</v>
      </c>
      <c r="F34" s="5">
        <f t="shared" si="1"/>
        <v>0</v>
      </c>
      <c r="G34" s="2">
        <v>68</v>
      </c>
      <c r="H34" s="4" t="s">
        <v>191</v>
      </c>
      <c r="I34" s="2" t="s">
        <v>9</v>
      </c>
      <c r="J34" s="4"/>
      <c r="K34" s="2">
        <v>6.7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7</v>
      </c>
      <c r="F35" s="20">
        <f t="shared" si="1"/>
        <v>0</v>
      </c>
      <c r="G35" s="2">
        <v>69</v>
      </c>
      <c r="H35" s="4" t="s">
        <v>192</v>
      </c>
      <c r="I35" s="2" t="s">
        <v>9</v>
      </c>
      <c r="J35" s="4"/>
      <c r="K35" s="2">
        <v>4.8</v>
      </c>
      <c r="L35" s="5">
        <f>J35*K35</f>
        <v>0</v>
      </c>
    </row>
    <row r="36" spans="1:12" ht="13.15" customHeight="1">
      <c r="A36" s="2">
        <v>32</v>
      </c>
      <c r="B36" s="4" t="s">
        <v>193</v>
      </c>
      <c r="C36" s="2" t="s">
        <v>9</v>
      </c>
      <c r="D36" s="2"/>
      <c r="E36" s="5">
        <v>10.25</v>
      </c>
      <c r="F36" s="20">
        <f>D36*E36</f>
        <v>0</v>
      </c>
      <c r="G36" s="2">
        <v>70</v>
      </c>
      <c r="H36" s="4" t="s">
        <v>194</v>
      </c>
      <c r="I36" s="2" t="s">
        <v>9</v>
      </c>
      <c r="J36" s="4"/>
      <c r="K36" s="2">
        <v>7.25</v>
      </c>
      <c r="L36" s="5">
        <f>J36*K36</f>
        <v>0</v>
      </c>
    </row>
    <row r="37" spans="1:12" ht="13.15" customHeight="1">
      <c r="A37" s="2">
        <v>33</v>
      </c>
      <c r="B37" s="4" t="s">
        <v>195</v>
      </c>
      <c r="C37" s="2" t="s">
        <v>9</v>
      </c>
      <c r="D37" s="2"/>
      <c r="E37" s="5">
        <v>6</v>
      </c>
      <c r="F37" s="20">
        <f>D37*E37</f>
        <v>0</v>
      </c>
      <c r="G37" s="2">
        <v>71</v>
      </c>
      <c r="H37" s="4" t="s">
        <v>196</v>
      </c>
      <c r="I37" s="2" t="s">
        <v>9</v>
      </c>
      <c r="J37" s="4"/>
      <c r="K37" s="2">
        <v>5.4</v>
      </c>
      <c r="L37" s="5">
        <f>J37*K37</f>
        <v>0</v>
      </c>
    </row>
    <row r="38" spans="1:12" ht="13.15" customHeight="1">
      <c r="A38" s="2">
        <v>34</v>
      </c>
      <c r="B38" s="4"/>
      <c r="C38" s="2" t="s">
        <v>9</v>
      </c>
      <c r="D38" s="2"/>
      <c r="E38" s="5">
        <v>0</v>
      </c>
      <c r="F38" s="20">
        <f>D38*E38</f>
        <v>0</v>
      </c>
      <c r="G38" s="2">
        <v>72</v>
      </c>
      <c r="H38" s="4" t="s">
        <v>197</v>
      </c>
      <c r="I38" s="2" t="s">
        <v>9</v>
      </c>
      <c r="J38" s="4"/>
      <c r="K38" s="2">
        <v>8.5</v>
      </c>
      <c r="L38" s="5">
        <f>J38*K38</f>
        <v>0</v>
      </c>
    </row>
    <row r="39" spans="1:12" ht="13.15" customHeight="1">
      <c r="A39" s="2">
        <v>35</v>
      </c>
      <c r="B39" s="4" t="s">
        <v>198</v>
      </c>
      <c r="C39" s="2" t="s">
        <v>9</v>
      </c>
      <c r="D39" s="2"/>
      <c r="E39" s="5">
        <v>8.5</v>
      </c>
      <c r="F39" s="20">
        <f>D39*E39</f>
        <v>0</v>
      </c>
      <c r="G39" s="2">
        <v>73</v>
      </c>
      <c r="H39" s="4" t="s">
        <v>199</v>
      </c>
      <c r="I39" s="2" t="s">
        <v>9</v>
      </c>
      <c r="J39" s="4"/>
      <c r="K39" s="2">
        <v>6.7</v>
      </c>
      <c r="L39" s="5">
        <f>J39*K39</f>
        <v>0</v>
      </c>
    </row>
    <row r="40" spans="1:12" ht="13.15" customHeight="1">
      <c r="K40" t="s">
        <v>200</v>
      </c>
      <c r="L40" s="25">
        <f>F5+F6+F7+F8+F9+F10+F11+F12+F13+F14+F15+F16+F17+F18+F19+F20+F21+F22+F23+F24+F25+F26+F27+F28+F29+F30+F31+F32+F33+F34+F35+F36+F37+F38+F39+L2+L3+L4+L5+L6+L7+L8+L9+L10+L11+L12+L13+L14+L15+L16+L17+L18+L19+L20+L21+L22+L23+L24+L25+L26+L27+L28+L29+L30+L31+L32+L33+L34+L35+L36+L37+L38+L39</f>
        <v>0</v>
      </c>
    </row>
    <row r="42" spans="1:12" ht="13.15" customHeight="1">
      <c r="H42" t="s">
        <v>201</v>
      </c>
      <c r="J42" t="s">
        <v>202</v>
      </c>
    </row>
  </sheetData>
  <mergeCells count="4">
    <mergeCell ref="A1:C1"/>
    <mergeCell ref="D1:F1"/>
    <mergeCell ref="A2:F2"/>
    <mergeCell ref="A3:F3"/>
  </mergeCells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>
  <sheetPr codeName="Лист94"/>
  <dimension ref="A1:L42"/>
  <sheetViews>
    <sheetView topLeftCell="A22" workbookViewId="0">
      <selection activeCell="N51" sqref="N51"/>
    </sheetView>
  </sheetViews>
  <sheetFormatPr defaultRowHeight="13.15" customHeight="1"/>
  <cols>
    <col min="1" max="1" width="5" style="17" customWidth="1"/>
    <col min="2" max="2" width="30.28515625" customWidth="1"/>
    <col min="3" max="3" width="6.85546875" customWidth="1"/>
    <col min="4" max="4" width="6.5703125" customWidth="1"/>
    <col min="6" max="6" width="8.85546875" style="17"/>
    <col min="7" max="7" width="4.7109375" style="17" customWidth="1"/>
    <col min="8" max="8" width="24.7109375" customWidth="1"/>
    <col min="9" max="9" width="6.7109375" customWidth="1"/>
    <col min="10" max="10" width="7" customWidth="1"/>
    <col min="12" max="12" width="8.85546875" style="17"/>
  </cols>
  <sheetData>
    <row r="1" spans="1:12" ht="13.15" customHeight="1">
      <c r="A1" s="30" t="s">
        <v>147</v>
      </c>
      <c r="B1" s="30"/>
      <c r="C1" s="30"/>
      <c r="D1" s="31" t="s">
        <v>148</v>
      </c>
      <c r="E1" s="30"/>
      <c r="F1" s="30"/>
      <c r="G1" s="16"/>
      <c r="H1" s="2" t="s">
        <v>2</v>
      </c>
      <c r="I1" s="1" t="s">
        <v>3</v>
      </c>
      <c r="J1" s="2" t="s">
        <v>4</v>
      </c>
      <c r="K1" s="2" t="s">
        <v>149</v>
      </c>
      <c r="L1" s="2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150</v>
      </c>
      <c r="I2" s="2" t="s">
        <v>9</v>
      </c>
      <c r="J2" s="2"/>
      <c r="K2" s="5">
        <v>8.5</v>
      </c>
      <c r="L2" s="5">
        <f t="shared" ref="L2:L34" si="0"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151</v>
      </c>
      <c r="I3" s="2" t="s">
        <v>9</v>
      </c>
      <c r="J3" s="2"/>
      <c r="K3" s="5">
        <v>8.5</v>
      </c>
      <c r="L3" s="5">
        <f t="shared" si="0"/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152</v>
      </c>
      <c r="I4" s="2" t="s">
        <v>9</v>
      </c>
      <c r="J4" s="2"/>
      <c r="K4" s="5">
        <v>8.5</v>
      </c>
      <c r="L4" s="5">
        <f t="shared" si="0"/>
        <v>0</v>
      </c>
    </row>
    <row r="5" spans="1:12" ht="13.15" customHeight="1">
      <c r="A5" s="2">
        <v>1</v>
      </c>
      <c r="B5" s="4" t="s">
        <v>153</v>
      </c>
      <c r="C5" s="2" t="s">
        <v>9</v>
      </c>
      <c r="D5" s="2"/>
      <c r="E5" s="5">
        <v>8.8000000000000007</v>
      </c>
      <c r="F5" s="20">
        <f>D5*E5</f>
        <v>0</v>
      </c>
      <c r="G5" s="2">
        <v>39</v>
      </c>
      <c r="H5" s="4" t="s">
        <v>154</v>
      </c>
      <c r="I5" s="2" t="s">
        <v>9</v>
      </c>
      <c r="J5" s="2"/>
      <c r="K5" s="5">
        <v>8.5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5.7</v>
      </c>
      <c r="F6" s="20">
        <f t="shared" ref="F6:F35" si="1">D6*E6</f>
        <v>0</v>
      </c>
      <c r="G6" s="2">
        <v>40</v>
      </c>
      <c r="H6" s="4" t="s">
        <v>155</v>
      </c>
      <c r="I6" s="2" t="s">
        <v>9</v>
      </c>
      <c r="J6" s="2"/>
      <c r="K6" s="5">
        <v>8.5</v>
      </c>
      <c r="L6" s="5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6.3</v>
      </c>
      <c r="F7" s="20">
        <f t="shared" si="1"/>
        <v>0</v>
      </c>
      <c r="G7" s="2">
        <v>41</v>
      </c>
      <c r="H7" s="4" t="s">
        <v>157</v>
      </c>
      <c r="I7" s="2" t="s">
        <v>9</v>
      </c>
      <c r="J7" s="2"/>
      <c r="K7" s="5">
        <v>8.5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9</v>
      </c>
      <c r="F8" s="20">
        <f t="shared" si="1"/>
        <v>0</v>
      </c>
      <c r="G8" s="2">
        <v>42</v>
      </c>
      <c r="H8" s="4" t="s">
        <v>158</v>
      </c>
      <c r="I8" s="2" t="s">
        <v>9</v>
      </c>
      <c r="J8" s="2"/>
      <c r="K8" s="5">
        <v>3.3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5.8</v>
      </c>
      <c r="F9" s="20">
        <f t="shared" si="1"/>
        <v>0</v>
      </c>
      <c r="G9" s="2">
        <v>43</v>
      </c>
      <c r="H9" s="4" t="s">
        <v>159</v>
      </c>
      <c r="I9" s="2" t="s">
        <v>9</v>
      </c>
      <c r="J9" s="2"/>
      <c r="K9" s="5">
        <v>3.8</v>
      </c>
      <c r="L9" s="5">
        <f t="shared" si="0"/>
        <v>0</v>
      </c>
    </row>
    <row r="10" spans="1:12" ht="13.15" customHeight="1">
      <c r="A10" s="2">
        <v>6</v>
      </c>
      <c r="B10" s="4" t="s">
        <v>160</v>
      </c>
      <c r="C10" s="2" t="s">
        <v>9</v>
      </c>
      <c r="D10" s="2"/>
      <c r="E10" s="5">
        <v>7.4</v>
      </c>
      <c r="F10" s="20">
        <f t="shared" si="1"/>
        <v>0</v>
      </c>
      <c r="G10" s="2">
        <v>44</v>
      </c>
      <c r="H10" s="4" t="s">
        <v>13</v>
      </c>
      <c r="I10" s="2" t="s">
        <v>9</v>
      </c>
      <c r="J10" s="2"/>
      <c r="K10" s="5">
        <v>3.3</v>
      </c>
      <c r="L10" s="5">
        <f t="shared" si="0"/>
        <v>0</v>
      </c>
    </row>
    <row r="11" spans="1:12" ht="13.15" customHeight="1">
      <c r="A11" s="2">
        <v>7</v>
      </c>
      <c r="B11" s="4" t="s">
        <v>78</v>
      </c>
      <c r="C11" s="2" t="s">
        <v>9</v>
      </c>
      <c r="D11" s="2"/>
      <c r="E11" s="5">
        <v>8.1</v>
      </c>
      <c r="F11" s="20">
        <f t="shared" si="1"/>
        <v>0</v>
      </c>
      <c r="G11" s="2">
        <v>45</v>
      </c>
      <c r="H11" s="4" t="s">
        <v>17</v>
      </c>
      <c r="I11" s="2" t="s">
        <v>9</v>
      </c>
      <c r="J11" s="2"/>
      <c r="K11" s="5">
        <v>2.6</v>
      </c>
      <c r="L11" s="5">
        <f t="shared" si="0"/>
        <v>0</v>
      </c>
    </row>
    <row r="12" spans="1:12" ht="13.15" customHeight="1">
      <c r="A12" s="2">
        <v>8</v>
      </c>
      <c r="B12" s="4" t="s">
        <v>80</v>
      </c>
      <c r="C12" s="2" t="s">
        <v>9</v>
      </c>
      <c r="D12" s="2"/>
      <c r="E12" s="5">
        <v>5.4</v>
      </c>
      <c r="F12" s="20">
        <f t="shared" si="1"/>
        <v>0</v>
      </c>
      <c r="G12" s="2">
        <v>46</v>
      </c>
      <c r="H12" s="4" t="s">
        <v>161</v>
      </c>
      <c r="I12" s="2" t="s">
        <v>9</v>
      </c>
      <c r="J12" s="2"/>
      <c r="K12" s="5">
        <v>2.6</v>
      </c>
      <c r="L12" s="5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6.3</v>
      </c>
      <c r="F13" s="20">
        <f t="shared" si="1"/>
        <v>0</v>
      </c>
      <c r="G13" s="2">
        <v>47</v>
      </c>
      <c r="H13" s="4" t="s">
        <v>163</v>
      </c>
      <c r="I13" s="2" t="s">
        <v>9</v>
      </c>
      <c r="J13" s="2"/>
      <c r="K13" s="5">
        <v>4.2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6.9</v>
      </c>
      <c r="F14" s="20">
        <f t="shared" si="1"/>
        <v>0</v>
      </c>
      <c r="G14" s="2">
        <v>48</v>
      </c>
      <c r="H14" s="4" t="s">
        <v>164</v>
      </c>
      <c r="I14" s="2" t="s">
        <v>9</v>
      </c>
      <c r="J14" s="2"/>
      <c r="K14" s="5">
        <v>4.2</v>
      </c>
      <c r="L14" s="5">
        <f t="shared" si="0"/>
        <v>0</v>
      </c>
    </row>
    <row r="15" spans="1:12" ht="13.15" customHeight="1">
      <c r="A15" s="2">
        <v>11</v>
      </c>
      <c r="B15" s="4" t="s">
        <v>165</v>
      </c>
      <c r="C15" s="2" t="s">
        <v>9</v>
      </c>
      <c r="D15" s="2"/>
      <c r="E15" s="5">
        <v>5.2</v>
      </c>
      <c r="F15" s="20">
        <f t="shared" si="1"/>
        <v>0</v>
      </c>
      <c r="G15" s="2">
        <v>49</v>
      </c>
      <c r="H15" s="4" t="s">
        <v>166</v>
      </c>
      <c r="I15" s="2" t="s">
        <v>9</v>
      </c>
      <c r="J15" s="2"/>
      <c r="K15" s="5">
        <v>4.2</v>
      </c>
      <c r="L15" s="5">
        <f t="shared" si="0"/>
        <v>0</v>
      </c>
    </row>
    <row r="16" spans="1:12" ht="13.15" customHeight="1">
      <c r="A16" s="2">
        <v>12</v>
      </c>
      <c r="B16" s="4" t="s">
        <v>167</v>
      </c>
      <c r="C16" s="2" t="s">
        <v>9</v>
      </c>
      <c r="D16" s="2"/>
      <c r="E16" s="5">
        <v>7.2</v>
      </c>
      <c r="F16" s="20">
        <f>D16*E16</f>
        <v>0</v>
      </c>
      <c r="G16" s="2">
        <v>50</v>
      </c>
      <c r="H16" s="4" t="s">
        <v>168</v>
      </c>
      <c r="I16" s="2" t="s">
        <v>9</v>
      </c>
      <c r="J16" s="2"/>
      <c r="K16" s="5">
        <v>0</v>
      </c>
      <c r="L16" s="5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7.8</v>
      </c>
      <c r="F17" s="20">
        <f t="shared" si="1"/>
        <v>0</v>
      </c>
      <c r="G17" s="2">
        <v>51</v>
      </c>
      <c r="H17" s="4" t="s">
        <v>169</v>
      </c>
      <c r="I17" s="2" t="s">
        <v>9</v>
      </c>
      <c r="J17" s="2"/>
      <c r="K17" s="5">
        <v>4.2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5.4</v>
      </c>
      <c r="F18" s="20">
        <f t="shared" si="1"/>
        <v>0</v>
      </c>
      <c r="G18" s="2">
        <v>52</v>
      </c>
      <c r="H18" s="4" t="s">
        <v>170</v>
      </c>
      <c r="I18" s="2" t="s">
        <v>9</v>
      </c>
      <c r="J18" s="2"/>
      <c r="K18" s="5">
        <v>3.8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</v>
      </c>
      <c r="F19" s="20">
        <f t="shared" si="1"/>
        <v>0</v>
      </c>
      <c r="G19" s="2">
        <v>53</v>
      </c>
      <c r="H19" s="4" t="s">
        <v>171</v>
      </c>
      <c r="I19" s="2" t="s">
        <v>9</v>
      </c>
      <c r="J19" s="2"/>
      <c r="K19" s="5">
        <v>3.8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3</v>
      </c>
      <c r="F20" s="20">
        <f t="shared" si="1"/>
        <v>0</v>
      </c>
      <c r="G20" s="2">
        <v>54</v>
      </c>
      <c r="H20" s="4" t="s">
        <v>172</v>
      </c>
      <c r="I20" s="2" t="s">
        <v>9</v>
      </c>
      <c r="J20" s="2"/>
      <c r="K20" s="5">
        <v>3.8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1.7</v>
      </c>
      <c r="F21" s="20">
        <f t="shared" si="1"/>
        <v>0</v>
      </c>
      <c r="G21" s="2">
        <v>55</v>
      </c>
      <c r="H21" s="4" t="s">
        <v>173</v>
      </c>
      <c r="I21" s="2" t="s">
        <v>9</v>
      </c>
      <c r="J21" s="2"/>
      <c r="K21" s="5">
        <v>3.8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7.5</v>
      </c>
      <c r="F22" s="20">
        <f t="shared" si="1"/>
        <v>0</v>
      </c>
      <c r="G22" s="2">
        <v>56</v>
      </c>
      <c r="H22" s="4" t="s">
        <v>174</v>
      </c>
      <c r="I22" s="2" t="s">
        <v>9</v>
      </c>
      <c r="J22" s="2"/>
      <c r="K22" s="5">
        <v>10</v>
      </c>
      <c r="L22" s="5">
        <f t="shared" si="0"/>
        <v>0</v>
      </c>
    </row>
    <row r="23" spans="1:12" ht="13.15" customHeight="1">
      <c r="A23" s="2">
        <v>19</v>
      </c>
      <c r="B23" s="4" t="s">
        <v>175</v>
      </c>
      <c r="C23" s="2" t="s">
        <v>9</v>
      </c>
      <c r="D23" s="2"/>
      <c r="E23" s="5">
        <v>8</v>
      </c>
      <c r="F23" s="20">
        <f t="shared" si="1"/>
        <v>0</v>
      </c>
      <c r="G23" s="2">
        <v>57</v>
      </c>
      <c r="H23" s="4" t="s">
        <v>176</v>
      </c>
      <c r="I23" s="2" t="s">
        <v>9</v>
      </c>
      <c r="J23" s="4"/>
      <c r="K23" s="2">
        <v>8.8000000000000007</v>
      </c>
      <c r="L23" s="5">
        <f t="shared" si="0"/>
        <v>0</v>
      </c>
    </row>
    <row r="24" spans="1:12" ht="13.15" customHeight="1">
      <c r="A24" s="2">
        <v>20</v>
      </c>
      <c r="B24" s="4" t="s">
        <v>177</v>
      </c>
      <c r="C24" s="2" t="s">
        <v>9</v>
      </c>
      <c r="D24" s="2"/>
      <c r="E24" s="5">
        <v>8.4</v>
      </c>
      <c r="F24" s="20">
        <f t="shared" si="1"/>
        <v>0</v>
      </c>
      <c r="G24" s="2">
        <v>58</v>
      </c>
      <c r="H24" s="4" t="s">
        <v>178</v>
      </c>
      <c r="I24" s="2" t="s">
        <v>9</v>
      </c>
      <c r="J24" s="4"/>
      <c r="K24" s="2">
        <v>7.2</v>
      </c>
      <c r="L24" s="5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8.8000000000000007</v>
      </c>
      <c r="F25" s="20">
        <f t="shared" si="1"/>
        <v>0</v>
      </c>
      <c r="G25" s="2">
        <v>59</v>
      </c>
      <c r="H25" s="4" t="s">
        <v>179</v>
      </c>
      <c r="I25" s="2" t="s">
        <v>9</v>
      </c>
      <c r="J25" s="4"/>
      <c r="K25" s="2">
        <v>8.5</v>
      </c>
      <c r="L25" s="5">
        <f t="shared" si="0"/>
        <v>0</v>
      </c>
    </row>
    <row r="26" spans="1:12" ht="13.15" customHeight="1">
      <c r="A26" s="2">
        <v>22</v>
      </c>
      <c r="B26" s="4" t="s">
        <v>180</v>
      </c>
      <c r="C26" s="2" t="s">
        <v>9</v>
      </c>
      <c r="D26" s="2"/>
      <c r="E26" s="5">
        <v>6</v>
      </c>
      <c r="F26" s="20">
        <f t="shared" si="1"/>
        <v>0</v>
      </c>
      <c r="G26" s="2">
        <v>60</v>
      </c>
      <c r="H26" s="4" t="s">
        <v>131</v>
      </c>
      <c r="I26" s="2" t="s">
        <v>9</v>
      </c>
      <c r="J26" s="4"/>
      <c r="K26" s="2">
        <v>4.2</v>
      </c>
      <c r="L26" s="5">
        <f t="shared" si="0"/>
        <v>0</v>
      </c>
    </row>
    <row r="27" spans="1:12" ht="13.15" customHeight="1">
      <c r="A27" s="2">
        <v>23</v>
      </c>
      <c r="B27" s="4" t="s">
        <v>181</v>
      </c>
      <c r="C27" s="2" t="s">
        <v>9</v>
      </c>
      <c r="D27" s="2"/>
      <c r="E27" s="5">
        <v>3.8</v>
      </c>
      <c r="F27" s="20">
        <f t="shared" si="1"/>
        <v>0</v>
      </c>
      <c r="G27" s="2">
        <v>61</v>
      </c>
      <c r="H27" s="4" t="s">
        <v>182</v>
      </c>
      <c r="I27" s="2" t="s">
        <v>9</v>
      </c>
      <c r="J27" s="4"/>
      <c r="K27" s="2">
        <v>13.5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6.3</v>
      </c>
      <c r="F28" s="20">
        <f t="shared" si="1"/>
        <v>0</v>
      </c>
      <c r="G28" s="2">
        <v>62</v>
      </c>
      <c r="H28" s="4" t="s">
        <v>183</v>
      </c>
      <c r="I28" s="2" t="s">
        <v>9</v>
      </c>
      <c r="J28" s="4"/>
      <c r="K28" s="2">
        <v>12.8</v>
      </c>
      <c r="L28" s="5">
        <f t="shared" si="0"/>
        <v>0</v>
      </c>
    </row>
    <row r="29" spans="1:12" ht="13.15" customHeight="1">
      <c r="A29" s="2">
        <v>25</v>
      </c>
      <c r="B29" s="4" t="s">
        <v>184</v>
      </c>
      <c r="C29" s="2" t="s">
        <v>9</v>
      </c>
      <c r="D29" s="2"/>
      <c r="E29" s="5">
        <v>7.7</v>
      </c>
      <c r="F29" s="20">
        <f t="shared" si="1"/>
        <v>0</v>
      </c>
      <c r="G29" s="2">
        <v>63</v>
      </c>
      <c r="H29" s="4" t="s">
        <v>185</v>
      </c>
      <c r="I29" s="2" t="s">
        <v>9</v>
      </c>
      <c r="J29" s="4"/>
      <c r="K29" s="2">
        <v>8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6.2</v>
      </c>
      <c r="F30" s="5">
        <f t="shared" si="1"/>
        <v>0</v>
      </c>
      <c r="G30" s="2">
        <v>64</v>
      </c>
      <c r="H30" s="4" t="s">
        <v>186</v>
      </c>
      <c r="I30" s="2" t="s">
        <v>9</v>
      </c>
      <c r="J30" s="4"/>
      <c r="K30" s="2">
        <v>7.25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7</v>
      </c>
      <c r="F31" s="5">
        <f t="shared" si="1"/>
        <v>0</v>
      </c>
      <c r="G31" s="2">
        <v>65</v>
      </c>
      <c r="H31" s="4" t="s">
        <v>187</v>
      </c>
      <c r="I31" s="2" t="s">
        <v>9</v>
      </c>
      <c r="J31" s="4"/>
      <c r="K31" s="2">
        <v>10.8</v>
      </c>
      <c r="L31" s="5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10</v>
      </c>
      <c r="F32" s="20">
        <f t="shared" si="1"/>
        <v>0</v>
      </c>
      <c r="G32" s="2">
        <v>66</v>
      </c>
      <c r="H32" s="4" t="s">
        <v>188</v>
      </c>
      <c r="I32" s="2" t="s">
        <v>9</v>
      </c>
      <c r="J32" s="4"/>
      <c r="K32" s="2">
        <v>3.8</v>
      </c>
      <c r="L32" s="5">
        <f t="shared" si="0"/>
        <v>0</v>
      </c>
    </row>
    <row r="33" spans="1:12" ht="13.15" customHeight="1">
      <c r="A33" s="2">
        <v>29</v>
      </c>
      <c r="B33" s="4" t="s">
        <v>189</v>
      </c>
      <c r="C33" s="2" t="s">
        <v>9</v>
      </c>
      <c r="D33" s="2"/>
      <c r="E33" s="5">
        <v>1.5</v>
      </c>
      <c r="F33" s="5">
        <f t="shared" si="1"/>
        <v>0</v>
      </c>
      <c r="G33" s="2">
        <v>67</v>
      </c>
      <c r="H33" s="4" t="s">
        <v>190</v>
      </c>
      <c r="I33" s="2" t="s">
        <v>9</v>
      </c>
      <c r="J33" s="4"/>
      <c r="K33" s="2">
        <v>6.7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7.9</v>
      </c>
      <c r="F34" s="5">
        <f t="shared" si="1"/>
        <v>0</v>
      </c>
      <c r="G34" s="2">
        <v>68</v>
      </c>
      <c r="H34" s="4" t="s">
        <v>191</v>
      </c>
      <c r="I34" s="2" t="s">
        <v>9</v>
      </c>
      <c r="J34" s="4"/>
      <c r="K34" s="2">
        <v>6.7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7</v>
      </c>
      <c r="F35" s="20">
        <f t="shared" si="1"/>
        <v>0</v>
      </c>
      <c r="G35" s="2">
        <v>69</v>
      </c>
      <c r="H35" s="4" t="s">
        <v>192</v>
      </c>
      <c r="I35" s="2" t="s">
        <v>9</v>
      </c>
      <c r="J35" s="4"/>
      <c r="K35" s="2">
        <v>4.8</v>
      </c>
      <c r="L35" s="5">
        <f>J35*K35</f>
        <v>0</v>
      </c>
    </row>
    <row r="36" spans="1:12" ht="13.15" customHeight="1">
      <c r="A36" s="2">
        <v>32</v>
      </c>
      <c r="B36" s="4" t="s">
        <v>193</v>
      </c>
      <c r="C36" s="2" t="s">
        <v>9</v>
      </c>
      <c r="D36" s="2"/>
      <c r="E36" s="5">
        <v>10.25</v>
      </c>
      <c r="F36" s="20">
        <f>D36*E36</f>
        <v>0</v>
      </c>
      <c r="G36" s="2">
        <v>70</v>
      </c>
      <c r="H36" s="4" t="s">
        <v>194</v>
      </c>
      <c r="I36" s="2" t="s">
        <v>9</v>
      </c>
      <c r="J36" s="4"/>
      <c r="K36" s="2">
        <v>7.25</v>
      </c>
      <c r="L36" s="5">
        <f>J36*K36</f>
        <v>0</v>
      </c>
    </row>
    <row r="37" spans="1:12" ht="13.15" customHeight="1">
      <c r="A37" s="2">
        <v>33</v>
      </c>
      <c r="B37" s="4" t="s">
        <v>195</v>
      </c>
      <c r="C37" s="2" t="s">
        <v>9</v>
      </c>
      <c r="D37" s="2"/>
      <c r="E37" s="5">
        <v>6</v>
      </c>
      <c r="F37" s="20">
        <f>D37*E37</f>
        <v>0</v>
      </c>
      <c r="G37" s="2">
        <v>71</v>
      </c>
      <c r="H37" s="4" t="s">
        <v>196</v>
      </c>
      <c r="I37" s="2" t="s">
        <v>9</v>
      </c>
      <c r="J37" s="4"/>
      <c r="K37" s="2">
        <v>5.4</v>
      </c>
      <c r="L37" s="5">
        <f>J37*K37</f>
        <v>0</v>
      </c>
    </row>
    <row r="38" spans="1:12" ht="13.15" customHeight="1">
      <c r="A38" s="2">
        <v>34</v>
      </c>
      <c r="B38" s="4"/>
      <c r="C38" s="2" t="s">
        <v>9</v>
      </c>
      <c r="D38" s="2"/>
      <c r="E38" s="5">
        <v>0</v>
      </c>
      <c r="F38" s="20">
        <f>D38*E38</f>
        <v>0</v>
      </c>
      <c r="G38" s="2">
        <v>72</v>
      </c>
      <c r="H38" s="4" t="s">
        <v>197</v>
      </c>
      <c r="I38" s="2" t="s">
        <v>9</v>
      </c>
      <c r="J38" s="4"/>
      <c r="K38" s="2">
        <v>8.5</v>
      </c>
      <c r="L38" s="5">
        <f>J38*K38</f>
        <v>0</v>
      </c>
    </row>
    <row r="39" spans="1:12" ht="13.15" customHeight="1">
      <c r="A39" s="2">
        <v>35</v>
      </c>
      <c r="B39" s="4" t="s">
        <v>198</v>
      </c>
      <c r="C39" s="2" t="s">
        <v>9</v>
      </c>
      <c r="D39" s="2"/>
      <c r="E39" s="5">
        <v>8.5</v>
      </c>
      <c r="F39" s="20">
        <f>D39*E39</f>
        <v>0</v>
      </c>
      <c r="G39" s="2">
        <v>73</v>
      </c>
      <c r="H39" s="4" t="s">
        <v>199</v>
      </c>
      <c r="I39" s="2" t="s">
        <v>9</v>
      </c>
      <c r="J39" s="4"/>
      <c r="K39" s="2">
        <v>6.7</v>
      </c>
      <c r="L39" s="5">
        <f>J39*K39</f>
        <v>0</v>
      </c>
    </row>
    <row r="40" spans="1:12" ht="13.15" customHeight="1">
      <c r="K40" t="s">
        <v>200</v>
      </c>
      <c r="L40" s="25">
        <f>F5+F6+F7+F8+F9+F10+F11+F12+F13+F14+F15+F16+F17+F18+F19+F20+F21+F22+F23+F24+F25+F26+F27+F28+F29+F30+F31+F32+F33+F34+F35+F36+F37+F38+F39+L2+L3+L4+L5+L6+L7+L8+L9+L10+L11+L12+L13+L14+L15+L16+L17+L18+L19+L20+L21+L22+L23+L24+L25+L26+L27+L28+L29+L30+L31+L32+L33+L34+L35+L36+L37+L38+L39</f>
        <v>0</v>
      </c>
    </row>
    <row r="42" spans="1:12" ht="13.15" customHeight="1">
      <c r="H42" t="s">
        <v>201</v>
      </c>
      <c r="J42" t="s">
        <v>202</v>
      </c>
    </row>
  </sheetData>
  <mergeCells count="4">
    <mergeCell ref="A1:C1"/>
    <mergeCell ref="D1:F1"/>
    <mergeCell ref="A2:F2"/>
    <mergeCell ref="A3:F3"/>
  </mergeCells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>
  <sheetPr codeName="Лист95"/>
  <dimension ref="A1:L42"/>
  <sheetViews>
    <sheetView topLeftCell="A22" workbookViewId="0">
      <selection activeCell="B53" sqref="B53"/>
    </sheetView>
  </sheetViews>
  <sheetFormatPr defaultRowHeight="13.15" customHeight="1"/>
  <cols>
    <col min="1" max="1" width="5" style="17" customWidth="1"/>
    <col min="2" max="2" width="30.28515625" customWidth="1"/>
    <col min="3" max="3" width="6.85546875" customWidth="1"/>
    <col min="4" max="4" width="6.5703125" customWidth="1"/>
    <col min="6" max="6" width="8.85546875" style="17"/>
    <col min="7" max="7" width="4.7109375" style="17" customWidth="1"/>
    <col min="8" max="8" width="24.7109375" customWidth="1"/>
    <col min="9" max="9" width="6.7109375" customWidth="1"/>
    <col min="10" max="10" width="7" customWidth="1"/>
    <col min="12" max="12" width="8.85546875" style="17"/>
  </cols>
  <sheetData>
    <row r="1" spans="1:12" ht="13.15" customHeight="1">
      <c r="A1" s="30" t="s">
        <v>147</v>
      </c>
      <c r="B1" s="30"/>
      <c r="C1" s="30"/>
      <c r="D1" s="31" t="s">
        <v>148</v>
      </c>
      <c r="E1" s="30"/>
      <c r="F1" s="30"/>
      <c r="G1" s="16"/>
      <c r="H1" s="2" t="s">
        <v>2</v>
      </c>
      <c r="I1" s="1" t="s">
        <v>3</v>
      </c>
      <c r="J1" s="2" t="s">
        <v>4</v>
      </c>
      <c r="K1" s="2" t="s">
        <v>149</v>
      </c>
      <c r="L1" s="2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150</v>
      </c>
      <c r="I2" s="2" t="s">
        <v>9</v>
      </c>
      <c r="J2" s="2"/>
      <c r="K2" s="5">
        <v>8.5</v>
      </c>
      <c r="L2" s="5">
        <f t="shared" ref="L2:L34" si="0"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151</v>
      </c>
      <c r="I3" s="2" t="s">
        <v>9</v>
      </c>
      <c r="J3" s="2"/>
      <c r="K3" s="5">
        <v>8.5</v>
      </c>
      <c r="L3" s="5">
        <f t="shared" si="0"/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152</v>
      </c>
      <c r="I4" s="2" t="s">
        <v>9</v>
      </c>
      <c r="J4" s="2"/>
      <c r="K4" s="5">
        <v>8.5</v>
      </c>
      <c r="L4" s="5">
        <f t="shared" si="0"/>
        <v>0</v>
      </c>
    </row>
    <row r="5" spans="1:12" ht="13.15" customHeight="1">
      <c r="A5" s="2">
        <v>1</v>
      </c>
      <c r="B5" s="4" t="s">
        <v>153</v>
      </c>
      <c r="C5" s="2" t="s">
        <v>9</v>
      </c>
      <c r="D5" s="2"/>
      <c r="E5" s="5">
        <v>8.8000000000000007</v>
      </c>
      <c r="F5" s="20">
        <f>D5*E5</f>
        <v>0</v>
      </c>
      <c r="G5" s="2">
        <v>39</v>
      </c>
      <c r="H5" s="4" t="s">
        <v>154</v>
      </c>
      <c r="I5" s="2" t="s">
        <v>9</v>
      </c>
      <c r="J5" s="2"/>
      <c r="K5" s="5">
        <v>8.5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5.7</v>
      </c>
      <c r="F6" s="20">
        <f t="shared" ref="F6:F35" si="1">D6*E6</f>
        <v>0</v>
      </c>
      <c r="G6" s="2">
        <v>40</v>
      </c>
      <c r="H6" s="4" t="s">
        <v>155</v>
      </c>
      <c r="I6" s="2" t="s">
        <v>9</v>
      </c>
      <c r="J6" s="2"/>
      <c r="K6" s="5">
        <v>8.5</v>
      </c>
      <c r="L6" s="5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6.3</v>
      </c>
      <c r="F7" s="20">
        <f t="shared" si="1"/>
        <v>0</v>
      </c>
      <c r="G7" s="2">
        <v>41</v>
      </c>
      <c r="H7" s="4" t="s">
        <v>157</v>
      </c>
      <c r="I7" s="2" t="s">
        <v>9</v>
      </c>
      <c r="J7" s="2"/>
      <c r="K7" s="5">
        <v>8.5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9</v>
      </c>
      <c r="F8" s="20">
        <f t="shared" si="1"/>
        <v>0</v>
      </c>
      <c r="G8" s="2">
        <v>42</v>
      </c>
      <c r="H8" s="4" t="s">
        <v>158</v>
      </c>
      <c r="I8" s="2" t="s">
        <v>9</v>
      </c>
      <c r="J8" s="2"/>
      <c r="K8" s="5">
        <v>3.3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5.8</v>
      </c>
      <c r="F9" s="20">
        <f t="shared" si="1"/>
        <v>0</v>
      </c>
      <c r="G9" s="2">
        <v>43</v>
      </c>
      <c r="H9" s="4" t="s">
        <v>159</v>
      </c>
      <c r="I9" s="2" t="s">
        <v>9</v>
      </c>
      <c r="J9" s="2"/>
      <c r="K9" s="5">
        <v>3.8</v>
      </c>
      <c r="L9" s="5">
        <f t="shared" si="0"/>
        <v>0</v>
      </c>
    </row>
    <row r="10" spans="1:12" ht="13.15" customHeight="1">
      <c r="A10" s="2">
        <v>6</v>
      </c>
      <c r="B10" s="4" t="s">
        <v>160</v>
      </c>
      <c r="C10" s="2" t="s">
        <v>9</v>
      </c>
      <c r="D10" s="2"/>
      <c r="E10" s="5">
        <v>7.4</v>
      </c>
      <c r="F10" s="20">
        <f t="shared" si="1"/>
        <v>0</v>
      </c>
      <c r="G10" s="2">
        <v>44</v>
      </c>
      <c r="H10" s="4" t="s">
        <v>13</v>
      </c>
      <c r="I10" s="2" t="s">
        <v>9</v>
      </c>
      <c r="J10" s="2"/>
      <c r="K10" s="5">
        <v>3.3</v>
      </c>
      <c r="L10" s="5">
        <f t="shared" si="0"/>
        <v>0</v>
      </c>
    </row>
    <row r="11" spans="1:12" ht="13.15" customHeight="1">
      <c r="A11" s="2">
        <v>7</v>
      </c>
      <c r="B11" s="4" t="s">
        <v>78</v>
      </c>
      <c r="C11" s="2" t="s">
        <v>9</v>
      </c>
      <c r="D11" s="2"/>
      <c r="E11" s="5">
        <v>8.1</v>
      </c>
      <c r="F11" s="20">
        <f t="shared" si="1"/>
        <v>0</v>
      </c>
      <c r="G11" s="2">
        <v>45</v>
      </c>
      <c r="H11" s="4" t="s">
        <v>17</v>
      </c>
      <c r="I11" s="2" t="s">
        <v>9</v>
      </c>
      <c r="J11" s="2"/>
      <c r="K11" s="5">
        <v>2.6</v>
      </c>
      <c r="L11" s="5">
        <f t="shared" si="0"/>
        <v>0</v>
      </c>
    </row>
    <row r="12" spans="1:12" ht="13.15" customHeight="1">
      <c r="A12" s="2">
        <v>8</v>
      </c>
      <c r="B12" s="4" t="s">
        <v>80</v>
      </c>
      <c r="C12" s="2" t="s">
        <v>9</v>
      </c>
      <c r="D12" s="2"/>
      <c r="E12" s="5">
        <v>5.4</v>
      </c>
      <c r="F12" s="20">
        <f t="shared" si="1"/>
        <v>0</v>
      </c>
      <c r="G12" s="2">
        <v>46</v>
      </c>
      <c r="H12" s="4" t="s">
        <v>161</v>
      </c>
      <c r="I12" s="2" t="s">
        <v>9</v>
      </c>
      <c r="J12" s="2"/>
      <c r="K12" s="5">
        <v>2.6</v>
      </c>
      <c r="L12" s="5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6.3</v>
      </c>
      <c r="F13" s="20">
        <f t="shared" si="1"/>
        <v>0</v>
      </c>
      <c r="G13" s="2">
        <v>47</v>
      </c>
      <c r="H13" s="4" t="s">
        <v>163</v>
      </c>
      <c r="I13" s="2" t="s">
        <v>9</v>
      </c>
      <c r="J13" s="2"/>
      <c r="K13" s="5">
        <v>4.2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6.9</v>
      </c>
      <c r="F14" s="20">
        <f t="shared" si="1"/>
        <v>0</v>
      </c>
      <c r="G14" s="2">
        <v>48</v>
      </c>
      <c r="H14" s="4" t="s">
        <v>164</v>
      </c>
      <c r="I14" s="2" t="s">
        <v>9</v>
      </c>
      <c r="J14" s="2"/>
      <c r="K14" s="5">
        <v>4.2</v>
      </c>
      <c r="L14" s="5">
        <f t="shared" si="0"/>
        <v>0</v>
      </c>
    </row>
    <row r="15" spans="1:12" ht="13.15" customHeight="1">
      <c r="A15" s="2">
        <v>11</v>
      </c>
      <c r="B15" s="4" t="s">
        <v>165</v>
      </c>
      <c r="C15" s="2" t="s">
        <v>9</v>
      </c>
      <c r="D15" s="2"/>
      <c r="E15" s="5">
        <v>5.2</v>
      </c>
      <c r="F15" s="20">
        <f t="shared" si="1"/>
        <v>0</v>
      </c>
      <c r="G15" s="2">
        <v>49</v>
      </c>
      <c r="H15" s="4" t="s">
        <v>166</v>
      </c>
      <c r="I15" s="2" t="s">
        <v>9</v>
      </c>
      <c r="J15" s="2"/>
      <c r="K15" s="5">
        <v>4.2</v>
      </c>
      <c r="L15" s="5">
        <f t="shared" si="0"/>
        <v>0</v>
      </c>
    </row>
    <row r="16" spans="1:12" ht="13.15" customHeight="1">
      <c r="A16" s="2">
        <v>12</v>
      </c>
      <c r="B16" s="4" t="s">
        <v>167</v>
      </c>
      <c r="C16" s="2" t="s">
        <v>9</v>
      </c>
      <c r="D16" s="2"/>
      <c r="E16" s="5">
        <v>7.2</v>
      </c>
      <c r="F16" s="20">
        <f>D16*E16</f>
        <v>0</v>
      </c>
      <c r="G16" s="2">
        <v>50</v>
      </c>
      <c r="H16" s="4" t="s">
        <v>168</v>
      </c>
      <c r="I16" s="2" t="s">
        <v>9</v>
      </c>
      <c r="J16" s="2"/>
      <c r="K16" s="5">
        <v>0</v>
      </c>
      <c r="L16" s="5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7.8</v>
      </c>
      <c r="F17" s="20">
        <f t="shared" si="1"/>
        <v>0</v>
      </c>
      <c r="G17" s="2">
        <v>51</v>
      </c>
      <c r="H17" s="4" t="s">
        <v>169</v>
      </c>
      <c r="I17" s="2" t="s">
        <v>9</v>
      </c>
      <c r="J17" s="2"/>
      <c r="K17" s="5">
        <v>4.2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5.4</v>
      </c>
      <c r="F18" s="20">
        <f t="shared" si="1"/>
        <v>0</v>
      </c>
      <c r="G18" s="2">
        <v>52</v>
      </c>
      <c r="H18" s="4" t="s">
        <v>170</v>
      </c>
      <c r="I18" s="2" t="s">
        <v>9</v>
      </c>
      <c r="J18" s="2"/>
      <c r="K18" s="5">
        <v>3.8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</v>
      </c>
      <c r="F19" s="20">
        <f t="shared" si="1"/>
        <v>0</v>
      </c>
      <c r="G19" s="2">
        <v>53</v>
      </c>
      <c r="H19" s="4" t="s">
        <v>171</v>
      </c>
      <c r="I19" s="2" t="s">
        <v>9</v>
      </c>
      <c r="J19" s="2"/>
      <c r="K19" s="5">
        <v>3.8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3</v>
      </c>
      <c r="F20" s="20">
        <f t="shared" si="1"/>
        <v>0</v>
      </c>
      <c r="G20" s="2">
        <v>54</v>
      </c>
      <c r="H20" s="4" t="s">
        <v>172</v>
      </c>
      <c r="I20" s="2" t="s">
        <v>9</v>
      </c>
      <c r="J20" s="2"/>
      <c r="K20" s="5">
        <v>3.8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1.7</v>
      </c>
      <c r="F21" s="20">
        <f t="shared" si="1"/>
        <v>0</v>
      </c>
      <c r="G21" s="2">
        <v>55</v>
      </c>
      <c r="H21" s="4" t="s">
        <v>173</v>
      </c>
      <c r="I21" s="2" t="s">
        <v>9</v>
      </c>
      <c r="J21" s="2"/>
      <c r="K21" s="5">
        <v>3.8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7.5</v>
      </c>
      <c r="F22" s="20">
        <f t="shared" si="1"/>
        <v>0</v>
      </c>
      <c r="G22" s="2">
        <v>56</v>
      </c>
      <c r="H22" s="4" t="s">
        <v>174</v>
      </c>
      <c r="I22" s="2" t="s">
        <v>9</v>
      </c>
      <c r="J22" s="2"/>
      <c r="K22" s="5">
        <v>10</v>
      </c>
      <c r="L22" s="5">
        <f t="shared" si="0"/>
        <v>0</v>
      </c>
    </row>
    <row r="23" spans="1:12" ht="13.15" customHeight="1">
      <c r="A23" s="2">
        <v>19</v>
      </c>
      <c r="B23" s="4" t="s">
        <v>175</v>
      </c>
      <c r="C23" s="2" t="s">
        <v>9</v>
      </c>
      <c r="D23" s="2"/>
      <c r="E23" s="5">
        <v>8</v>
      </c>
      <c r="F23" s="20">
        <f t="shared" si="1"/>
        <v>0</v>
      </c>
      <c r="G23" s="2">
        <v>57</v>
      </c>
      <c r="H23" s="4" t="s">
        <v>176</v>
      </c>
      <c r="I23" s="2" t="s">
        <v>9</v>
      </c>
      <c r="J23" s="4"/>
      <c r="K23" s="2">
        <v>8.8000000000000007</v>
      </c>
      <c r="L23" s="5">
        <f t="shared" si="0"/>
        <v>0</v>
      </c>
    </row>
    <row r="24" spans="1:12" ht="13.15" customHeight="1">
      <c r="A24" s="2">
        <v>20</v>
      </c>
      <c r="B24" s="4" t="s">
        <v>177</v>
      </c>
      <c r="C24" s="2" t="s">
        <v>9</v>
      </c>
      <c r="D24" s="2"/>
      <c r="E24" s="5">
        <v>8.4</v>
      </c>
      <c r="F24" s="20">
        <f t="shared" si="1"/>
        <v>0</v>
      </c>
      <c r="G24" s="2">
        <v>58</v>
      </c>
      <c r="H24" s="4" t="s">
        <v>178</v>
      </c>
      <c r="I24" s="2" t="s">
        <v>9</v>
      </c>
      <c r="J24" s="4"/>
      <c r="K24" s="2">
        <v>7.2</v>
      </c>
      <c r="L24" s="5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8.8000000000000007</v>
      </c>
      <c r="F25" s="20">
        <f t="shared" si="1"/>
        <v>0</v>
      </c>
      <c r="G25" s="2">
        <v>59</v>
      </c>
      <c r="H25" s="4" t="s">
        <v>179</v>
      </c>
      <c r="I25" s="2" t="s">
        <v>9</v>
      </c>
      <c r="J25" s="4"/>
      <c r="K25" s="2">
        <v>8.5</v>
      </c>
      <c r="L25" s="5">
        <f t="shared" si="0"/>
        <v>0</v>
      </c>
    </row>
    <row r="26" spans="1:12" ht="13.15" customHeight="1">
      <c r="A26" s="2">
        <v>22</v>
      </c>
      <c r="B26" s="4" t="s">
        <v>180</v>
      </c>
      <c r="C26" s="2" t="s">
        <v>9</v>
      </c>
      <c r="D26" s="2"/>
      <c r="E26" s="5">
        <v>6</v>
      </c>
      <c r="F26" s="20">
        <f t="shared" si="1"/>
        <v>0</v>
      </c>
      <c r="G26" s="2">
        <v>60</v>
      </c>
      <c r="H26" s="4" t="s">
        <v>131</v>
      </c>
      <c r="I26" s="2" t="s">
        <v>9</v>
      </c>
      <c r="J26" s="4"/>
      <c r="K26" s="2">
        <v>4.2</v>
      </c>
      <c r="L26" s="5">
        <f t="shared" si="0"/>
        <v>0</v>
      </c>
    </row>
    <row r="27" spans="1:12" ht="13.15" customHeight="1">
      <c r="A27" s="2">
        <v>23</v>
      </c>
      <c r="B27" s="4" t="s">
        <v>181</v>
      </c>
      <c r="C27" s="2" t="s">
        <v>9</v>
      </c>
      <c r="D27" s="2"/>
      <c r="E27" s="5">
        <v>3.8</v>
      </c>
      <c r="F27" s="20">
        <f t="shared" si="1"/>
        <v>0</v>
      </c>
      <c r="G27" s="2">
        <v>61</v>
      </c>
      <c r="H27" s="4" t="s">
        <v>182</v>
      </c>
      <c r="I27" s="2" t="s">
        <v>9</v>
      </c>
      <c r="J27" s="4"/>
      <c r="K27" s="2">
        <v>13.5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6.3</v>
      </c>
      <c r="F28" s="20">
        <f t="shared" si="1"/>
        <v>0</v>
      </c>
      <c r="G28" s="2">
        <v>62</v>
      </c>
      <c r="H28" s="4" t="s">
        <v>183</v>
      </c>
      <c r="I28" s="2" t="s">
        <v>9</v>
      </c>
      <c r="J28" s="4"/>
      <c r="K28" s="2">
        <v>12.8</v>
      </c>
      <c r="L28" s="5">
        <f t="shared" si="0"/>
        <v>0</v>
      </c>
    </row>
    <row r="29" spans="1:12" ht="13.15" customHeight="1">
      <c r="A29" s="2">
        <v>25</v>
      </c>
      <c r="B29" s="4" t="s">
        <v>184</v>
      </c>
      <c r="C29" s="2" t="s">
        <v>9</v>
      </c>
      <c r="D29" s="2"/>
      <c r="E29" s="5">
        <v>7.7</v>
      </c>
      <c r="F29" s="20">
        <f t="shared" si="1"/>
        <v>0</v>
      </c>
      <c r="G29" s="2">
        <v>63</v>
      </c>
      <c r="H29" s="4" t="s">
        <v>185</v>
      </c>
      <c r="I29" s="2" t="s">
        <v>9</v>
      </c>
      <c r="J29" s="4"/>
      <c r="K29" s="2">
        <v>8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6.2</v>
      </c>
      <c r="F30" s="5">
        <f t="shared" si="1"/>
        <v>0</v>
      </c>
      <c r="G30" s="2">
        <v>64</v>
      </c>
      <c r="H30" s="4" t="s">
        <v>186</v>
      </c>
      <c r="I30" s="2" t="s">
        <v>9</v>
      </c>
      <c r="J30" s="4"/>
      <c r="K30" s="2">
        <v>7.25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7</v>
      </c>
      <c r="F31" s="5">
        <f t="shared" si="1"/>
        <v>0</v>
      </c>
      <c r="G31" s="2">
        <v>65</v>
      </c>
      <c r="H31" s="4" t="s">
        <v>187</v>
      </c>
      <c r="I31" s="2" t="s">
        <v>9</v>
      </c>
      <c r="J31" s="4"/>
      <c r="K31" s="2">
        <v>10.8</v>
      </c>
      <c r="L31" s="5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10</v>
      </c>
      <c r="F32" s="20">
        <f t="shared" si="1"/>
        <v>0</v>
      </c>
      <c r="G32" s="2">
        <v>66</v>
      </c>
      <c r="H32" s="4" t="s">
        <v>188</v>
      </c>
      <c r="I32" s="2" t="s">
        <v>9</v>
      </c>
      <c r="J32" s="4"/>
      <c r="K32" s="2">
        <v>3.8</v>
      </c>
      <c r="L32" s="5">
        <f t="shared" si="0"/>
        <v>0</v>
      </c>
    </row>
    <row r="33" spans="1:12" ht="13.15" customHeight="1">
      <c r="A33" s="2">
        <v>29</v>
      </c>
      <c r="B33" s="4" t="s">
        <v>189</v>
      </c>
      <c r="C33" s="2" t="s">
        <v>9</v>
      </c>
      <c r="D33" s="2"/>
      <c r="E33" s="5">
        <v>1.5</v>
      </c>
      <c r="F33" s="5">
        <f t="shared" si="1"/>
        <v>0</v>
      </c>
      <c r="G33" s="2">
        <v>67</v>
      </c>
      <c r="H33" s="4" t="s">
        <v>190</v>
      </c>
      <c r="I33" s="2" t="s">
        <v>9</v>
      </c>
      <c r="J33" s="4"/>
      <c r="K33" s="2">
        <v>6.7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7.9</v>
      </c>
      <c r="F34" s="5">
        <f t="shared" si="1"/>
        <v>0</v>
      </c>
      <c r="G34" s="2">
        <v>68</v>
      </c>
      <c r="H34" s="4" t="s">
        <v>191</v>
      </c>
      <c r="I34" s="2" t="s">
        <v>9</v>
      </c>
      <c r="J34" s="4"/>
      <c r="K34" s="2">
        <v>6.7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7</v>
      </c>
      <c r="F35" s="20">
        <f t="shared" si="1"/>
        <v>0</v>
      </c>
      <c r="G35" s="2">
        <v>69</v>
      </c>
      <c r="H35" s="4" t="s">
        <v>192</v>
      </c>
      <c r="I35" s="2" t="s">
        <v>9</v>
      </c>
      <c r="J35" s="4"/>
      <c r="K35" s="2">
        <v>4.8</v>
      </c>
      <c r="L35" s="5">
        <f>J35*K35</f>
        <v>0</v>
      </c>
    </row>
    <row r="36" spans="1:12" ht="13.15" customHeight="1">
      <c r="A36" s="2">
        <v>32</v>
      </c>
      <c r="B36" s="4" t="s">
        <v>193</v>
      </c>
      <c r="C36" s="2" t="s">
        <v>9</v>
      </c>
      <c r="D36" s="2"/>
      <c r="E36" s="5">
        <v>10.25</v>
      </c>
      <c r="F36" s="20">
        <f>D36*E36</f>
        <v>0</v>
      </c>
      <c r="G36" s="2">
        <v>70</v>
      </c>
      <c r="H36" s="4" t="s">
        <v>194</v>
      </c>
      <c r="I36" s="2" t="s">
        <v>9</v>
      </c>
      <c r="J36" s="4"/>
      <c r="K36" s="2">
        <v>7.25</v>
      </c>
      <c r="L36" s="5">
        <f>J36*K36</f>
        <v>0</v>
      </c>
    </row>
    <row r="37" spans="1:12" ht="13.15" customHeight="1">
      <c r="A37" s="2">
        <v>33</v>
      </c>
      <c r="B37" s="4" t="s">
        <v>195</v>
      </c>
      <c r="C37" s="2" t="s">
        <v>9</v>
      </c>
      <c r="D37" s="2"/>
      <c r="E37" s="5">
        <v>6</v>
      </c>
      <c r="F37" s="20">
        <f>D37*E37</f>
        <v>0</v>
      </c>
      <c r="G37" s="2">
        <v>71</v>
      </c>
      <c r="H37" s="4" t="s">
        <v>196</v>
      </c>
      <c r="I37" s="2" t="s">
        <v>9</v>
      </c>
      <c r="J37" s="4"/>
      <c r="K37" s="2">
        <v>5.4</v>
      </c>
      <c r="L37" s="5">
        <f>J37*K37</f>
        <v>0</v>
      </c>
    </row>
    <row r="38" spans="1:12" ht="13.15" customHeight="1">
      <c r="A38" s="2">
        <v>34</v>
      </c>
      <c r="B38" s="4"/>
      <c r="C38" s="2" t="s">
        <v>9</v>
      </c>
      <c r="D38" s="2"/>
      <c r="E38" s="5">
        <v>0</v>
      </c>
      <c r="F38" s="20">
        <f>D38*E38</f>
        <v>0</v>
      </c>
      <c r="G38" s="2">
        <v>72</v>
      </c>
      <c r="H38" s="4" t="s">
        <v>197</v>
      </c>
      <c r="I38" s="2" t="s">
        <v>9</v>
      </c>
      <c r="J38" s="4"/>
      <c r="K38" s="2">
        <v>8.5</v>
      </c>
      <c r="L38" s="5">
        <f>J38*K38</f>
        <v>0</v>
      </c>
    </row>
    <row r="39" spans="1:12" ht="13.15" customHeight="1">
      <c r="A39" s="2">
        <v>35</v>
      </c>
      <c r="B39" s="4" t="s">
        <v>198</v>
      </c>
      <c r="C39" s="2" t="s">
        <v>9</v>
      </c>
      <c r="D39" s="2"/>
      <c r="E39" s="5">
        <v>8.5</v>
      </c>
      <c r="F39" s="20">
        <f>D39*E39</f>
        <v>0</v>
      </c>
      <c r="G39" s="2">
        <v>73</v>
      </c>
      <c r="H39" s="4" t="s">
        <v>199</v>
      </c>
      <c r="I39" s="2" t="s">
        <v>9</v>
      </c>
      <c r="J39" s="4"/>
      <c r="K39" s="2">
        <v>6.7</v>
      </c>
      <c r="L39" s="5">
        <f>J39*K39</f>
        <v>0</v>
      </c>
    </row>
    <row r="40" spans="1:12" ht="13.15" customHeight="1">
      <c r="K40" t="s">
        <v>200</v>
      </c>
      <c r="L40" s="25">
        <f>F5+F6+F7+F8+F9+F10+F11+F12+F13+F14+F15+F16+F17+F18+F19+F20+F21+F22+F23+F24+F25+F26+F27+F28+F29+F30+F31+F32+F33+F34+F35+F36+F37+F38+F39+L2+L3+L4+L5+L6+L7+L8+L9+L10+L11+L12+L13+L14+L15+L16+L17+L18+L19+L20+L21+L22+L23+L24+L25+L26+L27+L28+L29+L30+L31+L32+L33+L34+L35+L36+L37+L38+L39</f>
        <v>0</v>
      </c>
    </row>
    <row r="42" spans="1:12" ht="13.15" customHeight="1">
      <c r="H42" t="s">
        <v>201</v>
      </c>
      <c r="J42" t="s">
        <v>202</v>
      </c>
    </row>
  </sheetData>
  <mergeCells count="4">
    <mergeCell ref="A1:C1"/>
    <mergeCell ref="D1:F1"/>
    <mergeCell ref="A2:F2"/>
    <mergeCell ref="A3:F3"/>
  </mergeCells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>
  <sheetPr codeName="Лист71">
    <tabColor rgb="FFFF0000"/>
  </sheetPr>
  <dimension ref="A1:L42"/>
  <sheetViews>
    <sheetView workbookViewId="0">
      <selection activeCell="M29" sqref="M29"/>
    </sheetView>
  </sheetViews>
  <sheetFormatPr defaultRowHeight="13.15" customHeight="1"/>
  <cols>
    <col min="1" max="1" width="5" style="17" customWidth="1"/>
    <col min="2" max="2" width="30.28515625" customWidth="1"/>
    <col min="3" max="3" width="6.85546875" customWidth="1"/>
    <col min="4" max="4" width="6.5703125" customWidth="1"/>
    <col min="6" max="6" width="8.85546875" style="17"/>
    <col min="7" max="7" width="4.7109375" style="17" customWidth="1"/>
    <col min="8" max="8" width="24.7109375" customWidth="1"/>
    <col min="9" max="9" width="6.7109375" customWidth="1"/>
    <col min="10" max="10" width="7" style="17" customWidth="1"/>
    <col min="12" max="12" width="8.85546875" style="17"/>
  </cols>
  <sheetData>
    <row r="1" spans="1:12" ht="13.15" customHeight="1">
      <c r="A1" s="30" t="s">
        <v>147</v>
      </c>
      <c r="B1" s="30"/>
      <c r="C1" s="30"/>
      <c r="D1" s="31" t="s">
        <v>148</v>
      </c>
      <c r="E1" s="30"/>
      <c r="F1" s="30"/>
      <c r="G1" s="16"/>
      <c r="H1" s="2" t="s">
        <v>2</v>
      </c>
      <c r="I1" s="1" t="s">
        <v>3</v>
      </c>
      <c r="J1" s="2" t="s">
        <v>4</v>
      </c>
      <c r="K1" s="2" t="s">
        <v>149</v>
      </c>
      <c r="L1" s="2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150</v>
      </c>
      <c r="I2" s="2" t="s">
        <v>9</v>
      </c>
      <c r="J2" s="2">
        <f>'k1'!J2+'k2'!J2+'k3'!J2+'k4'!J2+'k5'!J2+'k6'!J2+'k7'!J2+'k8'!J2+'k9'!J2+'k10'!J2+'k11'!J2+'k12'!J2+'k13'!J2+'k14'!J2+'k15'!J2+'k16'!J2+'k17'!J2+'k18'!J2+'k19'!J2+'k20'!J2+'k21'!J2+'k22'!J2+'k23'!J2+'k24'!J2+'k25'!J2</f>
        <v>0</v>
      </c>
      <c r="K2" s="5">
        <v>8.5</v>
      </c>
      <c r="L2" s="5">
        <f t="shared" ref="L2:L34" si="0"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151</v>
      </c>
      <c r="I3" s="2" t="s">
        <v>9</v>
      </c>
      <c r="J3" s="2">
        <f>'k1'!J3+'k2'!J3+'k3'!J3+'k4'!J3+'k5'!J3+'k6'!J3+'k7'!J3+'k8'!J3+'k9'!J3+'k10'!J3+'k11'!J3+'k12'!J3+'k13'!J3+'k14'!J3+'k15'!J3+'k16'!J3+'k17'!J3+'k18'!J3+'k19'!J3+'k20'!J3+'k21'!J3+'k22'!J3+'k23'!J3+'k24'!J3+'k25'!J3</f>
        <v>0</v>
      </c>
      <c r="K3" s="5">
        <v>8.5</v>
      </c>
      <c r="L3" s="5">
        <f t="shared" si="0"/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152</v>
      </c>
      <c r="I4" s="2" t="s">
        <v>9</v>
      </c>
      <c r="J4" s="2">
        <f>'k1'!J4+'k2'!J4+'k3'!J4+'k4'!J4+'k5'!J4+'k6'!J4+'k7'!J4+'k8'!J4+'k9'!J4+'k10'!J4+'k11'!J4+'k12'!J4+'k13'!J4+'k14'!J4+'k15'!J4+'k16'!J4+'k17'!J4+'k18'!J4+'k19'!J4+'k20'!J4+'k21'!J4+'k22'!J4+'k23'!J4+'k24'!J4+'k25'!J4</f>
        <v>0</v>
      </c>
      <c r="K4" s="5">
        <v>8.5</v>
      </c>
      <c r="L4" s="5">
        <f t="shared" si="0"/>
        <v>0</v>
      </c>
    </row>
    <row r="5" spans="1:12" ht="13.15" customHeight="1">
      <c r="A5" s="2">
        <v>1</v>
      </c>
      <c r="B5" s="4" t="s">
        <v>153</v>
      </c>
      <c r="C5" s="2" t="s">
        <v>9</v>
      </c>
      <c r="D5" s="2">
        <f>'k1'!D5+'k2'!D5+'k3'!D5+'k4'!D5+'k5'!D5+'k6'!D5+'k7'!D5+'k8'!D5+'k9'!D5+'k10'!D5+'k11'!D5+'k12'!D5+'k13'!D5+'k14'!D5+'k15'!D5+'k16'!D5+'k17'!D5+'k18'!D5+'k19'!D5+'k20'!D5+'k21'!D5+'k22'!D5+'k23'!D5+'k24'!D5+'k25'!D5</f>
        <v>0</v>
      </c>
      <c r="E5" s="5">
        <v>8.8000000000000007</v>
      </c>
      <c r="F5" s="20">
        <f>D5*E5</f>
        <v>0</v>
      </c>
      <c r="G5" s="2">
        <v>39</v>
      </c>
      <c r="H5" s="4" t="s">
        <v>154</v>
      </c>
      <c r="I5" s="2" t="s">
        <v>9</v>
      </c>
      <c r="J5" s="2">
        <f>'k1'!J5+'k2'!J5+'k3'!J5+'k4'!J5+'k5'!J5+'k6'!J5+'k7'!J5+'k8'!J5+'k9'!J5+'k10'!J5+'k11'!J5+'k12'!J5+'k13'!J5+'k14'!J5+'k15'!J5+'k16'!J5+'k17'!J5+'k18'!J5+'k19'!J5+'k20'!J5+'k21'!J5+'k22'!J5+'k23'!J5+'k24'!J5+'k25'!J5</f>
        <v>0</v>
      </c>
      <c r="K5" s="5">
        <v>8.5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>
        <f>'k1'!D6+'k2'!D6+'k3'!D6+'k4'!D6+'k5'!D6+'k6'!D6+'k7'!D6+'k8'!D6+'k9'!D6+'k10'!D6+'k11'!D6+'k12'!D6+'k13'!D6+'k14'!D6+'k15'!D6+'k16'!D6+'k17'!D6+'k18'!D6+'k19'!D6+'k20'!D6+'k21'!D6+'k22'!D6+'k23'!D6+'k24'!D6+'k25'!D6</f>
        <v>0</v>
      </c>
      <c r="E6" s="5">
        <v>5.7</v>
      </c>
      <c r="F6" s="20">
        <f t="shared" ref="F6:F35" si="1">D6*E6</f>
        <v>0</v>
      </c>
      <c r="G6" s="2">
        <v>40</v>
      </c>
      <c r="H6" s="4" t="s">
        <v>155</v>
      </c>
      <c r="I6" s="2" t="s">
        <v>9</v>
      </c>
      <c r="J6" s="2">
        <f>'k1'!J6+'k2'!J6+'k3'!J6+'k4'!J6+'k5'!J6+'k6'!J6+'k7'!J6+'k8'!J6+'k9'!J6+'k10'!J6+'k11'!J6+'k12'!J6+'k13'!J6+'k14'!J6+'k15'!J6+'k16'!J6+'k17'!J6+'k18'!J6+'k19'!J6+'k20'!J6+'k21'!J6+'k22'!J6+'k23'!J6+'k24'!J6+'k25'!J6</f>
        <v>0</v>
      </c>
      <c r="K6" s="5">
        <v>8.5</v>
      </c>
      <c r="L6" s="5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>
        <f>'k1'!D7+'k2'!D7+'k3'!D7+'k4'!D7+'k5'!D7+'k6'!D7+'k7'!D7+'k8'!D7+'k9'!D7+'k10'!D7+'k11'!D7+'k12'!D7+'k13'!D7+'k14'!D7+'k15'!D7+'k16'!D7+'k17'!D7+'k18'!D7+'k19'!D7+'k20'!D7+'k21'!D7+'k22'!D7+'k23'!D7+'k24'!D7+'k25'!D7</f>
        <v>0</v>
      </c>
      <c r="E7" s="5">
        <v>6.3</v>
      </c>
      <c r="F7" s="20">
        <f t="shared" si="1"/>
        <v>0</v>
      </c>
      <c r="G7" s="2">
        <v>41</v>
      </c>
      <c r="H7" s="4" t="s">
        <v>157</v>
      </c>
      <c r="I7" s="2" t="s">
        <v>9</v>
      </c>
      <c r="J7" s="2">
        <f>'k1'!J7+'k2'!J7+'k3'!J7+'k4'!J7+'k5'!J7+'k6'!J7+'k7'!J7+'k8'!J7+'k9'!J7+'k10'!J7+'k11'!J7+'k12'!J7+'k13'!J7+'k14'!J7+'k15'!J7+'k16'!J7+'k17'!J7+'k18'!J7+'k19'!J7+'k20'!J7+'k21'!J7+'k22'!J7+'k23'!J7+'k24'!J7+'k25'!J7</f>
        <v>0</v>
      </c>
      <c r="K7" s="5">
        <v>8.5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>
        <f>'k1'!D8+'k2'!D8+'k3'!D8+'k4'!D8+'k5'!D8+'k6'!D8+'k7'!D8+'k8'!D8+'k9'!D8+'k10'!D8+'k11'!D8+'k12'!D8+'k13'!D8+'k14'!D8+'k15'!D8+'k16'!D8+'k17'!D8+'k18'!D8+'k19'!D8+'k20'!D8+'k21'!D8+'k22'!D8+'k23'!D8+'k24'!D8+'k25'!D8</f>
        <v>0</v>
      </c>
      <c r="E8" s="5">
        <v>9</v>
      </c>
      <c r="F8" s="20">
        <f t="shared" si="1"/>
        <v>0</v>
      </c>
      <c r="G8" s="2">
        <v>42</v>
      </c>
      <c r="H8" s="4" t="s">
        <v>158</v>
      </c>
      <c r="I8" s="2" t="s">
        <v>9</v>
      </c>
      <c r="J8" s="2">
        <f>'k1'!J8+'k2'!J8+'k3'!J8+'k4'!J8+'k5'!J8+'k6'!J8+'k7'!J8+'k8'!J8+'k9'!J8+'k10'!J8+'k11'!J8+'k12'!J8+'k13'!J8+'k14'!J8+'k15'!J8+'k16'!J8+'k17'!J8+'k18'!J8+'k19'!J8+'k20'!J8+'k21'!J8+'k22'!J8+'k23'!J8+'k24'!J8+'k25'!J8</f>
        <v>0</v>
      </c>
      <c r="K8" s="5">
        <v>3.3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>
        <f>'k1'!D9+'k2'!D9+'k3'!D9+'k4'!D9+'k5'!D9+'k6'!D9+'k7'!D9+'k8'!D9+'k9'!D9+'k10'!D9+'k11'!D9+'k12'!D9+'k13'!D9+'k14'!D9+'k15'!D9+'k16'!D9+'k17'!D9+'k18'!D9+'k19'!D9+'k20'!D9+'k21'!D9+'k22'!D9+'k23'!D9+'k24'!D9+'k25'!D9</f>
        <v>0</v>
      </c>
      <c r="E9" s="5">
        <v>5.8</v>
      </c>
      <c r="F9" s="20">
        <f t="shared" si="1"/>
        <v>0</v>
      </c>
      <c r="G9" s="2">
        <v>43</v>
      </c>
      <c r="H9" s="4" t="s">
        <v>159</v>
      </c>
      <c r="I9" s="2" t="s">
        <v>9</v>
      </c>
      <c r="J9" s="2">
        <f>'k1'!J9+'k2'!J9+'k3'!J9+'k4'!J9+'k5'!J9+'k6'!J9+'k7'!J9+'k8'!J9+'k9'!J9+'k10'!J9+'k11'!J9+'k12'!J9+'k13'!J9+'k14'!J9+'k15'!J9+'k16'!J9+'k17'!J9+'k18'!J9+'k19'!J9+'k20'!J9+'k21'!J9+'k22'!J9+'k23'!J9+'k24'!J9+'k25'!J9</f>
        <v>0</v>
      </c>
      <c r="K9" s="5">
        <v>3.8</v>
      </c>
      <c r="L9" s="5">
        <f t="shared" si="0"/>
        <v>0</v>
      </c>
    </row>
    <row r="10" spans="1:12" ht="13.15" customHeight="1">
      <c r="A10" s="2">
        <v>6</v>
      </c>
      <c r="B10" s="4" t="s">
        <v>160</v>
      </c>
      <c r="C10" s="2" t="s">
        <v>9</v>
      </c>
      <c r="D10" s="2">
        <f>'k1'!D10+'k2'!D10+'k3'!D10+'k4'!D10+'k5'!D10+'k6'!D10+'k7'!D10+'k8'!D10+'k9'!D10+'k10'!D10+'k11'!D10+'k12'!D10+'k13'!D10+'k14'!D10+'k15'!D10+'k16'!D10+'k17'!D10+'k18'!D10+'k19'!D10+'k20'!D10+'k21'!D10+'k22'!D10+'k23'!D10+'k24'!D10+'k25'!D10</f>
        <v>0</v>
      </c>
      <c r="E10" s="5">
        <v>7.4</v>
      </c>
      <c r="F10" s="20">
        <f t="shared" si="1"/>
        <v>0</v>
      </c>
      <c r="G10" s="2">
        <v>44</v>
      </c>
      <c r="H10" s="4" t="s">
        <v>13</v>
      </c>
      <c r="I10" s="2" t="s">
        <v>9</v>
      </c>
      <c r="J10" s="2">
        <f>'k1'!J10+'k2'!J10+'k3'!J10+'k4'!J10+'k5'!J10+'k6'!J10+'k7'!J10+'k8'!J10+'k9'!J10+'k10'!J10+'k11'!J10+'k12'!J10+'k13'!J10+'k14'!J10+'k15'!J10+'k16'!J10+'k17'!J10+'k18'!J10+'k19'!J10+'k20'!J10+'k21'!J10+'k22'!J10+'k23'!J10+'k24'!J10+'k25'!J10</f>
        <v>0</v>
      </c>
      <c r="K10" s="5">
        <v>3.3</v>
      </c>
      <c r="L10" s="5">
        <f t="shared" si="0"/>
        <v>0</v>
      </c>
    </row>
    <row r="11" spans="1:12" ht="13.15" customHeight="1">
      <c r="A11" s="2">
        <v>7</v>
      </c>
      <c r="B11" s="4" t="s">
        <v>78</v>
      </c>
      <c r="C11" s="2" t="s">
        <v>9</v>
      </c>
      <c r="D11" s="2">
        <f>'k1'!D11+'k2'!D11+'k3'!D11+'k4'!D11+'k5'!D11+'k6'!D11+'k7'!D11+'k8'!D11+'k9'!D11+'k10'!D11+'k11'!D11+'k12'!D11+'k13'!D11+'k14'!D11+'k15'!D11+'k16'!D11+'k17'!D11+'k18'!D11+'k19'!D11+'k20'!D11+'k21'!D11+'k22'!D11+'k23'!D11+'k24'!D11+'k25'!D11</f>
        <v>0</v>
      </c>
      <c r="E11" s="5">
        <v>8.1</v>
      </c>
      <c r="F11" s="20">
        <f t="shared" si="1"/>
        <v>0</v>
      </c>
      <c r="G11" s="2">
        <v>45</v>
      </c>
      <c r="H11" s="4" t="s">
        <v>17</v>
      </c>
      <c r="I11" s="2" t="s">
        <v>9</v>
      </c>
      <c r="J11" s="2">
        <f>'k1'!J11+'k2'!J11+'k3'!J11+'k4'!J11+'k5'!J11+'k6'!J11+'k7'!J11+'k8'!J11+'k9'!J11+'k10'!J11+'k11'!J11+'k12'!J11+'k13'!J11+'k14'!J11+'k15'!J11+'k16'!J11+'k17'!J11+'k18'!J11+'k19'!J11+'k20'!J11+'k21'!J11+'k22'!J11+'k23'!J11+'k24'!J11+'k25'!J11</f>
        <v>0</v>
      </c>
      <c r="K11" s="5">
        <v>2.6</v>
      </c>
      <c r="L11" s="5">
        <f t="shared" si="0"/>
        <v>0</v>
      </c>
    </row>
    <row r="12" spans="1:12" ht="13.15" customHeight="1">
      <c r="A12" s="2">
        <v>8</v>
      </c>
      <c r="B12" s="4" t="s">
        <v>80</v>
      </c>
      <c r="C12" s="2" t="s">
        <v>9</v>
      </c>
      <c r="D12" s="2">
        <f>'k1'!D12+'k2'!D12+'k3'!D12+'k4'!D12+'k5'!D12+'k6'!D12+'k7'!D12+'k8'!D12+'k9'!D12+'k10'!D12+'k11'!D12+'k12'!D12+'k13'!D12+'k14'!D12+'k15'!D12+'k16'!D12+'k17'!D12+'k18'!D12+'k19'!D12+'k20'!D12+'k21'!D12+'k22'!D12+'k23'!D12+'k24'!D12+'k25'!D12</f>
        <v>0</v>
      </c>
      <c r="E12" s="5">
        <v>5.4</v>
      </c>
      <c r="F12" s="20">
        <f t="shared" si="1"/>
        <v>0</v>
      </c>
      <c r="G12" s="2">
        <v>46</v>
      </c>
      <c r="H12" s="4" t="s">
        <v>161</v>
      </c>
      <c r="I12" s="2" t="s">
        <v>9</v>
      </c>
      <c r="J12" s="2">
        <f>'k1'!J12+'k2'!J12+'k3'!J12+'k4'!J12+'k5'!J12+'k6'!J12+'k7'!J12+'k8'!J12+'k9'!J12+'k10'!J12+'k11'!J12+'k12'!J12+'k13'!J12+'k14'!J12+'k15'!J12+'k16'!J12+'k17'!J12+'k18'!J12+'k19'!J12+'k20'!J12+'k21'!J12+'k22'!J12+'k23'!J12+'k24'!J12+'k25'!J12</f>
        <v>0</v>
      </c>
      <c r="K12" s="5">
        <v>2.6</v>
      </c>
      <c r="L12" s="5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>
        <f>'k1'!D13+'k2'!D13+'k3'!D13+'k4'!D13+'k5'!D13+'k6'!D13+'k7'!D13+'k8'!D13+'k9'!D13+'k10'!D13+'k11'!D13+'k12'!D13+'k13'!D13+'k14'!D13+'k15'!D13+'k16'!D13+'k17'!D13+'k18'!D13+'k19'!D13+'k20'!D13+'k21'!D13+'k22'!D13+'k23'!D13+'k24'!D13+'k25'!D13</f>
        <v>0</v>
      </c>
      <c r="E13" s="5">
        <v>6.3</v>
      </c>
      <c r="F13" s="20">
        <f t="shared" si="1"/>
        <v>0</v>
      </c>
      <c r="G13" s="2">
        <v>47</v>
      </c>
      <c r="H13" s="4" t="s">
        <v>163</v>
      </c>
      <c r="I13" s="2" t="s">
        <v>9</v>
      </c>
      <c r="J13" s="2">
        <f>'k1'!J13+'k2'!J13+'k3'!J13+'k4'!J13+'k5'!J13+'k6'!J13+'k7'!J13+'k8'!J13+'k9'!J13+'k10'!J13+'k11'!J13+'k12'!J13+'k13'!J13+'k14'!J13+'k15'!J13+'k16'!J13+'k17'!J13+'k18'!J13+'k19'!J13+'k20'!J13+'k21'!J13+'k22'!J13+'k23'!J13+'k24'!J13+'k25'!J13</f>
        <v>0</v>
      </c>
      <c r="K13" s="5">
        <v>4.2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>
        <f>'k1'!D14+'k2'!D14+'k3'!D14+'k4'!D14+'k5'!D14+'k6'!D14+'k7'!D14+'k8'!D14+'k9'!D14+'k10'!D14+'k11'!D14+'k12'!D14+'k13'!D14+'k14'!D14+'k15'!D14+'k16'!D14+'k17'!D14+'k18'!D14+'k19'!D14+'k20'!D14+'k21'!D14+'k22'!D14+'k23'!D14+'k24'!D14+'k25'!D14</f>
        <v>0</v>
      </c>
      <c r="E14" s="5">
        <v>6.9</v>
      </c>
      <c r="F14" s="20">
        <f t="shared" si="1"/>
        <v>0</v>
      </c>
      <c r="G14" s="2">
        <v>48</v>
      </c>
      <c r="H14" s="4" t="s">
        <v>164</v>
      </c>
      <c r="I14" s="2" t="s">
        <v>9</v>
      </c>
      <c r="J14" s="2">
        <f>'k1'!J14+'k2'!J14+'k3'!J14+'k4'!J14+'k5'!J14+'k6'!J14+'k7'!J14+'k8'!J14+'k9'!J14+'k10'!J14+'k11'!J14+'k12'!J14+'k13'!J14+'k14'!J14+'k15'!J14+'k16'!J14+'k17'!J14+'k18'!J14+'k19'!J14+'k20'!J14+'k21'!J14+'k22'!J14+'k23'!J14+'k24'!J14+'k25'!J14</f>
        <v>0</v>
      </c>
      <c r="K14" s="5">
        <v>4.2</v>
      </c>
      <c r="L14" s="5">
        <f t="shared" si="0"/>
        <v>0</v>
      </c>
    </row>
    <row r="15" spans="1:12" ht="13.15" customHeight="1">
      <c r="A15" s="2">
        <v>11</v>
      </c>
      <c r="B15" s="4" t="s">
        <v>165</v>
      </c>
      <c r="C15" s="2" t="s">
        <v>9</v>
      </c>
      <c r="D15" s="2">
        <f>'k1'!D15+'k2'!D15+'k3'!D15+'k4'!D15+'k5'!D15+'k6'!D15+'k7'!D15+'k8'!D15+'k9'!D15+'k10'!D15+'k11'!D15+'k12'!D15+'k13'!D15+'k14'!D15+'k15'!D15+'k16'!D15+'k17'!D15+'k18'!D15+'k19'!D15+'k20'!D15+'k21'!D15+'k22'!D15+'k23'!D15+'k24'!D15+'k25'!D15</f>
        <v>0</v>
      </c>
      <c r="E15" s="5">
        <v>5.2</v>
      </c>
      <c r="F15" s="20">
        <f t="shared" si="1"/>
        <v>0</v>
      </c>
      <c r="G15" s="2">
        <v>49</v>
      </c>
      <c r="H15" s="4" t="s">
        <v>166</v>
      </c>
      <c r="I15" s="2" t="s">
        <v>9</v>
      </c>
      <c r="J15" s="2">
        <f>'k1'!J15+'k2'!J15+'k3'!J15+'k4'!J15+'k5'!J15+'k6'!J15+'k7'!J15+'k8'!J15+'k9'!J15+'k10'!J15+'k11'!J15+'k12'!J15+'k13'!J15+'k14'!J15+'k15'!J15+'k16'!J15+'k17'!J15+'k18'!J15+'k19'!J15+'k20'!J15+'k21'!J15+'k22'!J15+'k23'!J15+'k24'!J15+'k25'!J15</f>
        <v>0</v>
      </c>
      <c r="K15" s="5">
        <v>4.2</v>
      </c>
      <c r="L15" s="5">
        <f t="shared" si="0"/>
        <v>0</v>
      </c>
    </row>
    <row r="16" spans="1:12" ht="13.15" customHeight="1">
      <c r="A16" s="2">
        <v>12</v>
      </c>
      <c r="B16" s="4" t="s">
        <v>167</v>
      </c>
      <c r="C16" s="2" t="s">
        <v>9</v>
      </c>
      <c r="D16" s="2">
        <f>'k1'!D16+'k2'!D16+'k3'!D16+'k4'!D16+'k5'!D16+'k6'!D16+'k7'!D16+'k8'!D16+'k9'!D16+'k10'!D16+'k11'!D16+'k12'!D16+'k13'!D16+'k14'!D16+'k15'!D16+'k16'!D16+'k17'!D16+'k18'!D16+'k19'!D16+'k20'!D16+'k21'!D16+'k22'!D16+'k23'!D16+'k24'!D16+'k25'!D16</f>
        <v>0</v>
      </c>
      <c r="E16" s="5">
        <v>7.2</v>
      </c>
      <c r="F16" s="20">
        <f>D16*E16</f>
        <v>0</v>
      </c>
      <c r="G16" s="2">
        <v>50</v>
      </c>
      <c r="H16" s="4" t="s">
        <v>168</v>
      </c>
      <c r="I16" s="2" t="s">
        <v>9</v>
      </c>
      <c r="J16" s="2">
        <f>'k1'!J16+'k2'!J16+'k3'!J16+'k4'!J16+'k5'!J16+'k6'!J16+'k7'!J16+'k8'!J16+'k9'!J16+'k10'!J16+'k11'!J16+'k12'!J16+'k13'!J16+'k14'!J16+'k15'!J16+'k16'!J16+'k17'!J16+'k18'!J16+'k19'!J16+'k20'!J16+'k21'!J16+'k22'!J16+'k23'!J16+'k24'!J16+'k25'!J16</f>
        <v>0</v>
      </c>
      <c r="K16" s="5">
        <v>0</v>
      </c>
      <c r="L16" s="5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>
        <f>'k1'!D17+'k2'!D17+'k3'!D17+'k4'!D17+'k5'!D17+'k6'!D17+'k7'!D17+'k8'!D17+'k9'!D17+'k10'!D17+'k11'!D17+'k12'!D17+'k13'!D17+'k14'!D17+'k15'!D17+'k16'!D17+'k17'!D17+'k18'!D17+'k19'!D17+'k20'!D17+'k21'!D17+'k22'!D17+'k23'!D17+'k24'!D17+'k25'!D17</f>
        <v>0</v>
      </c>
      <c r="E17" s="5">
        <v>7.8</v>
      </c>
      <c r="F17" s="20">
        <f t="shared" si="1"/>
        <v>0</v>
      </c>
      <c r="G17" s="2">
        <v>51</v>
      </c>
      <c r="H17" s="4" t="s">
        <v>169</v>
      </c>
      <c r="I17" s="2" t="s">
        <v>9</v>
      </c>
      <c r="J17" s="2">
        <f>'k1'!J17+'k2'!J17+'k3'!J17+'k4'!J17+'k5'!J17+'k6'!J17+'k7'!J17+'k8'!J17+'k9'!J17+'k10'!J17+'k11'!J17+'k12'!J17+'k13'!J17+'k14'!J17+'k15'!J17+'k16'!J17+'k17'!J17+'k18'!J17+'k19'!J17+'k20'!J17+'k21'!J17+'k22'!J17+'k23'!J17+'k24'!J17+'k25'!J17</f>
        <v>0</v>
      </c>
      <c r="K17" s="5">
        <v>4.2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>
        <f>'k1'!D18+'k2'!D18+'k3'!D18+'k4'!D18+'k5'!D18+'k6'!D18+'k7'!D18+'k8'!D18+'k9'!D18+'k10'!D18+'k11'!D18+'k12'!D18+'k13'!D18+'k14'!D18+'k15'!D18+'k16'!D18+'k17'!D18+'k18'!D18+'k19'!D18+'k20'!D18+'k21'!D18+'k22'!D18+'k23'!D18+'k24'!D18+'k25'!D18</f>
        <v>0</v>
      </c>
      <c r="E18" s="5">
        <v>5.4</v>
      </c>
      <c r="F18" s="20">
        <f t="shared" si="1"/>
        <v>0</v>
      </c>
      <c r="G18" s="2">
        <v>52</v>
      </c>
      <c r="H18" s="4" t="s">
        <v>170</v>
      </c>
      <c r="I18" s="2" t="s">
        <v>9</v>
      </c>
      <c r="J18" s="2">
        <f>'k1'!J18+'k2'!J18+'k3'!J18+'k4'!J18+'k5'!J18+'k6'!J18+'k7'!J18+'k8'!J18+'k9'!J18+'k10'!J18+'k11'!J18+'k12'!J18+'k13'!J18+'k14'!J18+'k15'!J18+'k16'!J18+'k17'!J18+'k18'!J18+'k19'!J18+'k20'!J18+'k21'!J18+'k22'!J18+'k23'!J18+'k24'!J18+'k25'!J18</f>
        <v>0</v>
      </c>
      <c r="K18" s="5">
        <v>3.8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>
        <f>'k1'!D19+'k2'!D19+'k3'!D19+'k4'!D19+'k5'!D19+'k6'!D19+'k7'!D19+'k8'!D19+'k9'!D19+'k10'!D19+'k11'!D19+'k12'!D19+'k13'!D19+'k14'!D19+'k15'!D19+'k16'!D19+'k17'!D19+'k18'!D19+'k19'!D19+'k20'!D19+'k21'!D19+'k22'!D19+'k23'!D19+'k24'!D19+'k25'!D19</f>
        <v>0</v>
      </c>
      <c r="E19" s="5">
        <v>6</v>
      </c>
      <c r="F19" s="20">
        <f t="shared" si="1"/>
        <v>0</v>
      </c>
      <c r="G19" s="2">
        <v>53</v>
      </c>
      <c r="H19" s="4" t="s">
        <v>171</v>
      </c>
      <c r="I19" s="2" t="s">
        <v>9</v>
      </c>
      <c r="J19" s="2">
        <f>'k1'!J19+'k2'!J19+'k3'!J19+'k4'!J19+'k5'!J19+'k6'!J19+'k7'!J19+'k8'!J19+'k9'!J19+'k10'!J19+'k11'!J19+'k12'!J19+'k13'!J19+'k14'!J19+'k15'!J19+'k16'!J19+'k17'!J19+'k18'!J19+'k19'!J19+'k20'!J19+'k21'!J19+'k22'!J19+'k23'!J19+'k24'!J19+'k25'!J19</f>
        <v>0</v>
      </c>
      <c r="K19" s="5">
        <v>3.8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>
        <f>'k1'!D20+'k2'!D20+'k3'!D20+'k4'!D20+'k5'!D20+'k6'!D20+'k7'!D20+'k8'!D20+'k9'!D20+'k10'!D20+'k11'!D20+'k12'!D20+'k13'!D20+'k14'!D20+'k15'!D20+'k16'!D20+'k17'!D20+'k18'!D20+'k19'!D20+'k20'!D20+'k21'!D20+'k22'!D20+'k23'!D20+'k24'!D20+'k25'!D20</f>
        <v>0</v>
      </c>
      <c r="E20" s="5">
        <v>3</v>
      </c>
      <c r="F20" s="20">
        <f t="shared" si="1"/>
        <v>0</v>
      </c>
      <c r="G20" s="2">
        <v>54</v>
      </c>
      <c r="H20" s="4" t="s">
        <v>172</v>
      </c>
      <c r="I20" s="2" t="s">
        <v>9</v>
      </c>
      <c r="J20" s="2">
        <f>'k1'!J20+'k2'!J20+'k3'!J20+'k4'!J20+'k5'!J20+'k6'!J20+'k7'!J20+'k8'!J20+'k9'!J20+'k10'!J20+'k11'!J20+'k12'!J20+'k13'!J20+'k14'!J20+'k15'!J20+'k16'!J20+'k17'!J20+'k18'!J20+'k19'!J20+'k20'!J20+'k21'!J20+'k22'!J20+'k23'!J20+'k24'!J20+'k25'!J20</f>
        <v>0</v>
      </c>
      <c r="K20" s="5">
        <v>3.8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>
        <f>'k1'!D21+'k2'!D21+'k3'!D21+'k4'!D21+'k5'!D21+'k6'!D21+'k7'!D21+'k8'!D21+'k9'!D21+'k10'!D21+'k11'!D21+'k12'!D21+'k13'!D21+'k14'!D21+'k15'!D21+'k16'!D21+'k17'!D21+'k18'!D21+'k19'!D21+'k20'!D21+'k21'!D21+'k22'!D21+'k23'!D21+'k24'!D21+'k25'!D21</f>
        <v>0</v>
      </c>
      <c r="E21" s="5">
        <v>1.7</v>
      </c>
      <c r="F21" s="20">
        <f t="shared" si="1"/>
        <v>0</v>
      </c>
      <c r="G21" s="2">
        <v>55</v>
      </c>
      <c r="H21" s="4" t="s">
        <v>173</v>
      </c>
      <c r="I21" s="2" t="s">
        <v>9</v>
      </c>
      <c r="J21" s="2">
        <f>'k1'!J21+'k2'!J21+'k3'!J21+'k4'!J21+'k5'!J21+'k6'!J21+'k7'!J21+'k8'!J21+'k9'!J21+'k10'!J21+'k11'!J21+'k12'!J21+'k13'!J21+'k14'!J21+'k15'!J21+'k16'!J21+'k17'!J21+'k18'!J21+'k19'!J21+'k20'!J21+'k21'!J21+'k22'!J21+'k23'!J21+'k24'!J21+'k25'!J21</f>
        <v>0</v>
      </c>
      <c r="K21" s="5">
        <v>3.8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>
        <f>'k1'!D22+'k2'!D22+'k3'!D22+'k4'!D22+'k5'!D22+'k6'!D22+'k7'!D22+'k8'!D22+'k9'!D22+'k10'!D22+'k11'!D22+'k12'!D22+'k13'!D22+'k14'!D22+'k15'!D22+'k16'!D22+'k17'!D22+'k18'!D22+'k19'!D22+'k20'!D22+'k21'!D22+'k22'!D22+'k23'!D22+'k24'!D22+'k25'!D22</f>
        <v>0</v>
      </c>
      <c r="E22" s="5">
        <v>7.5</v>
      </c>
      <c r="F22" s="20">
        <f t="shared" si="1"/>
        <v>0</v>
      </c>
      <c r="G22" s="2">
        <v>56</v>
      </c>
      <c r="H22" s="4" t="s">
        <v>174</v>
      </c>
      <c r="I22" s="2" t="s">
        <v>9</v>
      </c>
      <c r="J22" s="2">
        <f>'k1'!J22+'k2'!J22+'k3'!J22+'k4'!J22+'k5'!J22+'k6'!J22+'k7'!J22+'k8'!J22+'k9'!J22+'k10'!J22+'k11'!J22+'k12'!J22+'k13'!J22+'k14'!J22+'k15'!J22+'k16'!J22+'k17'!J22+'k18'!J22+'k19'!J22+'k20'!J22+'k21'!J22+'k22'!J22+'k23'!J22+'k24'!J22+'k25'!J22</f>
        <v>0</v>
      </c>
      <c r="K22" s="5">
        <v>10</v>
      </c>
      <c r="L22" s="5">
        <f t="shared" si="0"/>
        <v>0</v>
      </c>
    </row>
    <row r="23" spans="1:12" ht="13.15" customHeight="1">
      <c r="A23" s="2">
        <v>19</v>
      </c>
      <c r="B23" s="4" t="s">
        <v>175</v>
      </c>
      <c r="C23" s="2" t="s">
        <v>9</v>
      </c>
      <c r="D23" s="2">
        <f>'k1'!D23+'k2'!D23+'k3'!D23+'k4'!D23+'k5'!D23+'k6'!D23+'k7'!D23+'k8'!D23+'k9'!D23+'k10'!D23+'k11'!D23+'k12'!D23+'k13'!D23+'k14'!D23+'k15'!D23+'k16'!D23+'k17'!D23+'k18'!D23+'k19'!D23+'k20'!D23+'k21'!D23+'k22'!D23+'k23'!D23+'k24'!D23+'k25'!D23</f>
        <v>0</v>
      </c>
      <c r="E23" s="5">
        <v>8</v>
      </c>
      <c r="F23" s="20">
        <f t="shared" si="1"/>
        <v>0</v>
      </c>
      <c r="G23" s="2">
        <v>57</v>
      </c>
      <c r="H23" s="4" t="s">
        <v>176</v>
      </c>
      <c r="I23" s="2" t="s">
        <v>9</v>
      </c>
      <c r="J23" s="2">
        <f>'k1'!J23+'k2'!J23+'k3'!J23+'k4'!J23+'k5'!J23+'k6'!J23+'k7'!J23+'k8'!J23+'k9'!J23+'k10'!J23+'k11'!J23+'k12'!J23+'k13'!J23+'k14'!J23+'k15'!J23+'k16'!J23+'k17'!J23+'k18'!J23+'k19'!J23+'k20'!J23+'k21'!J23+'k22'!J23+'k23'!J23+'k24'!J23+'k25'!J23</f>
        <v>0</v>
      </c>
      <c r="K23" s="2">
        <v>8.8000000000000007</v>
      </c>
      <c r="L23" s="5">
        <f t="shared" si="0"/>
        <v>0</v>
      </c>
    </row>
    <row r="24" spans="1:12" ht="13.15" customHeight="1">
      <c r="A24" s="2">
        <v>20</v>
      </c>
      <c r="B24" s="4" t="s">
        <v>177</v>
      </c>
      <c r="C24" s="2" t="s">
        <v>9</v>
      </c>
      <c r="D24" s="2">
        <f>'k1'!D24+'k2'!D24+'k3'!D24+'k4'!D24+'k5'!D24+'k6'!D24+'k7'!D24+'k8'!D24+'k9'!D24+'k10'!D24+'k11'!D24+'k12'!D24+'k13'!D24+'k14'!D24+'k15'!D24+'k16'!D24+'k17'!D24+'k18'!D24+'k19'!D24+'k20'!D24+'k21'!D24+'k22'!D24+'k23'!D24+'k24'!D24+'k25'!D24</f>
        <v>0</v>
      </c>
      <c r="E24" s="5">
        <v>8.4</v>
      </c>
      <c r="F24" s="20">
        <f t="shared" si="1"/>
        <v>0</v>
      </c>
      <c r="G24" s="2">
        <v>58</v>
      </c>
      <c r="H24" s="4" t="s">
        <v>178</v>
      </c>
      <c r="I24" s="2" t="s">
        <v>9</v>
      </c>
      <c r="J24" s="2">
        <f>'k1'!J24+'k2'!J24+'k3'!J24+'k4'!J24+'k5'!J24+'k6'!J24+'k7'!J24+'k8'!J24+'k9'!J24+'k10'!J24+'k11'!J24+'k12'!J24+'k13'!J24+'k14'!J24+'k15'!J24+'k16'!J24+'k17'!J24+'k18'!J24+'k19'!J24+'k20'!J24+'k21'!J24+'k22'!J24+'k23'!J24+'k24'!J24+'k25'!J24</f>
        <v>0</v>
      </c>
      <c r="K24" s="2">
        <v>7.2</v>
      </c>
      <c r="L24" s="5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>
        <f>'k1'!D25+'k2'!D25+'k3'!D25+'k4'!D25+'k5'!D25+'k6'!D25+'k7'!D25+'k8'!D25+'k9'!D25+'k10'!D25+'k11'!D25+'k12'!D25+'k13'!D25+'k14'!D25+'k15'!D25+'k16'!D25+'k17'!D25+'k18'!D25+'k19'!D25+'k20'!D25+'k21'!D25+'k22'!D25+'k23'!D25+'k24'!D25+'k25'!D25</f>
        <v>0</v>
      </c>
      <c r="E25" s="5">
        <v>8.8000000000000007</v>
      </c>
      <c r="F25" s="20">
        <f t="shared" si="1"/>
        <v>0</v>
      </c>
      <c r="G25" s="2">
        <v>59</v>
      </c>
      <c r="H25" s="4" t="s">
        <v>179</v>
      </c>
      <c r="I25" s="2" t="s">
        <v>9</v>
      </c>
      <c r="J25" s="2">
        <f>'k1'!J25+'k2'!J25+'k3'!J25+'k4'!J25+'k5'!J25+'k6'!J25+'k7'!J25+'k8'!J25+'k9'!J25+'k10'!J25+'k11'!J25+'k12'!J25+'k13'!J25+'k14'!J25+'k15'!J25+'k16'!J25+'k17'!J25+'k18'!J25+'k19'!J25+'k20'!J25+'k21'!J25+'k22'!J25+'k23'!J25+'k24'!J25+'k25'!J25</f>
        <v>0</v>
      </c>
      <c r="K25" s="2">
        <v>8.5</v>
      </c>
      <c r="L25" s="5">
        <f t="shared" si="0"/>
        <v>0</v>
      </c>
    </row>
    <row r="26" spans="1:12" ht="13.15" customHeight="1">
      <c r="A26" s="2">
        <v>22</v>
      </c>
      <c r="B26" s="4" t="s">
        <v>180</v>
      </c>
      <c r="C26" s="2" t="s">
        <v>9</v>
      </c>
      <c r="D26" s="2">
        <f>'k1'!D26+'k2'!D26+'k3'!D26+'k4'!D26+'k5'!D26+'k6'!D26+'k7'!D26+'k8'!D26+'k9'!D26+'k10'!D26+'k11'!D26+'k12'!D26+'k13'!D26+'k14'!D26+'k15'!D26+'k16'!D26+'k17'!D26+'k18'!D26+'k19'!D26+'k20'!D26+'k21'!D26+'k22'!D26+'k23'!D26+'k24'!D26+'k25'!D26</f>
        <v>0</v>
      </c>
      <c r="E26" s="5">
        <v>6</v>
      </c>
      <c r="F26" s="20">
        <f t="shared" si="1"/>
        <v>0</v>
      </c>
      <c r="G26" s="2">
        <v>60</v>
      </c>
      <c r="H26" s="4" t="s">
        <v>131</v>
      </c>
      <c r="I26" s="2" t="s">
        <v>9</v>
      </c>
      <c r="J26" s="2">
        <f>'k1'!J26+'k2'!J26+'k3'!J26+'k4'!J26+'k5'!J26+'k6'!J26+'k7'!J26+'k8'!J26+'k9'!J26+'k10'!J26+'k11'!J26+'k12'!J26+'k13'!J26+'k14'!J26+'k15'!J26+'k16'!J26+'k17'!J26+'k18'!J26+'k19'!J26+'k20'!J26+'k21'!J26+'k22'!J26+'k23'!J26+'k24'!J26+'k25'!J26</f>
        <v>0</v>
      </c>
      <c r="K26" s="2">
        <v>4.2</v>
      </c>
      <c r="L26" s="5">
        <f t="shared" si="0"/>
        <v>0</v>
      </c>
    </row>
    <row r="27" spans="1:12" ht="13.15" customHeight="1">
      <c r="A27" s="2">
        <v>23</v>
      </c>
      <c r="B27" s="4" t="s">
        <v>181</v>
      </c>
      <c r="C27" s="2" t="s">
        <v>9</v>
      </c>
      <c r="D27" s="2">
        <f>'k1'!D27+'k2'!D27+'k3'!D27+'k4'!D27+'k5'!D27+'k6'!D27+'k7'!D27+'k8'!D27+'k9'!D27+'k10'!D27+'k11'!D27+'k12'!D27+'k13'!D27+'k14'!D27+'k15'!D27+'k16'!D27+'k17'!D27+'k18'!D27+'k19'!D27+'k20'!D27+'k21'!D27+'k22'!D27+'k23'!D27+'k24'!D27+'k25'!D27</f>
        <v>0</v>
      </c>
      <c r="E27" s="5">
        <v>3.8</v>
      </c>
      <c r="F27" s="20">
        <f t="shared" si="1"/>
        <v>0</v>
      </c>
      <c r="G27" s="2">
        <v>61</v>
      </c>
      <c r="H27" s="4" t="s">
        <v>182</v>
      </c>
      <c r="I27" s="2" t="s">
        <v>9</v>
      </c>
      <c r="J27" s="2">
        <f>'k1'!J27+'k2'!J27+'k3'!J27+'k4'!J27+'k5'!J27+'k6'!J27+'k7'!J27+'k8'!J27+'k9'!J27+'k10'!J27+'k11'!J27+'k12'!J27+'k13'!J27+'k14'!J27+'k15'!J27+'k16'!J27+'k17'!J27+'k18'!J27+'k19'!J27+'k20'!J27+'k21'!J27+'k22'!J27+'k23'!J27+'k24'!J27+'k25'!J27</f>
        <v>0</v>
      </c>
      <c r="K27" s="2">
        <v>13.5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>
        <f>'k1'!D28+'k2'!D28+'k3'!D28+'k4'!D28+'k5'!D28+'k6'!D28+'k7'!D28+'k8'!D28+'k9'!D28+'k10'!D28+'k11'!D28+'k12'!D28+'k13'!D28+'k14'!D28+'k15'!D28+'k16'!D28+'k17'!D28+'k18'!D28+'k19'!D28+'k20'!D28+'k21'!D28+'k22'!D28+'k23'!D28+'k24'!D28+'k25'!D28</f>
        <v>0</v>
      </c>
      <c r="E28" s="5">
        <v>6.3</v>
      </c>
      <c r="F28" s="20">
        <f t="shared" si="1"/>
        <v>0</v>
      </c>
      <c r="G28" s="2">
        <v>62</v>
      </c>
      <c r="H28" s="4" t="s">
        <v>183</v>
      </c>
      <c r="I28" s="2" t="s">
        <v>9</v>
      </c>
      <c r="J28" s="2">
        <f>'k1'!J28+'k2'!J28+'k3'!J28+'k4'!J28+'k5'!J28+'k6'!J28+'k7'!J28+'k8'!J28+'k9'!J28+'k10'!J28+'k11'!J28+'k12'!J28+'k13'!J28+'k14'!J28+'k15'!J28+'k16'!J28+'k17'!J28+'k18'!J28+'k19'!J28+'k20'!J28+'k21'!J28+'k22'!J28+'k23'!J28+'k24'!J28+'k25'!J28</f>
        <v>0</v>
      </c>
      <c r="K28" s="2">
        <v>12.8</v>
      </c>
      <c r="L28" s="5">
        <f t="shared" si="0"/>
        <v>0</v>
      </c>
    </row>
    <row r="29" spans="1:12" ht="13.15" customHeight="1">
      <c r="A29" s="2">
        <v>25</v>
      </c>
      <c r="B29" s="4" t="s">
        <v>184</v>
      </c>
      <c r="C29" s="2" t="s">
        <v>9</v>
      </c>
      <c r="D29" s="2">
        <f>'k1'!D29+'k2'!D29+'k3'!D29+'k4'!D29+'k5'!D29+'k6'!D29+'k7'!D29+'k8'!D29+'k9'!D29+'k10'!D29+'k11'!D29+'k12'!D29+'k13'!D29+'k14'!D29+'k15'!D29+'k16'!D29+'k17'!D29+'k18'!D29+'k19'!D29+'k20'!D29+'k21'!D29+'k22'!D29+'k23'!D29+'k24'!D29+'k25'!D29</f>
        <v>0</v>
      </c>
      <c r="E29" s="5">
        <v>7.7</v>
      </c>
      <c r="F29" s="20">
        <f t="shared" si="1"/>
        <v>0</v>
      </c>
      <c r="G29" s="2">
        <v>63</v>
      </c>
      <c r="H29" s="4" t="s">
        <v>185</v>
      </c>
      <c r="I29" s="2" t="s">
        <v>9</v>
      </c>
      <c r="J29" s="2">
        <f>'k1'!J29+'k2'!J29+'k3'!J29+'k4'!J29+'k5'!J29+'k6'!J29+'k7'!J29+'k8'!J29+'k9'!J29+'k10'!J29+'k11'!J29+'k12'!J29+'k13'!J29+'k14'!J29+'k15'!J29+'k16'!J29+'k17'!J29+'k18'!J29+'k19'!J29+'k20'!J29+'k21'!J29+'k22'!J29+'k23'!J29+'k24'!J29+'k25'!J29</f>
        <v>0</v>
      </c>
      <c r="K29" s="2">
        <v>8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>
        <f>'k1'!D30+'k2'!D30+'k3'!D30+'k4'!D30+'k5'!D30+'k6'!D30+'k7'!D30+'k8'!D30+'k9'!D30+'k10'!D30+'k11'!D30+'k12'!D30+'k13'!D30+'k14'!D30+'k15'!D30+'k16'!D30+'k17'!D30+'k18'!D30+'k19'!D30+'k20'!D30+'k21'!D30+'k22'!D30+'k23'!D30+'k24'!D30+'k25'!D30</f>
        <v>45</v>
      </c>
      <c r="E30" s="5">
        <v>6.2</v>
      </c>
      <c r="F30" s="5">
        <f t="shared" si="1"/>
        <v>279</v>
      </c>
      <c r="G30" s="2">
        <v>64</v>
      </c>
      <c r="H30" s="4" t="s">
        <v>186</v>
      </c>
      <c r="I30" s="2" t="s">
        <v>9</v>
      </c>
      <c r="J30" s="2">
        <f>'k1'!J30+'k2'!J30+'k3'!J30+'k4'!J30+'k5'!J30+'k6'!J30+'k7'!J30+'k8'!J30+'k9'!J30+'k10'!J30+'k11'!J30+'k12'!J30+'k13'!J30+'k14'!J30+'k15'!J30+'k16'!J30+'k17'!J30+'k18'!J30+'k19'!J30+'k20'!J30+'k21'!J30+'k22'!J30+'k23'!J30+'k24'!J30+'k25'!J30</f>
        <v>0</v>
      </c>
      <c r="K30" s="2">
        <v>7.25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>
        <f>'k1'!D31+'k2'!D31+'k3'!D31+'k4'!D31+'k5'!D31+'k6'!D31+'k7'!D31+'k8'!D31+'k9'!D31+'k10'!D31+'k11'!D31+'k12'!D31+'k13'!D31+'k14'!D31+'k15'!D31+'k16'!D31+'k17'!D31+'k18'!D31+'k19'!D31+'k20'!D31+'k21'!D31+'k22'!D31+'k23'!D31+'k24'!D31+'k25'!D31</f>
        <v>0</v>
      </c>
      <c r="E31" s="5">
        <v>7</v>
      </c>
      <c r="F31" s="5">
        <f t="shared" si="1"/>
        <v>0</v>
      </c>
      <c r="G31" s="2">
        <v>65</v>
      </c>
      <c r="H31" s="4" t="s">
        <v>187</v>
      </c>
      <c r="I31" s="2" t="s">
        <v>9</v>
      </c>
      <c r="J31" s="2">
        <f>'k1'!J31+'k2'!J31+'k3'!J31+'k4'!J31+'k5'!J31+'k6'!J31+'k7'!J31+'k8'!J31+'k9'!J31+'k10'!J31+'k11'!J31+'k12'!J31+'k13'!J31+'k14'!J31+'k15'!J31+'k16'!J31+'k17'!J31+'k18'!J31+'k19'!J31+'k20'!J31+'k21'!J31+'k22'!J31+'k23'!J31+'k24'!J31+'k25'!J31</f>
        <v>0</v>
      </c>
      <c r="K31" s="2">
        <v>10.8</v>
      </c>
      <c r="L31" s="5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>
        <f>'k1'!D32+'k2'!D32+'k3'!D32+'k4'!D32+'k5'!D32+'k6'!D32+'k7'!D32+'k8'!D32+'k9'!D32+'k10'!D32+'k11'!D32+'k12'!D32+'k13'!D32+'k14'!D32+'k15'!D32+'k16'!D32+'k17'!D32+'k18'!D32+'k19'!D32+'k20'!D32+'k21'!D32+'k22'!D32+'k23'!D32+'k24'!D32+'k25'!D32</f>
        <v>0</v>
      </c>
      <c r="E32" s="5">
        <v>10</v>
      </c>
      <c r="F32" s="20">
        <f t="shared" si="1"/>
        <v>0</v>
      </c>
      <c r="G32" s="2">
        <v>66</v>
      </c>
      <c r="H32" s="4" t="s">
        <v>188</v>
      </c>
      <c r="I32" s="2" t="s">
        <v>9</v>
      </c>
      <c r="J32" s="2">
        <f>'k1'!J32+'k2'!J32+'k3'!J32+'k4'!J32+'k5'!J32+'k6'!J32+'k7'!J32+'k8'!J32+'k9'!J32+'k10'!J32+'k11'!J32+'k12'!J32+'k13'!J32+'k14'!J32+'k15'!J32+'k16'!J32+'k17'!J32+'k18'!J32+'k19'!J32+'k20'!J32+'k21'!J32+'k22'!J32+'k23'!J32+'k24'!J32+'k25'!J32</f>
        <v>0</v>
      </c>
      <c r="K32" s="2">
        <v>3.8</v>
      </c>
      <c r="L32" s="5">
        <f t="shared" si="0"/>
        <v>0</v>
      </c>
    </row>
    <row r="33" spans="1:12" ht="13.15" customHeight="1">
      <c r="A33" s="2">
        <v>29</v>
      </c>
      <c r="B33" s="4" t="s">
        <v>189</v>
      </c>
      <c r="C33" s="2" t="s">
        <v>9</v>
      </c>
      <c r="D33" s="2">
        <f>'k1'!D33+'k2'!D33+'k3'!D33+'k4'!D33+'k5'!D33+'k6'!D33+'k7'!D33+'k8'!D33+'k9'!D33+'k10'!D33+'k11'!D33+'k12'!D33+'k13'!D33+'k14'!D33+'k15'!D33+'k16'!D33+'k17'!D33+'k18'!D33+'k19'!D33+'k20'!D33+'k21'!D33+'k22'!D33+'k23'!D33+'k24'!D33+'k25'!D33</f>
        <v>0</v>
      </c>
      <c r="E33" s="5">
        <v>1.5</v>
      </c>
      <c r="F33" s="5">
        <f t="shared" si="1"/>
        <v>0</v>
      </c>
      <c r="G33" s="2">
        <v>67</v>
      </c>
      <c r="H33" s="4" t="s">
        <v>190</v>
      </c>
      <c r="I33" s="2" t="s">
        <v>9</v>
      </c>
      <c r="J33" s="2">
        <f>'k1'!J33+'k2'!J33+'k3'!J33+'k4'!J33+'k5'!J33+'k6'!J33+'k7'!J33+'k8'!J33+'k9'!J33+'k10'!J33+'k11'!J33+'k12'!J33+'k13'!J33+'k14'!J33+'k15'!J33+'k16'!J33+'k17'!J33+'k18'!J33+'k19'!J33+'k20'!J33+'k21'!J33+'k22'!J33+'k23'!J33+'k24'!J33+'k25'!J33</f>
        <v>0</v>
      </c>
      <c r="K33" s="2">
        <v>6.7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>
        <f>'k1'!D34+'k2'!D34+'k3'!D34+'k4'!D34+'k5'!D34+'k6'!D34+'k7'!D34+'k8'!D34+'k9'!D34+'k10'!D34+'k11'!D34+'k12'!D34+'k13'!D34+'k14'!D34+'k15'!D34+'k16'!D34+'k17'!D34+'k18'!D34+'k19'!D34+'k20'!D34+'k21'!D34+'k22'!D34+'k23'!D34+'k24'!D34+'k25'!D34</f>
        <v>0</v>
      </c>
      <c r="E34" s="5">
        <v>7.9</v>
      </c>
      <c r="F34" s="5">
        <f t="shared" si="1"/>
        <v>0</v>
      </c>
      <c r="G34" s="2">
        <v>68</v>
      </c>
      <c r="H34" s="4" t="s">
        <v>191</v>
      </c>
      <c r="I34" s="2" t="s">
        <v>9</v>
      </c>
      <c r="J34" s="2">
        <f>'k1'!J34+'k2'!J34+'k3'!J34+'k4'!J34+'k5'!J34+'k6'!J34+'k7'!J34+'k8'!J34+'k9'!J34+'k10'!J34+'k11'!J34+'k12'!J34+'k13'!J34+'k14'!J34+'k15'!J34+'k16'!J34+'k17'!J34+'k18'!J34+'k19'!J34+'k20'!J34+'k21'!J34+'k22'!J34+'k23'!J34+'k24'!J34+'k25'!J34</f>
        <v>0</v>
      </c>
      <c r="K34" s="2">
        <v>6.7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>
        <f>'k1'!D35+'k2'!D35+'k3'!D35+'k4'!D35+'k5'!D35+'k6'!D35+'k7'!D35+'k8'!D35+'k9'!D35+'k10'!D35+'k11'!D35+'k12'!D35+'k13'!D35+'k14'!D35+'k15'!D35+'k16'!D35+'k17'!D35+'k18'!D35+'k19'!D35+'k20'!D35+'k21'!D35+'k22'!D35+'k23'!D35+'k24'!D35+'k25'!D35</f>
        <v>0</v>
      </c>
      <c r="E35" s="5">
        <v>7</v>
      </c>
      <c r="F35" s="20">
        <f t="shared" si="1"/>
        <v>0</v>
      </c>
      <c r="G35" s="2">
        <v>69</v>
      </c>
      <c r="H35" s="4" t="s">
        <v>192</v>
      </c>
      <c r="I35" s="2" t="s">
        <v>9</v>
      </c>
      <c r="J35" s="2">
        <f>'k1'!J35+'k2'!J35+'k3'!J35+'k4'!J35+'k5'!J35+'k6'!J35+'k7'!J35+'k8'!J35+'k9'!J35+'k10'!J35+'k11'!J35+'k12'!J35+'k13'!J35+'k14'!J35+'k15'!J35+'k16'!J35+'k17'!J35+'k18'!J35+'k19'!J35+'k20'!J35+'k21'!J35+'k22'!J35+'k23'!J35+'k24'!J35+'k25'!J35</f>
        <v>0</v>
      </c>
      <c r="K35" s="2">
        <v>4.8</v>
      </c>
      <c r="L35" s="5">
        <f>J35*K35</f>
        <v>0</v>
      </c>
    </row>
    <row r="36" spans="1:12" ht="13.15" customHeight="1">
      <c r="A36" s="2">
        <v>32</v>
      </c>
      <c r="B36" s="4" t="s">
        <v>193</v>
      </c>
      <c r="C36" s="2" t="s">
        <v>9</v>
      </c>
      <c r="D36" s="2">
        <f>'k1'!D36+'k2'!D36+'k3'!D36+'k4'!D36+'k5'!D36+'k6'!D36+'k7'!D36+'k8'!D36+'k9'!D36+'k10'!D36+'k11'!D36+'k12'!D36+'k13'!D36+'k14'!D36+'k15'!D36+'k16'!D36+'k17'!D36+'k18'!D36+'k19'!D36+'k20'!D36+'k21'!D36+'k22'!D36+'k23'!D36+'k24'!D36+'k25'!D36</f>
        <v>0</v>
      </c>
      <c r="E36" s="5">
        <v>10.25</v>
      </c>
      <c r="F36" s="20">
        <f>D36*E36</f>
        <v>0</v>
      </c>
      <c r="G36" s="2">
        <v>70</v>
      </c>
      <c r="H36" s="4" t="s">
        <v>194</v>
      </c>
      <c r="I36" s="2" t="s">
        <v>9</v>
      </c>
      <c r="J36" s="2">
        <f>'k1'!J36+'k2'!J36+'k3'!J36+'k4'!J36+'k5'!J36+'k6'!J36+'k7'!J36+'k8'!J36+'k9'!J36+'k10'!J36+'k11'!J36+'k12'!J36+'k13'!J36+'k14'!J36+'k15'!J36+'k16'!J36+'k17'!J36+'k18'!J36+'k19'!J36+'k20'!J36+'k21'!J36+'k22'!J36+'k23'!J36+'k24'!J36+'k25'!J36</f>
        <v>0</v>
      </c>
      <c r="K36" s="2">
        <v>7.25</v>
      </c>
      <c r="L36" s="5">
        <f>J36*K36</f>
        <v>0</v>
      </c>
    </row>
    <row r="37" spans="1:12" ht="13.15" customHeight="1">
      <c r="A37" s="2">
        <v>33</v>
      </c>
      <c r="B37" s="4" t="s">
        <v>195</v>
      </c>
      <c r="C37" s="2" t="s">
        <v>9</v>
      </c>
      <c r="D37" s="2">
        <f>'k1'!D37+'k2'!D37+'k3'!D37+'k4'!D37+'k5'!D37+'k6'!D37+'k7'!D37+'k8'!D37+'k9'!D37+'k10'!D37+'k11'!D37+'k12'!D37+'k13'!D37+'k14'!D37+'k15'!D37+'k16'!D37+'k17'!D37+'k18'!D37+'k19'!D37+'k20'!D37+'k21'!D37+'k22'!D37+'k23'!D37+'k24'!D37+'k25'!D37</f>
        <v>0</v>
      </c>
      <c r="E37" s="5">
        <v>6</v>
      </c>
      <c r="F37" s="20">
        <f>D37*E37</f>
        <v>0</v>
      </c>
      <c r="G37" s="2">
        <v>71</v>
      </c>
      <c r="H37" s="4" t="s">
        <v>196</v>
      </c>
      <c r="I37" s="2" t="s">
        <v>9</v>
      </c>
      <c r="J37" s="2">
        <f>'k1'!J37+'k2'!J37+'k3'!J37+'k4'!J37+'k5'!J37+'k6'!J37+'k7'!J37+'k8'!J37+'k9'!J37+'k10'!J37+'k11'!J37+'k12'!J37+'k13'!J37+'k14'!J37+'k15'!J37+'k16'!J37+'k17'!J37+'k18'!J37+'k19'!J37+'k20'!J37+'k21'!J37+'k22'!J37+'k23'!J37+'k24'!J37+'k25'!J37</f>
        <v>0</v>
      </c>
      <c r="K37" s="2">
        <v>5.4</v>
      </c>
      <c r="L37" s="5">
        <f>J37*K37</f>
        <v>0</v>
      </c>
    </row>
    <row r="38" spans="1:12" ht="13.15" customHeight="1">
      <c r="A38" s="2">
        <v>34</v>
      </c>
      <c r="B38" s="4"/>
      <c r="C38" s="2" t="s">
        <v>9</v>
      </c>
      <c r="D38" s="2">
        <f>'k1'!D38+'k2'!D38+'k3'!D38+'k4'!D38+'k5'!D38+'k6'!D38+'k7'!D38+'k8'!D38+'k9'!D38+'k10'!D38+'k11'!D38+'k12'!D38+'k13'!D38+'k14'!D38+'k15'!D38+'k16'!D38+'k17'!D38+'k18'!D38+'k19'!D38+'k20'!D38+'k21'!D38+'k22'!D38+'k23'!D38+'k24'!D38+'k25'!D38</f>
        <v>0</v>
      </c>
      <c r="E38" s="5">
        <v>0</v>
      </c>
      <c r="F38" s="20">
        <f>D38*E38</f>
        <v>0</v>
      </c>
      <c r="G38" s="2">
        <v>72</v>
      </c>
      <c r="H38" s="4" t="s">
        <v>197</v>
      </c>
      <c r="I38" s="2" t="s">
        <v>9</v>
      </c>
      <c r="J38" s="2">
        <f>'k1'!J38+'k2'!J38+'k3'!J38+'k4'!J38+'k5'!J38+'k6'!J38+'k7'!J38+'k8'!J38+'k9'!J38+'k10'!J38+'k11'!J38+'k12'!J38+'k13'!J38+'k14'!J38+'k15'!J38+'k16'!J38+'k17'!J38+'k18'!J38+'k19'!J38+'k20'!J38+'k21'!J38+'k22'!J38+'k23'!J38+'k24'!J38+'k25'!J38</f>
        <v>95</v>
      </c>
      <c r="K38" s="2">
        <v>8.5</v>
      </c>
      <c r="L38" s="5">
        <f>J38*K38</f>
        <v>807.5</v>
      </c>
    </row>
    <row r="39" spans="1:12" ht="13.15" customHeight="1">
      <c r="A39" s="2">
        <v>35</v>
      </c>
      <c r="B39" s="4" t="s">
        <v>198</v>
      </c>
      <c r="C39" s="2" t="s">
        <v>9</v>
      </c>
      <c r="D39" s="2">
        <f>'k1'!D39+'k2'!D39+'k3'!D39+'k4'!D39+'k5'!D39+'k6'!D39+'k7'!D39+'k8'!D39+'k9'!D39+'k10'!D39+'k11'!D39+'k12'!D39+'k13'!D39+'k14'!D39+'k15'!D39+'k16'!D39+'k17'!D39+'k18'!D39+'k19'!D39+'k20'!D39+'k21'!D39+'k22'!D39+'k23'!D39+'k24'!D39+'k25'!D39</f>
        <v>0</v>
      </c>
      <c r="E39" s="5">
        <v>8.5</v>
      </c>
      <c r="F39" s="20">
        <f>D39*E39</f>
        <v>0</v>
      </c>
      <c r="G39" s="2">
        <v>73</v>
      </c>
      <c r="H39" s="4" t="s">
        <v>199</v>
      </c>
      <c r="I39" s="2" t="s">
        <v>9</v>
      </c>
      <c r="J39" s="2">
        <f>'k1'!J39+'k2'!J39+'k3'!J39+'k4'!J39+'k5'!J39+'k6'!J39+'k7'!J39+'k8'!J39+'k9'!J39+'k10'!J39+'k11'!J39+'k12'!J39+'k13'!J39+'k14'!J39+'k15'!J39+'k16'!J39+'k17'!J39+'k18'!J39+'k19'!J39+'k20'!J39+'k21'!J39+'k22'!J39+'k23'!J39+'k24'!J39+'k25'!J39</f>
        <v>0</v>
      </c>
      <c r="K39" s="2">
        <v>6.7</v>
      </c>
      <c r="L39" s="5">
        <f>J39*K39</f>
        <v>0</v>
      </c>
    </row>
    <row r="40" spans="1:12" ht="13.15" customHeight="1">
      <c r="K40" t="s">
        <v>200</v>
      </c>
      <c r="L40" s="25">
        <f>F5+F6+F7+F8+F9+F10+F11+F12+F13+F14+F15+F16+F17+F18+F19+F20+F21+F22+F23+F24+F25+F26+F27+F28+F29+F30+F31+F32+F33+F34+F35+F36+F37+F38+F39+L2+L3+L4+L5+L6+L7+L8+L9+L10+L11+L12+L13+L14+L15+L16+L17+L18+L19+L20+L21+L22+L23+L24+L25+L26+L27+L28+L29+L30+L31+L32+L33+L34+L35+L36+L37+L38+L39</f>
        <v>1086.5</v>
      </c>
    </row>
    <row r="42" spans="1:12" ht="13.15" customHeight="1">
      <c r="H42" t="s">
        <v>201</v>
      </c>
      <c r="J42" s="17" t="s">
        <v>202</v>
      </c>
    </row>
  </sheetData>
  <mergeCells count="4">
    <mergeCell ref="A1:C1"/>
    <mergeCell ref="D1:F1"/>
    <mergeCell ref="A2:F2"/>
    <mergeCell ref="A3:F3"/>
  </mergeCells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>
  <dimension ref="A1:L42"/>
  <sheetViews>
    <sheetView workbookViewId="0">
      <selection activeCell="D5" sqref="D5"/>
    </sheetView>
  </sheetViews>
  <sheetFormatPr defaultRowHeight="13.15" customHeight="1"/>
  <cols>
    <col min="1" max="1" width="4.7109375" style="17" customWidth="1"/>
    <col min="2" max="2" width="28.28515625" customWidth="1"/>
    <col min="3" max="3" width="6" customWidth="1"/>
    <col min="4" max="4" width="7.5703125" customWidth="1"/>
    <col min="5" max="5" width="8.140625" customWidth="1"/>
    <col min="6" max="6" width="8.42578125" customWidth="1"/>
    <col min="7" max="7" width="4.7109375" style="17" customWidth="1"/>
    <col min="8" max="8" width="23.5703125" customWidth="1"/>
    <col min="9" max="9" width="6.5703125" customWidth="1"/>
    <col min="10" max="10" width="7.28515625" customWidth="1"/>
    <col min="11" max="11" width="8.28515625" customWidth="1"/>
    <col min="12" max="12" width="8.5703125" customWidth="1"/>
  </cols>
  <sheetData>
    <row r="1" spans="1:12" ht="13.15" customHeight="1">
      <c r="A1" s="30" t="s">
        <v>203</v>
      </c>
      <c r="B1" s="30"/>
      <c r="C1" s="30"/>
      <c r="D1" s="30" t="s">
        <v>204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5" t="s">
        <v>205</v>
      </c>
      <c r="B2" s="35"/>
      <c r="C2" s="35"/>
      <c r="D2" s="35"/>
      <c r="E2" s="35"/>
      <c r="F2" s="35"/>
      <c r="G2" s="2">
        <v>36</v>
      </c>
      <c r="H2" s="4" t="s">
        <v>8</v>
      </c>
      <c r="I2" s="2" t="s">
        <v>9</v>
      </c>
      <c r="J2" s="2"/>
      <c r="K2" s="5">
        <v>1.5</v>
      </c>
      <c r="L2" s="6">
        <f t="shared" ref="L2:L37" si="0">J2*K2</f>
        <v>0</v>
      </c>
    </row>
    <row r="3" spans="1:12" ht="13.15" customHeight="1">
      <c r="A3" s="32" t="s">
        <v>206</v>
      </c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2.5</v>
      </c>
      <c r="L3" s="6">
        <f t="shared" si="0"/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2.75</v>
      </c>
      <c r="L4" s="6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>
        <v>1</v>
      </c>
      <c r="E5" s="5">
        <v>7</v>
      </c>
      <c r="F5" s="7">
        <f t="shared" ref="F5:F39" si="1">D5*E5</f>
        <v>7</v>
      </c>
      <c r="G5" s="2">
        <v>39</v>
      </c>
      <c r="H5" s="4" t="s">
        <v>13</v>
      </c>
      <c r="I5" s="2" t="s">
        <v>9</v>
      </c>
      <c r="J5" s="2"/>
      <c r="K5" s="5">
        <v>2.5</v>
      </c>
      <c r="L5" s="6">
        <f t="shared" si="0"/>
        <v>0</v>
      </c>
    </row>
    <row r="6" spans="1:12" ht="13.15" customHeight="1">
      <c r="A6" s="2">
        <v>2</v>
      </c>
      <c r="B6" s="4" t="s">
        <v>207</v>
      </c>
      <c r="C6" s="2" t="s">
        <v>9</v>
      </c>
      <c r="D6" s="2"/>
      <c r="E6" s="5">
        <v>5.25</v>
      </c>
      <c r="F6" s="7">
        <f t="shared" si="1"/>
        <v>0</v>
      </c>
      <c r="G6" s="2">
        <v>40</v>
      </c>
      <c r="H6" s="4" t="s">
        <v>15</v>
      </c>
      <c r="I6" s="2" t="s">
        <v>9</v>
      </c>
      <c r="J6" s="2"/>
      <c r="K6" s="5">
        <v>8.25</v>
      </c>
      <c r="L6" s="6">
        <f t="shared" si="0"/>
        <v>0</v>
      </c>
    </row>
    <row r="7" spans="1:12" ht="13.15" customHeight="1">
      <c r="A7" s="2">
        <v>3</v>
      </c>
      <c r="B7" s="4" t="s">
        <v>208</v>
      </c>
      <c r="C7" s="2" t="s">
        <v>9</v>
      </c>
      <c r="D7" s="2"/>
      <c r="E7" s="5">
        <v>4</v>
      </c>
      <c r="F7" s="7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2.75</v>
      </c>
      <c r="L7" s="6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7.5</v>
      </c>
      <c r="F8" s="7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2.6</v>
      </c>
      <c r="L8" s="6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5.5</v>
      </c>
      <c r="F9" s="7">
        <f t="shared" si="1"/>
        <v>0</v>
      </c>
      <c r="G9" s="2">
        <v>43</v>
      </c>
      <c r="H9" s="4" t="s">
        <v>209</v>
      </c>
      <c r="I9" s="2" t="s">
        <v>9</v>
      </c>
      <c r="J9" s="2"/>
      <c r="K9" s="5">
        <v>7</v>
      </c>
      <c r="L9" s="6">
        <f t="shared" si="0"/>
        <v>0</v>
      </c>
    </row>
    <row r="10" spans="1:12" ht="13.15" customHeight="1">
      <c r="A10" s="2">
        <v>6</v>
      </c>
      <c r="B10" s="4" t="s">
        <v>210</v>
      </c>
      <c r="C10" s="2" t="s">
        <v>9</v>
      </c>
      <c r="D10" s="2"/>
      <c r="E10" s="5">
        <v>5.75</v>
      </c>
      <c r="F10" s="7">
        <f t="shared" si="1"/>
        <v>0</v>
      </c>
      <c r="G10" s="2">
        <v>44</v>
      </c>
      <c r="H10" s="4" t="s">
        <v>211</v>
      </c>
      <c r="I10" s="2" t="s">
        <v>9</v>
      </c>
      <c r="J10" s="2"/>
      <c r="K10" s="5">
        <v>2.75</v>
      </c>
      <c r="L10" s="6">
        <f t="shared" si="0"/>
        <v>0</v>
      </c>
    </row>
    <row r="11" spans="1:12" ht="13.15" customHeight="1">
      <c r="A11" s="2">
        <v>7</v>
      </c>
      <c r="B11" s="4" t="s">
        <v>212</v>
      </c>
      <c r="C11" s="2" t="s">
        <v>9</v>
      </c>
      <c r="D11" s="2"/>
      <c r="E11" s="5">
        <v>6.3</v>
      </c>
      <c r="F11" s="7">
        <f t="shared" si="1"/>
        <v>0</v>
      </c>
      <c r="G11" s="2">
        <v>45</v>
      </c>
      <c r="H11" s="4" t="s">
        <v>213</v>
      </c>
      <c r="I11" s="2" t="s">
        <v>9</v>
      </c>
      <c r="J11" s="2"/>
      <c r="K11" s="5">
        <v>3</v>
      </c>
      <c r="L11" s="6">
        <f t="shared" si="0"/>
        <v>0</v>
      </c>
    </row>
    <row r="12" spans="1:12" ht="13.15" customHeight="1">
      <c r="A12" s="2">
        <v>8</v>
      </c>
      <c r="B12" s="4" t="s">
        <v>214</v>
      </c>
      <c r="C12" s="2" t="s">
        <v>9</v>
      </c>
      <c r="D12" s="2"/>
      <c r="E12" s="5">
        <v>4.2</v>
      </c>
      <c r="F12" s="7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2.5</v>
      </c>
      <c r="L12" s="6">
        <f t="shared" si="0"/>
        <v>0</v>
      </c>
    </row>
    <row r="13" spans="1:12" ht="13.15" customHeight="1">
      <c r="A13" s="2">
        <v>9</v>
      </c>
      <c r="B13" s="4" t="s">
        <v>215</v>
      </c>
      <c r="C13" s="2" t="s">
        <v>9</v>
      </c>
      <c r="D13" s="2"/>
      <c r="E13" s="5">
        <v>5.5</v>
      </c>
      <c r="F13" s="7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2.5</v>
      </c>
      <c r="L13" s="6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6.25</v>
      </c>
      <c r="F14" s="7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2.5</v>
      </c>
      <c r="L14" s="6">
        <f t="shared" si="0"/>
        <v>0</v>
      </c>
    </row>
    <row r="15" spans="1:12" ht="13.15" customHeight="1">
      <c r="A15" s="2">
        <v>11</v>
      </c>
      <c r="B15" s="4" t="s">
        <v>216</v>
      </c>
      <c r="C15" s="2" t="s">
        <v>9</v>
      </c>
      <c r="D15" s="2"/>
      <c r="E15" s="5">
        <v>4.5</v>
      </c>
      <c r="F15" s="7">
        <f t="shared" si="1"/>
        <v>0</v>
      </c>
      <c r="G15" s="2">
        <v>49</v>
      </c>
      <c r="H15" s="4" t="s">
        <v>129</v>
      </c>
      <c r="I15" s="2" t="s">
        <v>9</v>
      </c>
      <c r="J15" s="2"/>
      <c r="K15" s="5">
        <v>8.5</v>
      </c>
      <c r="L15" s="6">
        <f t="shared" si="0"/>
        <v>0</v>
      </c>
    </row>
    <row r="16" spans="1:12" ht="13.15" customHeight="1">
      <c r="A16" s="2">
        <v>12</v>
      </c>
      <c r="B16" s="4" t="s">
        <v>217</v>
      </c>
      <c r="C16" s="2" t="s">
        <v>9</v>
      </c>
      <c r="D16" s="2"/>
      <c r="E16" s="5">
        <v>6.5</v>
      </c>
      <c r="F16" s="7">
        <f t="shared" si="1"/>
        <v>0</v>
      </c>
      <c r="G16" s="2">
        <v>50</v>
      </c>
      <c r="H16" s="4" t="s">
        <v>92</v>
      </c>
      <c r="I16" s="2" t="s">
        <v>9</v>
      </c>
      <c r="J16" s="2"/>
      <c r="K16" s="5">
        <v>7</v>
      </c>
      <c r="L16" s="6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7</v>
      </c>
      <c r="F17" s="7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6.75</v>
      </c>
      <c r="L17" s="6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5.25</v>
      </c>
      <c r="F18" s="7">
        <f t="shared" si="1"/>
        <v>0</v>
      </c>
      <c r="G18" s="2">
        <v>52</v>
      </c>
      <c r="H18" s="4" t="s">
        <v>218</v>
      </c>
      <c r="I18" s="2" t="s">
        <v>9</v>
      </c>
      <c r="J18" s="2"/>
      <c r="K18" s="5">
        <v>13</v>
      </c>
      <c r="L18" s="6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5.75</v>
      </c>
      <c r="F19" s="7">
        <f t="shared" si="1"/>
        <v>0</v>
      </c>
      <c r="G19" s="2">
        <v>53</v>
      </c>
      <c r="H19" s="4" t="s">
        <v>219</v>
      </c>
      <c r="I19" s="2" t="s">
        <v>9</v>
      </c>
      <c r="J19" s="2"/>
      <c r="K19" s="5">
        <v>36</v>
      </c>
      <c r="L19" s="6"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2.5</v>
      </c>
      <c r="F20" s="7">
        <f t="shared" si="1"/>
        <v>0</v>
      </c>
      <c r="G20" s="2">
        <v>54</v>
      </c>
      <c r="H20" s="4" t="s">
        <v>220</v>
      </c>
      <c r="I20" s="2" t="s">
        <v>9</v>
      </c>
      <c r="J20" s="2"/>
      <c r="K20" s="5">
        <v>22.5</v>
      </c>
      <c r="L20" s="6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1.5</v>
      </c>
      <c r="F21" s="7">
        <f t="shared" si="1"/>
        <v>0</v>
      </c>
      <c r="G21" s="2">
        <v>55</v>
      </c>
      <c r="H21" s="4" t="s">
        <v>221</v>
      </c>
      <c r="I21" s="2" t="s">
        <v>9</v>
      </c>
      <c r="J21" s="2"/>
      <c r="K21" s="5">
        <v>11.5</v>
      </c>
      <c r="L21" s="6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6.25</v>
      </c>
      <c r="F22" s="7">
        <f t="shared" si="1"/>
        <v>0</v>
      </c>
      <c r="G22" s="2">
        <v>56</v>
      </c>
      <c r="H22" s="4" t="s">
        <v>222</v>
      </c>
      <c r="I22" s="2" t="s">
        <v>9</v>
      </c>
      <c r="J22" s="2"/>
      <c r="K22" s="5">
        <v>8.25</v>
      </c>
      <c r="L22" s="6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7</v>
      </c>
      <c r="F23" s="7">
        <f t="shared" si="1"/>
        <v>0</v>
      </c>
      <c r="G23" s="2">
        <v>57</v>
      </c>
      <c r="H23" s="4" t="s">
        <v>135</v>
      </c>
      <c r="I23" s="2" t="s">
        <v>9</v>
      </c>
      <c r="J23" s="4"/>
      <c r="K23" s="2">
        <v>8.25</v>
      </c>
      <c r="L23" s="6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6.5</v>
      </c>
      <c r="F24" s="7">
        <f t="shared" si="1"/>
        <v>0</v>
      </c>
      <c r="G24" s="2">
        <v>58</v>
      </c>
      <c r="H24" s="4" t="s">
        <v>223</v>
      </c>
      <c r="I24" s="2" t="s">
        <v>9</v>
      </c>
      <c r="J24" s="4"/>
      <c r="K24" s="2">
        <v>3</v>
      </c>
      <c r="L24" s="6">
        <f t="shared" si="0"/>
        <v>0</v>
      </c>
    </row>
    <row r="25" spans="1:12" ht="13.15" customHeight="1">
      <c r="A25" s="2">
        <v>21</v>
      </c>
      <c r="B25" s="4" t="s">
        <v>96</v>
      </c>
      <c r="C25" s="2" t="s">
        <v>9</v>
      </c>
      <c r="D25" s="2"/>
      <c r="E25" s="5">
        <v>7.25</v>
      </c>
      <c r="F25" s="7">
        <f t="shared" si="1"/>
        <v>0</v>
      </c>
      <c r="G25" s="2">
        <v>59</v>
      </c>
      <c r="H25" s="4" t="s">
        <v>134</v>
      </c>
      <c r="I25" s="2" t="s">
        <v>9</v>
      </c>
      <c r="J25" s="4"/>
      <c r="K25" s="2">
        <v>9.25</v>
      </c>
      <c r="L25" s="6">
        <f t="shared" si="0"/>
        <v>0</v>
      </c>
    </row>
    <row r="26" spans="1:12" ht="13.15" customHeight="1">
      <c r="A26" s="2">
        <v>22</v>
      </c>
      <c r="B26" s="4" t="s">
        <v>224</v>
      </c>
      <c r="C26" s="2" t="s">
        <v>9</v>
      </c>
      <c r="D26" s="2"/>
      <c r="E26" s="5">
        <v>5</v>
      </c>
      <c r="F26" s="7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6.25</v>
      </c>
      <c r="L26" s="6">
        <f t="shared" si="0"/>
        <v>0</v>
      </c>
    </row>
    <row r="27" spans="1:12" ht="13.15" customHeight="1">
      <c r="A27" s="2">
        <v>23</v>
      </c>
      <c r="B27" s="4" t="s">
        <v>225</v>
      </c>
      <c r="C27" s="2" t="s">
        <v>9</v>
      </c>
      <c r="D27" s="2"/>
      <c r="E27" s="5">
        <v>4</v>
      </c>
      <c r="F27" s="7">
        <f t="shared" si="1"/>
        <v>0</v>
      </c>
      <c r="G27" s="2">
        <v>61</v>
      </c>
      <c r="H27" s="4" t="s">
        <v>226</v>
      </c>
      <c r="I27" s="2" t="s">
        <v>9</v>
      </c>
      <c r="J27" s="4"/>
      <c r="K27" s="2">
        <v>4</v>
      </c>
      <c r="L27" s="6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5.5</v>
      </c>
      <c r="F28" s="7">
        <f t="shared" si="1"/>
        <v>0</v>
      </c>
      <c r="G28" s="2">
        <v>62</v>
      </c>
      <c r="H28" s="4" t="s">
        <v>103</v>
      </c>
      <c r="I28" s="2" t="s">
        <v>9</v>
      </c>
      <c r="J28" s="4"/>
      <c r="K28" s="2">
        <v>4</v>
      </c>
      <c r="L28" s="6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6.25</v>
      </c>
      <c r="F29" s="7">
        <f t="shared" si="1"/>
        <v>0</v>
      </c>
      <c r="G29" s="2">
        <v>63</v>
      </c>
      <c r="H29" s="4" t="s">
        <v>227</v>
      </c>
      <c r="I29" s="2" t="s">
        <v>9</v>
      </c>
      <c r="J29" s="4"/>
      <c r="K29" s="2">
        <v>4</v>
      </c>
      <c r="L29" s="6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5</v>
      </c>
      <c r="F30" s="6">
        <f t="shared" si="1"/>
        <v>0</v>
      </c>
      <c r="G30" s="2">
        <v>64</v>
      </c>
      <c r="H30" s="4" t="s">
        <v>228</v>
      </c>
      <c r="I30" s="2" t="s">
        <v>9</v>
      </c>
      <c r="J30" s="4"/>
      <c r="K30" s="2">
        <v>4</v>
      </c>
      <c r="L30" s="6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6.5</v>
      </c>
      <c r="F31" s="6">
        <f t="shared" si="1"/>
        <v>0</v>
      </c>
      <c r="G31" s="2">
        <v>65</v>
      </c>
      <c r="H31" s="4" t="s">
        <v>229</v>
      </c>
      <c r="I31" s="2" t="s">
        <v>9</v>
      </c>
      <c r="J31" s="4"/>
      <c r="K31" s="2">
        <v>4</v>
      </c>
      <c r="L31" s="6">
        <f t="shared" si="0"/>
        <v>0</v>
      </c>
    </row>
    <row r="32" spans="1:12" ht="13.15" customHeight="1">
      <c r="A32" s="2">
        <v>28</v>
      </c>
      <c r="B32" s="4" t="s">
        <v>104</v>
      </c>
      <c r="C32" s="2" t="s">
        <v>9</v>
      </c>
      <c r="D32" s="2"/>
      <c r="E32" s="5">
        <v>8.25</v>
      </c>
      <c r="F32" s="6">
        <f t="shared" si="1"/>
        <v>0</v>
      </c>
      <c r="G32" s="2">
        <v>66</v>
      </c>
      <c r="H32" s="4" t="s">
        <v>101</v>
      </c>
      <c r="I32" s="2" t="s">
        <v>9</v>
      </c>
      <c r="J32" s="4"/>
      <c r="K32" s="2">
        <v>6.25</v>
      </c>
      <c r="L32" s="6">
        <f t="shared" si="0"/>
        <v>0</v>
      </c>
    </row>
    <row r="33" spans="1:12" ht="13.15" customHeight="1">
      <c r="A33" s="2">
        <v>29</v>
      </c>
      <c r="B33" s="4" t="s">
        <v>68</v>
      </c>
      <c r="C33" s="2" t="s">
        <v>9</v>
      </c>
      <c r="D33" s="2"/>
      <c r="E33" s="5">
        <v>6</v>
      </c>
      <c r="F33" s="6">
        <f t="shared" si="1"/>
        <v>0</v>
      </c>
      <c r="G33" s="2">
        <v>67</v>
      </c>
      <c r="H33" s="4" t="s">
        <v>25</v>
      </c>
      <c r="I33" s="2" t="s">
        <v>9</v>
      </c>
      <c r="J33" s="4"/>
      <c r="K33" s="2">
        <v>4</v>
      </c>
      <c r="L33" s="6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6.4</v>
      </c>
      <c r="F34" s="6">
        <f t="shared" si="1"/>
        <v>0</v>
      </c>
      <c r="G34" s="2">
        <v>68</v>
      </c>
      <c r="H34" s="9" t="s">
        <v>141</v>
      </c>
      <c r="I34" s="2" t="s">
        <v>9</v>
      </c>
      <c r="J34" s="4"/>
      <c r="K34" s="8">
        <v>9</v>
      </c>
      <c r="L34" s="6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6</v>
      </c>
      <c r="F35" s="7">
        <f t="shared" si="1"/>
        <v>0</v>
      </c>
      <c r="G35" s="2">
        <v>69</v>
      </c>
      <c r="H35" s="9" t="s">
        <v>230</v>
      </c>
      <c r="I35" s="2" t="s">
        <v>9</v>
      </c>
      <c r="J35" s="4"/>
      <c r="K35" s="8">
        <v>6.5</v>
      </c>
      <c r="L35" s="6">
        <f t="shared" si="0"/>
        <v>0</v>
      </c>
    </row>
    <row r="36" spans="1:12" ht="13.15" customHeight="1">
      <c r="A36" s="2">
        <v>32</v>
      </c>
      <c r="B36" s="4" t="s">
        <v>74</v>
      </c>
      <c r="C36" s="2" t="s">
        <v>9</v>
      </c>
      <c r="D36" s="2"/>
      <c r="E36" s="2">
        <v>2.5</v>
      </c>
      <c r="F36" s="7">
        <f t="shared" si="1"/>
        <v>0</v>
      </c>
      <c r="G36" s="2">
        <v>70</v>
      </c>
      <c r="H36" s="9" t="s">
        <v>231</v>
      </c>
      <c r="I36" s="2" t="s">
        <v>9</v>
      </c>
      <c r="J36" s="4"/>
      <c r="K36" s="8">
        <v>4.4000000000000004</v>
      </c>
      <c r="L36" s="6">
        <f>J36*K36</f>
        <v>0</v>
      </c>
    </row>
    <row r="37" spans="1:12" ht="13.15" customHeight="1">
      <c r="A37" s="2">
        <v>33</v>
      </c>
      <c r="B37" s="4" t="s">
        <v>232</v>
      </c>
      <c r="C37" s="2" t="s">
        <v>9</v>
      </c>
      <c r="D37" s="2"/>
      <c r="E37" s="5">
        <v>8.25</v>
      </c>
      <c r="F37" s="7">
        <f t="shared" si="1"/>
        <v>0</v>
      </c>
      <c r="G37" s="2">
        <v>71</v>
      </c>
      <c r="H37" s="9" t="s">
        <v>233</v>
      </c>
      <c r="I37" s="2" t="s">
        <v>9</v>
      </c>
      <c r="J37" s="4"/>
      <c r="K37" s="8">
        <v>8.25</v>
      </c>
      <c r="L37" s="6">
        <f t="shared" si="0"/>
        <v>0</v>
      </c>
    </row>
    <row r="38" spans="1:12" ht="13.15" customHeight="1">
      <c r="A38" s="2">
        <v>34</v>
      </c>
      <c r="B38" s="4" t="s">
        <v>78</v>
      </c>
      <c r="C38" s="2" t="s">
        <v>9</v>
      </c>
      <c r="D38" s="2"/>
      <c r="E38" s="2">
        <v>7</v>
      </c>
      <c r="F38" s="7">
        <f t="shared" si="1"/>
        <v>0</v>
      </c>
      <c r="G38" s="2">
        <v>72</v>
      </c>
      <c r="H38" s="9" t="s">
        <v>79</v>
      </c>
      <c r="I38" s="2" t="s">
        <v>9</v>
      </c>
      <c r="J38" s="4"/>
      <c r="K38" s="8">
        <v>8</v>
      </c>
      <c r="L38" s="6">
        <f>J38*K38</f>
        <v>0</v>
      </c>
    </row>
    <row r="39" spans="1:12" ht="13.15" customHeight="1">
      <c r="A39" s="2">
        <v>35</v>
      </c>
      <c r="B39" s="4" t="s">
        <v>234</v>
      </c>
      <c r="C39" s="2" t="s">
        <v>9</v>
      </c>
      <c r="D39" s="2"/>
      <c r="E39" s="2">
        <v>2.2999999999999998</v>
      </c>
      <c r="F39" s="7">
        <f t="shared" si="1"/>
        <v>0</v>
      </c>
      <c r="G39" s="2">
        <v>73</v>
      </c>
      <c r="H39" s="9" t="s">
        <v>75</v>
      </c>
      <c r="I39" s="2" t="s">
        <v>9</v>
      </c>
      <c r="J39" s="4"/>
      <c r="K39" s="8">
        <v>7.5</v>
      </c>
      <c r="L39" s="6">
        <f>J39*K39</f>
        <v>0</v>
      </c>
    </row>
    <row r="40" spans="1:12" ht="13.15" customHeight="1">
      <c r="I40" s="33" t="s">
        <v>82</v>
      </c>
      <c r="J40" s="34"/>
      <c r="K40" s="34"/>
      <c r="L40" s="23">
        <f>L2+L3+L4+L5+L6+L7+L8+L9+L10+L11+L12+L13+L14+L15+L16+L17+L18+L19+L20+L21+L22+L25+L26+L27+L24+L23+L28+L30+L29+L31+L32+L33+L34+L35+L36+L37+L38+F5+F6+F7+F8+F9+F10+F11+F12+F13+F14+F15+F16+F17+F18+F19+F20+F21+F22+F23+F24+F25+F26+F27+F28+F29+F30+F31+F32+F33+F34+F35+F36+F37+F38+F39+L39</f>
        <v>7</v>
      </c>
    </row>
    <row r="42" spans="1:12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>
  <dimension ref="A1:L42"/>
  <sheetViews>
    <sheetView workbookViewId="0">
      <selection activeCell="D5" sqref="D5"/>
    </sheetView>
  </sheetViews>
  <sheetFormatPr defaultRowHeight="13.15" customHeight="1"/>
  <cols>
    <col min="1" max="1" width="4.7109375" style="17" customWidth="1"/>
    <col min="2" max="2" width="28.28515625" customWidth="1"/>
    <col min="3" max="3" width="6" customWidth="1"/>
    <col min="4" max="4" width="7.5703125" customWidth="1"/>
    <col min="5" max="5" width="8.140625" customWidth="1"/>
    <col min="6" max="6" width="8.42578125" customWidth="1"/>
    <col min="7" max="7" width="4.7109375" style="17" customWidth="1"/>
    <col min="8" max="8" width="23.5703125" customWidth="1"/>
    <col min="9" max="9" width="6.5703125" customWidth="1"/>
    <col min="10" max="10" width="7.28515625" customWidth="1"/>
    <col min="11" max="11" width="8.28515625" customWidth="1"/>
    <col min="12" max="12" width="8.5703125" customWidth="1"/>
  </cols>
  <sheetData>
    <row r="1" spans="1:12" ht="13.15" customHeight="1">
      <c r="A1" s="30" t="s">
        <v>203</v>
      </c>
      <c r="B1" s="30"/>
      <c r="C1" s="30"/>
      <c r="D1" s="30" t="s">
        <v>204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5" t="s">
        <v>205</v>
      </c>
      <c r="B2" s="35"/>
      <c r="C2" s="35"/>
      <c r="D2" s="35"/>
      <c r="E2" s="35"/>
      <c r="F2" s="35"/>
      <c r="G2" s="2">
        <v>36</v>
      </c>
      <c r="H2" s="4" t="s">
        <v>8</v>
      </c>
      <c r="I2" s="2" t="s">
        <v>9</v>
      </c>
      <c r="J2" s="2"/>
      <c r="K2" s="5">
        <v>1.5</v>
      </c>
      <c r="L2" s="6">
        <f t="shared" ref="L2:L37" si="0">J2*K2</f>
        <v>0</v>
      </c>
    </row>
    <row r="3" spans="1:12" ht="13.15" customHeight="1">
      <c r="A3" s="32" t="s">
        <v>206</v>
      </c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2.5</v>
      </c>
      <c r="L3" s="6">
        <f t="shared" si="0"/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2.75</v>
      </c>
      <c r="L4" s="6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>
        <v>2</v>
      </c>
      <c r="E5" s="5">
        <v>7</v>
      </c>
      <c r="F5" s="7">
        <f t="shared" ref="F5:F39" si="1">D5*E5</f>
        <v>14</v>
      </c>
      <c r="G5" s="2">
        <v>39</v>
      </c>
      <c r="H5" s="4" t="s">
        <v>13</v>
      </c>
      <c r="I5" s="2" t="s">
        <v>9</v>
      </c>
      <c r="J5" s="2"/>
      <c r="K5" s="5">
        <v>2.5</v>
      </c>
      <c r="L5" s="6">
        <f t="shared" si="0"/>
        <v>0</v>
      </c>
    </row>
    <row r="6" spans="1:12" ht="13.15" customHeight="1">
      <c r="A6" s="2">
        <v>2</v>
      </c>
      <c r="B6" s="4" t="s">
        <v>207</v>
      </c>
      <c r="C6" s="2" t="s">
        <v>9</v>
      </c>
      <c r="D6" s="2"/>
      <c r="E6" s="5">
        <v>5.25</v>
      </c>
      <c r="F6" s="7">
        <f t="shared" si="1"/>
        <v>0</v>
      </c>
      <c r="G6" s="2">
        <v>40</v>
      </c>
      <c r="H6" s="4" t="s">
        <v>15</v>
      </c>
      <c r="I6" s="2" t="s">
        <v>9</v>
      </c>
      <c r="J6" s="2"/>
      <c r="K6" s="5">
        <v>8.25</v>
      </c>
      <c r="L6" s="6">
        <f t="shared" si="0"/>
        <v>0</v>
      </c>
    </row>
    <row r="7" spans="1:12" ht="13.15" customHeight="1">
      <c r="A7" s="2">
        <v>3</v>
      </c>
      <c r="B7" s="4" t="s">
        <v>208</v>
      </c>
      <c r="C7" s="2" t="s">
        <v>9</v>
      </c>
      <c r="D7" s="2"/>
      <c r="E7" s="5">
        <v>4</v>
      </c>
      <c r="F7" s="7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2.75</v>
      </c>
      <c r="L7" s="6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7.5</v>
      </c>
      <c r="F8" s="7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2.6</v>
      </c>
      <c r="L8" s="6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5.5</v>
      </c>
      <c r="F9" s="7">
        <f t="shared" si="1"/>
        <v>0</v>
      </c>
      <c r="G9" s="2">
        <v>43</v>
      </c>
      <c r="H9" s="4" t="s">
        <v>209</v>
      </c>
      <c r="I9" s="2" t="s">
        <v>9</v>
      </c>
      <c r="J9" s="2"/>
      <c r="K9" s="5">
        <v>7</v>
      </c>
      <c r="L9" s="6">
        <f t="shared" si="0"/>
        <v>0</v>
      </c>
    </row>
    <row r="10" spans="1:12" ht="13.15" customHeight="1">
      <c r="A10" s="2">
        <v>6</v>
      </c>
      <c r="B10" s="4" t="s">
        <v>210</v>
      </c>
      <c r="C10" s="2" t="s">
        <v>9</v>
      </c>
      <c r="D10" s="2"/>
      <c r="E10" s="5">
        <v>5.75</v>
      </c>
      <c r="F10" s="7">
        <f t="shared" si="1"/>
        <v>0</v>
      </c>
      <c r="G10" s="2">
        <v>44</v>
      </c>
      <c r="H10" s="4" t="s">
        <v>211</v>
      </c>
      <c r="I10" s="2" t="s">
        <v>9</v>
      </c>
      <c r="J10" s="2"/>
      <c r="K10" s="5">
        <v>2.75</v>
      </c>
      <c r="L10" s="6">
        <f t="shared" si="0"/>
        <v>0</v>
      </c>
    </row>
    <row r="11" spans="1:12" ht="13.15" customHeight="1">
      <c r="A11" s="2">
        <v>7</v>
      </c>
      <c r="B11" s="4" t="s">
        <v>212</v>
      </c>
      <c r="C11" s="2" t="s">
        <v>9</v>
      </c>
      <c r="D11" s="2"/>
      <c r="E11" s="5">
        <v>6.3</v>
      </c>
      <c r="F11" s="7">
        <f t="shared" si="1"/>
        <v>0</v>
      </c>
      <c r="G11" s="2">
        <v>45</v>
      </c>
      <c r="H11" s="4" t="s">
        <v>213</v>
      </c>
      <c r="I11" s="2" t="s">
        <v>9</v>
      </c>
      <c r="J11" s="2"/>
      <c r="K11" s="5">
        <v>3</v>
      </c>
      <c r="L11" s="6">
        <f t="shared" si="0"/>
        <v>0</v>
      </c>
    </row>
    <row r="12" spans="1:12" ht="13.15" customHeight="1">
      <c r="A12" s="2">
        <v>8</v>
      </c>
      <c r="B12" s="4" t="s">
        <v>214</v>
      </c>
      <c r="C12" s="2" t="s">
        <v>9</v>
      </c>
      <c r="D12" s="2"/>
      <c r="E12" s="5">
        <v>4.2</v>
      </c>
      <c r="F12" s="7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2.5</v>
      </c>
      <c r="L12" s="6">
        <f t="shared" si="0"/>
        <v>0</v>
      </c>
    </row>
    <row r="13" spans="1:12" ht="13.15" customHeight="1">
      <c r="A13" s="2">
        <v>9</v>
      </c>
      <c r="B13" s="4" t="s">
        <v>215</v>
      </c>
      <c r="C13" s="2" t="s">
        <v>9</v>
      </c>
      <c r="D13" s="2"/>
      <c r="E13" s="5">
        <v>5.5</v>
      </c>
      <c r="F13" s="7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2.5</v>
      </c>
      <c r="L13" s="6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6.25</v>
      </c>
      <c r="F14" s="7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2.5</v>
      </c>
      <c r="L14" s="6">
        <f t="shared" si="0"/>
        <v>0</v>
      </c>
    </row>
    <row r="15" spans="1:12" ht="13.15" customHeight="1">
      <c r="A15" s="2">
        <v>11</v>
      </c>
      <c r="B15" s="4" t="s">
        <v>216</v>
      </c>
      <c r="C15" s="2" t="s">
        <v>9</v>
      </c>
      <c r="D15" s="2"/>
      <c r="E15" s="5">
        <v>4.5</v>
      </c>
      <c r="F15" s="7">
        <f t="shared" si="1"/>
        <v>0</v>
      </c>
      <c r="G15" s="2">
        <v>49</v>
      </c>
      <c r="H15" s="4" t="s">
        <v>129</v>
      </c>
      <c r="I15" s="2" t="s">
        <v>9</v>
      </c>
      <c r="J15" s="2"/>
      <c r="K15" s="5">
        <v>8.5</v>
      </c>
      <c r="L15" s="6">
        <f t="shared" si="0"/>
        <v>0</v>
      </c>
    </row>
    <row r="16" spans="1:12" ht="13.15" customHeight="1">
      <c r="A16" s="2">
        <v>12</v>
      </c>
      <c r="B16" s="4" t="s">
        <v>217</v>
      </c>
      <c r="C16" s="2" t="s">
        <v>9</v>
      </c>
      <c r="D16" s="2"/>
      <c r="E16" s="5">
        <v>6.5</v>
      </c>
      <c r="F16" s="7">
        <f t="shared" si="1"/>
        <v>0</v>
      </c>
      <c r="G16" s="2">
        <v>50</v>
      </c>
      <c r="H16" s="4" t="s">
        <v>92</v>
      </c>
      <c r="I16" s="2" t="s">
        <v>9</v>
      </c>
      <c r="J16" s="2"/>
      <c r="K16" s="5">
        <v>7</v>
      </c>
      <c r="L16" s="6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7</v>
      </c>
      <c r="F17" s="7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6.75</v>
      </c>
      <c r="L17" s="6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5.25</v>
      </c>
      <c r="F18" s="7">
        <f t="shared" si="1"/>
        <v>0</v>
      </c>
      <c r="G18" s="2">
        <v>52</v>
      </c>
      <c r="H18" s="4" t="s">
        <v>218</v>
      </c>
      <c r="I18" s="2" t="s">
        <v>9</v>
      </c>
      <c r="J18" s="2"/>
      <c r="K18" s="5">
        <v>13</v>
      </c>
      <c r="L18" s="6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5.75</v>
      </c>
      <c r="F19" s="7">
        <f t="shared" si="1"/>
        <v>0</v>
      </c>
      <c r="G19" s="2">
        <v>53</v>
      </c>
      <c r="H19" s="4" t="s">
        <v>219</v>
      </c>
      <c r="I19" s="2" t="s">
        <v>9</v>
      </c>
      <c r="J19" s="2"/>
      <c r="K19" s="5">
        <v>36</v>
      </c>
      <c r="L19" s="6"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2.5</v>
      </c>
      <c r="F20" s="7">
        <f t="shared" si="1"/>
        <v>0</v>
      </c>
      <c r="G20" s="2">
        <v>54</v>
      </c>
      <c r="H20" s="4" t="s">
        <v>220</v>
      </c>
      <c r="I20" s="2" t="s">
        <v>9</v>
      </c>
      <c r="J20" s="2"/>
      <c r="K20" s="5">
        <v>22.5</v>
      </c>
      <c r="L20" s="6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1.5</v>
      </c>
      <c r="F21" s="7">
        <f t="shared" si="1"/>
        <v>0</v>
      </c>
      <c r="G21" s="2">
        <v>55</v>
      </c>
      <c r="H21" s="4" t="s">
        <v>221</v>
      </c>
      <c r="I21" s="2" t="s">
        <v>9</v>
      </c>
      <c r="J21" s="2"/>
      <c r="K21" s="5">
        <v>11.5</v>
      </c>
      <c r="L21" s="6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6.25</v>
      </c>
      <c r="F22" s="7">
        <f t="shared" si="1"/>
        <v>0</v>
      </c>
      <c r="G22" s="2">
        <v>56</v>
      </c>
      <c r="H22" s="4" t="s">
        <v>222</v>
      </c>
      <c r="I22" s="2" t="s">
        <v>9</v>
      </c>
      <c r="J22" s="2"/>
      <c r="K22" s="5">
        <v>8.25</v>
      </c>
      <c r="L22" s="6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7</v>
      </c>
      <c r="F23" s="7">
        <f t="shared" si="1"/>
        <v>0</v>
      </c>
      <c r="G23" s="2">
        <v>57</v>
      </c>
      <c r="H23" s="4" t="s">
        <v>135</v>
      </c>
      <c r="I23" s="2" t="s">
        <v>9</v>
      </c>
      <c r="J23" s="4"/>
      <c r="K23" s="2">
        <v>8.25</v>
      </c>
      <c r="L23" s="6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6.5</v>
      </c>
      <c r="F24" s="7">
        <f t="shared" si="1"/>
        <v>0</v>
      </c>
      <c r="G24" s="2">
        <v>58</v>
      </c>
      <c r="H24" s="4" t="s">
        <v>223</v>
      </c>
      <c r="I24" s="2" t="s">
        <v>9</v>
      </c>
      <c r="J24" s="4"/>
      <c r="K24" s="2">
        <v>3</v>
      </c>
      <c r="L24" s="6">
        <f t="shared" si="0"/>
        <v>0</v>
      </c>
    </row>
    <row r="25" spans="1:12" ht="13.15" customHeight="1">
      <c r="A25" s="2">
        <v>21</v>
      </c>
      <c r="B25" s="4" t="s">
        <v>96</v>
      </c>
      <c r="C25" s="2" t="s">
        <v>9</v>
      </c>
      <c r="D25" s="2"/>
      <c r="E25" s="5">
        <v>7.25</v>
      </c>
      <c r="F25" s="7">
        <f t="shared" si="1"/>
        <v>0</v>
      </c>
      <c r="G25" s="2">
        <v>59</v>
      </c>
      <c r="H25" s="4" t="s">
        <v>134</v>
      </c>
      <c r="I25" s="2" t="s">
        <v>9</v>
      </c>
      <c r="J25" s="4"/>
      <c r="K25" s="2">
        <v>9.25</v>
      </c>
      <c r="L25" s="6">
        <f t="shared" si="0"/>
        <v>0</v>
      </c>
    </row>
    <row r="26" spans="1:12" ht="13.15" customHeight="1">
      <c r="A26" s="2">
        <v>22</v>
      </c>
      <c r="B26" s="4" t="s">
        <v>224</v>
      </c>
      <c r="C26" s="2" t="s">
        <v>9</v>
      </c>
      <c r="D26" s="2"/>
      <c r="E26" s="5">
        <v>5</v>
      </c>
      <c r="F26" s="7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6.25</v>
      </c>
      <c r="L26" s="6">
        <f t="shared" si="0"/>
        <v>0</v>
      </c>
    </row>
    <row r="27" spans="1:12" ht="13.15" customHeight="1">
      <c r="A27" s="2">
        <v>23</v>
      </c>
      <c r="B27" s="4" t="s">
        <v>225</v>
      </c>
      <c r="C27" s="2" t="s">
        <v>9</v>
      </c>
      <c r="D27" s="2"/>
      <c r="E27" s="5">
        <v>4</v>
      </c>
      <c r="F27" s="7">
        <f t="shared" si="1"/>
        <v>0</v>
      </c>
      <c r="G27" s="2">
        <v>61</v>
      </c>
      <c r="H27" s="4" t="s">
        <v>226</v>
      </c>
      <c r="I27" s="2" t="s">
        <v>9</v>
      </c>
      <c r="J27" s="4"/>
      <c r="K27" s="2">
        <v>4</v>
      </c>
      <c r="L27" s="6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5.5</v>
      </c>
      <c r="F28" s="7">
        <f t="shared" si="1"/>
        <v>0</v>
      </c>
      <c r="G28" s="2">
        <v>62</v>
      </c>
      <c r="H28" s="4" t="s">
        <v>103</v>
      </c>
      <c r="I28" s="2" t="s">
        <v>9</v>
      </c>
      <c r="J28" s="4"/>
      <c r="K28" s="2">
        <v>4</v>
      </c>
      <c r="L28" s="6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6.25</v>
      </c>
      <c r="F29" s="7">
        <f t="shared" si="1"/>
        <v>0</v>
      </c>
      <c r="G29" s="2">
        <v>63</v>
      </c>
      <c r="H29" s="4" t="s">
        <v>227</v>
      </c>
      <c r="I29" s="2" t="s">
        <v>9</v>
      </c>
      <c r="J29" s="4"/>
      <c r="K29" s="2">
        <v>4</v>
      </c>
      <c r="L29" s="6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5</v>
      </c>
      <c r="F30" s="6">
        <f t="shared" si="1"/>
        <v>0</v>
      </c>
      <c r="G30" s="2">
        <v>64</v>
      </c>
      <c r="H30" s="4" t="s">
        <v>228</v>
      </c>
      <c r="I30" s="2" t="s">
        <v>9</v>
      </c>
      <c r="J30" s="4"/>
      <c r="K30" s="2">
        <v>4</v>
      </c>
      <c r="L30" s="6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6.5</v>
      </c>
      <c r="F31" s="6">
        <f t="shared" si="1"/>
        <v>0</v>
      </c>
      <c r="G31" s="2">
        <v>65</v>
      </c>
      <c r="H31" s="4" t="s">
        <v>229</v>
      </c>
      <c r="I31" s="2" t="s">
        <v>9</v>
      </c>
      <c r="J31" s="4"/>
      <c r="K31" s="2">
        <v>4</v>
      </c>
      <c r="L31" s="6">
        <f t="shared" si="0"/>
        <v>0</v>
      </c>
    </row>
    <row r="32" spans="1:12" ht="13.15" customHeight="1">
      <c r="A32" s="2">
        <v>28</v>
      </c>
      <c r="B32" s="4" t="s">
        <v>104</v>
      </c>
      <c r="C32" s="2" t="s">
        <v>9</v>
      </c>
      <c r="D32" s="2"/>
      <c r="E32" s="5">
        <v>8.25</v>
      </c>
      <c r="F32" s="6">
        <f t="shared" si="1"/>
        <v>0</v>
      </c>
      <c r="G32" s="2">
        <v>66</v>
      </c>
      <c r="H32" s="4" t="s">
        <v>101</v>
      </c>
      <c r="I32" s="2" t="s">
        <v>9</v>
      </c>
      <c r="J32" s="4"/>
      <c r="K32" s="2">
        <v>6.25</v>
      </c>
      <c r="L32" s="6">
        <f t="shared" si="0"/>
        <v>0</v>
      </c>
    </row>
    <row r="33" spans="1:12" ht="13.15" customHeight="1">
      <c r="A33" s="2">
        <v>29</v>
      </c>
      <c r="B33" s="4" t="s">
        <v>68</v>
      </c>
      <c r="C33" s="2" t="s">
        <v>9</v>
      </c>
      <c r="D33" s="2"/>
      <c r="E33" s="5">
        <v>6</v>
      </c>
      <c r="F33" s="6">
        <f t="shared" si="1"/>
        <v>0</v>
      </c>
      <c r="G33" s="2">
        <v>67</v>
      </c>
      <c r="H33" s="4" t="s">
        <v>25</v>
      </c>
      <c r="I33" s="2" t="s">
        <v>9</v>
      </c>
      <c r="J33" s="4"/>
      <c r="K33" s="2">
        <v>4</v>
      </c>
      <c r="L33" s="6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6.4</v>
      </c>
      <c r="F34" s="6">
        <f t="shared" si="1"/>
        <v>0</v>
      </c>
      <c r="G34" s="2">
        <v>68</v>
      </c>
      <c r="H34" s="9" t="s">
        <v>141</v>
      </c>
      <c r="I34" s="2" t="s">
        <v>9</v>
      </c>
      <c r="J34" s="4"/>
      <c r="K34" s="8">
        <v>9</v>
      </c>
      <c r="L34" s="6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6</v>
      </c>
      <c r="F35" s="7">
        <f t="shared" si="1"/>
        <v>0</v>
      </c>
      <c r="G35" s="2">
        <v>69</v>
      </c>
      <c r="H35" s="9" t="s">
        <v>230</v>
      </c>
      <c r="I35" s="2" t="s">
        <v>9</v>
      </c>
      <c r="J35" s="4"/>
      <c r="K35" s="8">
        <v>6.5</v>
      </c>
      <c r="L35" s="6">
        <f t="shared" si="0"/>
        <v>0</v>
      </c>
    </row>
    <row r="36" spans="1:12" ht="13.15" customHeight="1">
      <c r="A36" s="2">
        <v>32</v>
      </c>
      <c r="B36" s="4" t="s">
        <v>74</v>
      </c>
      <c r="C36" s="2" t="s">
        <v>9</v>
      </c>
      <c r="D36" s="2"/>
      <c r="E36" s="2">
        <v>2.5</v>
      </c>
      <c r="F36" s="7">
        <f t="shared" si="1"/>
        <v>0</v>
      </c>
      <c r="G36" s="2">
        <v>70</v>
      </c>
      <c r="H36" s="9" t="s">
        <v>231</v>
      </c>
      <c r="I36" s="2" t="s">
        <v>9</v>
      </c>
      <c r="J36" s="4"/>
      <c r="K36" s="8">
        <v>4.4000000000000004</v>
      </c>
      <c r="L36" s="6">
        <f>J36*K36</f>
        <v>0</v>
      </c>
    </row>
    <row r="37" spans="1:12" ht="13.15" customHeight="1">
      <c r="A37" s="2">
        <v>33</v>
      </c>
      <c r="B37" s="4" t="s">
        <v>232</v>
      </c>
      <c r="C37" s="2" t="s">
        <v>9</v>
      </c>
      <c r="D37" s="2"/>
      <c r="E37" s="5">
        <v>8.25</v>
      </c>
      <c r="F37" s="7">
        <f t="shared" si="1"/>
        <v>0</v>
      </c>
      <c r="G37" s="2">
        <v>71</v>
      </c>
      <c r="H37" s="9" t="s">
        <v>233</v>
      </c>
      <c r="I37" s="2" t="s">
        <v>9</v>
      </c>
      <c r="J37" s="4"/>
      <c r="K37" s="8">
        <v>8.25</v>
      </c>
      <c r="L37" s="6">
        <f t="shared" si="0"/>
        <v>0</v>
      </c>
    </row>
    <row r="38" spans="1:12" ht="13.15" customHeight="1">
      <c r="A38" s="2">
        <v>34</v>
      </c>
      <c r="B38" s="4" t="s">
        <v>78</v>
      </c>
      <c r="C38" s="2" t="s">
        <v>9</v>
      </c>
      <c r="D38" s="2"/>
      <c r="E38" s="2">
        <v>7</v>
      </c>
      <c r="F38" s="7">
        <f t="shared" si="1"/>
        <v>0</v>
      </c>
      <c r="G38" s="2">
        <v>72</v>
      </c>
      <c r="H38" s="9" t="s">
        <v>79</v>
      </c>
      <c r="I38" s="2" t="s">
        <v>9</v>
      </c>
      <c r="J38" s="4"/>
      <c r="K38" s="8">
        <v>8</v>
      </c>
      <c r="L38" s="6">
        <f>J38*K38</f>
        <v>0</v>
      </c>
    </row>
    <row r="39" spans="1:12" ht="13.15" customHeight="1">
      <c r="A39" s="2">
        <v>35</v>
      </c>
      <c r="B39" s="4" t="s">
        <v>234</v>
      </c>
      <c r="C39" s="2" t="s">
        <v>9</v>
      </c>
      <c r="D39" s="2"/>
      <c r="E39" s="2">
        <v>2.2999999999999998</v>
      </c>
      <c r="F39" s="7">
        <f t="shared" si="1"/>
        <v>0</v>
      </c>
      <c r="G39" s="2">
        <v>73</v>
      </c>
      <c r="H39" s="9" t="s">
        <v>75</v>
      </c>
      <c r="I39" s="2" t="s">
        <v>9</v>
      </c>
      <c r="J39" s="4"/>
      <c r="K39" s="8">
        <v>7.5</v>
      </c>
      <c r="L39" s="6">
        <f>J39*K39</f>
        <v>0</v>
      </c>
    </row>
    <row r="40" spans="1:12" ht="13.15" customHeight="1">
      <c r="I40" s="33" t="s">
        <v>82</v>
      </c>
      <c r="J40" s="34"/>
      <c r="K40" s="34"/>
      <c r="L40" s="23">
        <f>L2+L3+L4+L5+L6+L7+L8+L9+L10+L11+L12+L13+L14+L15+L16+L17+L18+L19+L20+L21+L22+L25+L26+L27+L24+L23+L28+L30+L29+L31+L32+L33+L34+L35+L36+L37+L38+F5+F6+F7+F8+F9+F10+F11+F12+F13+F14+F15+F16+F17+F18+F19+F20+F21+F22+F23+F24+F25+F26+F27+F28+F29+F30+F31+F32+F33+F34+F35+F36+F37+F38+F39+L39</f>
        <v>14</v>
      </c>
    </row>
    <row r="42" spans="1:12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>
  <sheetPr>
    <tabColor rgb="FFFF0000"/>
  </sheetPr>
  <dimension ref="A1:L42"/>
  <sheetViews>
    <sheetView topLeftCell="A19" workbookViewId="0">
      <selection activeCell="M9" sqref="M9"/>
    </sheetView>
  </sheetViews>
  <sheetFormatPr defaultRowHeight="13.15" customHeight="1"/>
  <cols>
    <col min="1" max="1" width="4.7109375" style="17" customWidth="1"/>
    <col min="2" max="2" width="28.28515625" customWidth="1"/>
    <col min="3" max="3" width="6" customWidth="1"/>
    <col min="4" max="4" width="7.5703125" style="17" customWidth="1"/>
    <col min="5" max="5" width="8.140625" customWidth="1"/>
    <col min="6" max="6" width="8.42578125" customWidth="1"/>
    <col min="7" max="7" width="4.7109375" style="17" customWidth="1"/>
    <col min="8" max="8" width="23.5703125" customWidth="1"/>
    <col min="9" max="9" width="6.5703125" customWidth="1"/>
    <col min="10" max="10" width="7.28515625" style="17" customWidth="1"/>
    <col min="11" max="11" width="8.28515625" customWidth="1"/>
    <col min="12" max="12" width="8.5703125" customWidth="1"/>
  </cols>
  <sheetData>
    <row r="1" spans="1:12" ht="13.15" customHeight="1">
      <c r="A1" s="30" t="s">
        <v>203</v>
      </c>
      <c r="B1" s="30"/>
      <c r="C1" s="30"/>
      <c r="D1" s="30" t="s">
        <v>204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5" t="s">
        <v>205</v>
      </c>
      <c r="B2" s="35"/>
      <c r="C2" s="35"/>
      <c r="D2" s="35"/>
      <c r="E2" s="35"/>
      <c r="F2" s="35"/>
      <c r="G2" s="2">
        <v>36</v>
      </c>
      <c r="H2" s="4" t="s">
        <v>8</v>
      </c>
      <c r="I2" s="2" t="s">
        <v>9</v>
      </c>
      <c r="J2" s="2">
        <f>маг.Пекарня!J2+'маг. Центр'!J2</f>
        <v>0</v>
      </c>
      <c r="K2" s="5">
        <v>1.5</v>
      </c>
      <c r="L2" s="6">
        <f t="shared" ref="L2:L37" si="0">J2*K2</f>
        <v>0</v>
      </c>
    </row>
    <row r="3" spans="1:12" ht="13.15" customHeight="1">
      <c r="A3" s="32" t="s">
        <v>206</v>
      </c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>
        <f>маг.Пекарня!J3+'маг. Центр'!J3</f>
        <v>0</v>
      </c>
      <c r="K3" s="5">
        <v>2.5</v>
      </c>
      <c r="L3" s="6">
        <f t="shared" si="0"/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>
        <f>маг.Пекарня!J4+'маг. Центр'!J4</f>
        <v>0</v>
      </c>
      <c r="K4" s="5">
        <v>2.75</v>
      </c>
      <c r="L4" s="6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>
        <f>маг.Пекарня!D5+'маг. Центр'!D5</f>
        <v>3</v>
      </c>
      <c r="E5" s="5">
        <v>7</v>
      </c>
      <c r="F5" s="7">
        <f t="shared" ref="F5:F39" si="1">D5*E5</f>
        <v>21</v>
      </c>
      <c r="G5" s="2">
        <v>39</v>
      </c>
      <c r="H5" s="4" t="s">
        <v>13</v>
      </c>
      <c r="I5" s="2" t="s">
        <v>9</v>
      </c>
      <c r="J5" s="2">
        <f>маг.Пекарня!J5+'маг. Центр'!J5</f>
        <v>0</v>
      </c>
      <c r="K5" s="5">
        <v>2.5</v>
      </c>
      <c r="L5" s="6">
        <f t="shared" si="0"/>
        <v>0</v>
      </c>
    </row>
    <row r="6" spans="1:12" ht="13.15" customHeight="1">
      <c r="A6" s="2">
        <v>2</v>
      </c>
      <c r="B6" s="4" t="s">
        <v>207</v>
      </c>
      <c r="C6" s="2" t="s">
        <v>9</v>
      </c>
      <c r="D6" s="2">
        <f>маг.Пекарня!D6+'маг. Центр'!D6</f>
        <v>0</v>
      </c>
      <c r="E6" s="5">
        <v>5.25</v>
      </c>
      <c r="F6" s="7">
        <f t="shared" si="1"/>
        <v>0</v>
      </c>
      <c r="G6" s="2">
        <v>40</v>
      </c>
      <c r="H6" s="4" t="s">
        <v>15</v>
      </c>
      <c r="I6" s="2" t="s">
        <v>9</v>
      </c>
      <c r="J6" s="2">
        <f>маг.Пекарня!J6+'маг. Центр'!J6</f>
        <v>0</v>
      </c>
      <c r="K6" s="5">
        <v>8.25</v>
      </c>
      <c r="L6" s="6">
        <f t="shared" si="0"/>
        <v>0</v>
      </c>
    </row>
    <row r="7" spans="1:12" ht="13.15" customHeight="1">
      <c r="A7" s="2">
        <v>3</v>
      </c>
      <c r="B7" s="4" t="s">
        <v>208</v>
      </c>
      <c r="C7" s="2" t="s">
        <v>9</v>
      </c>
      <c r="D7" s="2">
        <f>маг.Пекарня!D7+'маг. Центр'!D7</f>
        <v>0</v>
      </c>
      <c r="E7" s="5">
        <v>4</v>
      </c>
      <c r="F7" s="7">
        <f t="shared" si="1"/>
        <v>0</v>
      </c>
      <c r="G7" s="2">
        <v>41</v>
      </c>
      <c r="H7" s="4" t="s">
        <v>17</v>
      </c>
      <c r="I7" s="2" t="s">
        <v>9</v>
      </c>
      <c r="J7" s="2">
        <f>маг.Пекарня!J7+'маг. Центр'!J7</f>
        <v>0</v>
      </c>
      <c r="K7" s="5">
        <v>2.75</v>
      </c>
      <c r="L7" s="6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>
        <f>маг.Пекарня!D8+'маг. Центр'!D8</f>
        <v>0</v>
      </c>
      <c r="E8" s="5">
        <v>7.5</v>
      </c>
      <c r="F8" s="7">
        <f t="shared" si="1"/>
        <v>0</v>
      </c>
      <c r="G8" s="2">
        <v>42</v>
      </c>
      <c r="H8" s="4" t="s">
        <v>19</v>
      </c>
      <c r="I8" s="2" t="s">
        <v>9</v>
      </c>
      <c r="J8" s="2">
        <f>маг.Пекарня!J8+'маг. Центр'!J8</f>
        <v>0</v>
      </c>
      <c r="K8" s="5">
        <v>2.6</v>
      </c>
      <c r="L8" s="6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>
        <f>маг.Пекарня!D9+'маг. Центр'!D9</f>
        <v>0</v>
      </c>
      <c r="E9" s="5">
        <v>5.5</v>
      </c>
      <c r="F9" s="7">
        <f t="shared" si="1"/>
        <v>0</v>
      </c>
      <c r="G9" s="2">
        <v>43</v>
      </c>
      <c r="H9" s="4" t="s">
        <v>209</v>
      </c>
      <c r="I9" s="2" t="s">
        <v>9</v>
      </c>
      <c r="J9" s="2">
        <f>маг.Пекарня!J9+'маг. Центр'!J9</f>
        <v>0</v>
      </c>
      <c r="K9" s="5">
        <v>7</v>
      </c>
      <c r="L9" s="6">
        <f t="shared" si="0"/>
        <v>0</v>
      </c>
    </row>
    <row r="10" spans="1:12" ht="13.15" customHeight="1">
      <c r="A10" s="2">
        <v>6</v>
      </c>
      <c r="B10" s="4" t="s">
        <v>210</v>
      </c>
      <c r="C10" s="2" t="s">
        <v>9</v>
      </c>
      <c r="D10" s="2">
        <f>маг.Пекарня!D10+'маг. Центр'!D10</f>
        <v>0</v>
      </c>
      <c r="E10" s="5">
        <v>5.75</v>
      </c>
      <c r="F10" s="7">
        <f t="shared" si="1"/>
        <v>0</v>
      </c>
      <c r="G10" s="2">
        <v>44</v>
      </c>
      <c r="H10" s="4" t="s">
        <v>211</v>
      </c>
      <c r="I10" s="2" t="s">
        <v>9</v>
      </c>
      <c r="J10" s="2">
        <f>маг.Пекарня!J10+'маг. Центр'!J10</f>
        <v>0</v>
      </c>
      <c r="K10" s="5">
        <v>2.75</v>
      </c>
      <c r="L10" s="6">
        <f t="shared" si="0"/>
        <v>0</v>
      </c>
    </row>
    <row r="11" spans="1:12" ht="13.15" customHeight="1">
      <c r="A11" s="2">
        <v>7</v>
      </c>
      <c r="B11" s="4" t="s">
        <v>212</v>
      </c>
      <c r="C11" s="2" t="s">
        <v>9</v>
      </c>
      <c r="D11" s="2">
        <f>маг.Пекарня!D11+'маг. Центр'!D11</f>
        <v>0</v>
      </c>
      <c r="E11" s="5">
        <v>6.3</v>
      </c>
      <c r="F11" s="7">
        <f t="shared" si="1"/>
        <v>0</v>
      </c>
      <c r="G11" s="2">
        <v>45</v>
      </c>
      <c r="H11" s="4" t="s">
        <v>213</v>
      </c>
      <c r="I11" s="2" t="s">
        <v>9</v>
      </c>
      <c r="J11" s="2">
        <f>маг.Пекарня!J11+'маг. Центр'!J11</f>
        <v>0</v>
      </c>
      <c r="K11" s="5">
        <v>3</v>
      </c>
      <c r="L11" s="6">
        <f t="shared" si="0"/>
        <v>0</v>
      </c>
    </row>
    <row r="12" spans="1:12" ht="13.15" customHeight="1">
      <c r="A12" s="2">
        <v>8</v>
      </c>
      <c r="B12" s="4" t="s">
        <v>214</v>
      </c>
      <c r="C12" s="2" t="s">
        <v>9</v>
      </c>
      <c r="D12" s="2">
        <f>маг.Пекарня!D12+'маг. Центр'!D12</f>
        <v>0</v>
      </c>
      <c r="E12" s="5">
        <v>4.2</v>
      </c>
      <c r="F12" s="7">
        <f t="shared" si="1"/>
        <v>0</v>
      </c>
      <c r="G12" s="2">
        <v>46</v>
      </c>
      <c r="H12" s="4" t="s">
        <v>126</v>
      </c>
      <c r="I12" s="2" t="s">
        <v>9</v>
      </c>
      <c r="J12" s="2">
        <f>маг.Пекарня!J12+'маг. Центр'!J12</f>
        <v>0</v>
      </c>
      <c r="K12" s="5">
        <v>2.5</v>
      </c>
      <c r="L12" s="6">
        <f t="shared" si="0"/>
        <v>0</v>
      </c>
    </row>
    <row r="13" spans="1:12" ht="13.15" customHeight="1">
      <c r="A13" s="2">
        <v>9</v>
      </c>
      <c r="B13" s="4" t="s">
        <v>215</v>
      </c>
      <c r="C13" s="2" t="s">
        <v>9</v>
      </c>
      <c r="D13" s="2">
        <f>маг.Пекарня!D13+'маг. Центр'!D13</f>
        <v>0</v>
      </c>
      <c r="E13" s="5">
        <v>5.5</v>
      </c>
      <c r="F13" s="7">
        <f t="shared" si="1"/>
        <v>0</v>
      </c>
      <c r="G13" s="2">
        <v>47</v>
      </c>
      <c r="H13" s="4" t="s">
        <v>29</v>
      </c>
      <c r="I13" s="2" t="s">
        <v>9</v>
      </c>
      <c r="J13" s="2">
        <f>маг.Пекарня!J13+'маг. Центр'!J13</f>
        <v>0</v>
      </c>
      <c r="K13" s="5">
        <v>2.5</v>
      </c>
      <c r="L13" s="6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>
        <f>маг.Пекарня!D14+'маг. Центр'!D14</f>
        <v>0</v>
      </c>
      <c r="E14" s="5">
        <v>6.25</v>
      </c>
      <c r="F14" s="7">
        <f t="shared" si="1"/>
        <v>0</v>
      </c>
      <c r="G14" s="2">
        <v>48</v>
      </c>
      <c r="H14" s="4" t="s">
        <v>31</v>
      </c>
      <c r="I14" s="2" t="s">
        <v>9</v>
      </c>
      <c r="J14" s="2">
        <f>маг.Пекарня!J14+'маг. Центр'!J14</f>
        <v>0</v>
      </c>
      <c r="K14" s="5">
        <v>2.5</v>
      </c>
      <c r="L14" s="6">
        <f t="shared" si="0"/>
        <v>0</v>
      </c>
    </row>
    <row r="15" spans="1:12" ht="13.15" customHeight="1">
      <c r="A15" s="2">
        <v>11</v>
      </c>
      <c r="B15" s="4" t="s">
        <v>216</v>
      </c>
      <c r="C15" s="2" t="s">
        <v>9</v>
      </c>
      <c r="D15" s="2">
        <f>маг.Пекарня!D15+'маг. Центр'!D15</f>
        <v>0</v>
      </c>
      <c r="E15" s="5">
        <v>4.5</v>
      </c>
      <c r="F15" s="7">
        <f t="shared" si="1"/>
        <v>0</v>
      </c>
      <c r="G15" s="2">
        <v>49</v>
      </c>
      <c r="H15" s="4" t="s">
        <v>129</v>
      </c>
      <c r="I15" s="2" t="s">
        <v>9</v>
      </c>
      <c r="J15" s="2">
        <f>маг.Пекарня!J15+'маг. Центр'!J15</f>
        <v>0</v>
      </c>
      <c r="K15" s="5">
        <v>8.5</v>
      </c>
      <c r="L15" s="6">
        <f t="shared" si="0"/>
        <v>0</v>
      </c>
    </row>
    <row r="16" spans="1:12" ht="13.15" customHeight="1">
      <c r="A16" s="2">
        <v>12</v>
      </c>
      <c r="B16" s="4" t="s">
        <v>217</v>
      </c>
      <c r="C16" s="2" t="s">
        <v>9</v>
      </c>
      <c r="D16" s="2">
        <f>маг.Пекарня!D16+'маг. Центр'!D16</f>
        <v>0</v>
      </c>
      <c r="E16" s="5">
        <v>6.5</v>
      </c>
      <c r="F16" s="7">
        <f t="shared" si="1"/>
        <v>0</v>
      </c>
      <c r="G16" s="2">
        <v>50</v>
      </c>
      <c r="H16" s="4" t="s">
        <v>92</v>
      </c>
      <c r="I16" s="2" t="s">
        <v>9</v>
      </c>
      <c r="J16" s="2">
        <f>маг.Пекарня!J16+'маг. Центр'!J16</f>
        <v>0</v>
      </c>
      <c r="K16" s="5">
        <v>7</v>
      </c>
      <c r="L16" s="6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>
        <f>маг.Пекарня!D17+'маг. Центр'!D17</f>
        <v>0</v>
      </c>
      <c r="E17" s="5">
        <v>7</v>
      </c>
      <c r="F17" s="7">
        <f t="shared" si="1"/>
        <v>0</v>
      </c>
      <c r="G17" s="2">
        <v>51</v>
      </c>
      <c r="H17" s="4" t="s">
        <v>130</v>
      </c>
      <c r="I17" s="2" t="s">
        <v>9</v>
      </c>
      <c r="J17" s="2">
        <f>маг.Пекарня!J17+'маг. Центр'!J17</f>
        <v>0</v>
      </c>
      <c r="K17" s="5">
        <v>6.75</v>
      </c>
      <c r="L17" s="6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>
        <f>маг.Пекарня!D18+'маг. Центр'!D18</f>
        <v>0</v>
      </c>
      <c r="E18" s="5">
        <v>5.25</v>
      </c>
      <c r="F18" s="7">
        <f t="shared" si="1"/>
        <v>0</v>
      </c>
      <c r="G18" s="2">
        <v>52</v>
      </c>
      <c r="H18" s="4" t="s">
        <v>218</v>
      </c>
      <c r="I18" s="2" t="s">
        <v>9</v>
      </c>
      <c r="J18" s="2">
        <f>маг.Пекарня!J18+'маг. Центр'!J18</f>
        <v>0</v>
      </c>
      <c r="K18" s="5">
        <v>13</v>
      </c>
      <c r="L18" s="6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>
        <f>маг.Пекарня!D19+'маг. Центр'!D19</f>
        <v>0</v>
      </c>
      <c r="E19" s="5">
        <v>5.75</v>
      </c>
      <c r="F19" s="7">
        <f t="shared" si="1"/>
        <v>0</v>
      </c>
      <c r="G19" s="2">
        <v>53</v>
      </c>
      <c r="H19" s="4" t="s">
        <v>219</v>
      </c>
      <c r="I19" s="2" t="s">
        <v>9</v>
      </c>
      <c r="J19" s="2">
        <f>маг.Пекарня!J19+'маг. Центр'!J19</f>
        <v>0</v>
      </c>
      <c r="K19" s="5">
        <v>36</v>
      </c>
      <c r="L19" s="6"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>
        <f>маг.Пекарня!D20+'маг. Центр'!D20</f>
        <v>0</v>
      </c>
      <c r="E20" s="5">
        <v>2.5</v>
      </c>
      <c r="F20" s="7">
        <f t="shared" si="1"/>
        <v>0</v>
      </c>
      <c r="G20" s="2">
        <v>54</v>
      </c>
      <c r="H20" s="4" t="s">
        <v>220</v>
      </c>
      <c r="I20" s="2" t="s">
        <v>9</v>
      </c>
      <c r="J20" s="2">
        <f>маг.Пекарня!J20+'маг. Центр'!J20</f>
        <v>0</v>
      </c>
      <c r="K20" s="5">
        <v>22.5</v>
      </c>
      <c r="L20" s="6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>
        <f>маг.Пекарня!D21+'маг. Центр'!D21</f>
        <v>0</v>
      </c>
      <c r="E21" s="5">
        <v>1.5</v>
      </c>
      <c r="F21" s="7">
        <f t="shared" si="1"/>
        <v>0</v>
      </c>
      <c r="G21" s="2">
        <v>55</v>
      </c>
      <c r="H21" s="4" t="s">
        <v>221</v>
      </c>
      <c r="I21" s="2" t="s">
        <v>9</v>
      </c>
      <c r="J21" s="2">
        <f>маг.Пекарня!J21+'маг. Центр'!J21</f>
        <v>0</v>
      </c>
      <c r="K21" s="5">
        <v>11.5</v>
      </c>
      <c r="L21" s="6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>
        <f>маг.Пекарня!D22+'маг. Центр'!D22</f>
        <v>0</v>
      </c>
      <c r="E22" s="5">
        <v>6.25</v>
      </c>
      <c r="F22" s="7">
        <f t="shared" si="1"/>
        <v>0</v>
      </c>
      <c r="G22" s="2">
        <v>56</v>
      </c>
      <c r="H22" s="4" t="s">
        <v>222</v>
      </c>
      <c r="I22" s="2" t="s">
        <v>9</v>
      </c>
      <c r="J22" s="2">
        <f>маг.Пекарня!J22+'маг. Центр'!J22</f>
        <v>0</v>
      </c>
      <c r="K22" s="5">
        <v>8.25</v>
      </c>
      <c r="L22" s="6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>
        <f>маг.Пекарня!D23+'маг. Центр'!D23</f>
        <v>0</v>
      </c>
      <c r="E23" s="5">
        <v>7</v>
      </c>
      <c r="F23" s="7">
        <f t="shared" si="1"/>
        <v>0</v>
      </c>
      <c r="G23" s="2">
        <v>57</v>
      </c>
      <c r="H23" s="4" t="s">
        <v>135</v>
      </c>
      <c r="I23" s="2" t="s">
        <v>9</v>
      </c>
      <c r="J23" s="2">
        <f>маг.Пекарня!J23+'маг. Центр'!J23</f>
        <v>0</v>
      </c>
      <c r="K23" s="2">
        <v>8.25</v>
      </c>
      <c r="L23" s="6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>
        <f>маг.Пекарня!D24+'маг. Центр'!D24</f>
        <v>0</v>
      </c>
      <c r="E24" s="5">
        <v>6.5</v>
      </c>
      <c r="F24" s="7">
        <f t="shared" si="1"/>
        <v>0</v>
      </c>
      <c r="G24" s="2">
        <v>58</v>
      </c>
      <c r="H24" s="4" t="s">
        <v>223</v>
      </c>
      <c r="I24" s="2" t="s">
        <v>9</v>
      </c>
      <c r="J24" s="2">
        <f>маг.Пекарня!J24+'маг. Центр'!J24</f>
        <v>0</v>
      </c>
      <c r="K24" s="2">
        <v>3</v>
      </c>
      <c r="L24" s="6">
        <f t="shared" si="0"/>
        <v>0</v>
      </c>
    </row>
    <row r="25" spans="1:12" ht="13.15" customHeight="1">
      <c r="A25" s="2">
        <v>21</v>
      </c>
      <c r="B25" s="4" t="s">
        <v>96</v>
      </c>
      <c r="C25" s="2" t="s">
        <v>9</v>
      </c>
      <c r="D25" s="2">
        <f>маг.Пекарня!D25+'маг. Центр'!D25</f>
        <v>0</v>
      </c>
      <c r="E25" s="5">
        <v>7.25</v>
      </c>
      <c r="F25" s="7">
        <f t="shared" si="1"/>
        <v>0</v>
      </c>
      <c r="G25" s="2">
        <v>59</v>
      </c>
      <c r="H25" s="4" t="s">
        <v>134</v>
      </c>
      <c r="I25" s="2" t="s">
        <v>9</v>
      </c>
      <c r="J25" s="2">
        <f>маг.Пекарня!J25+'маг. Центр'!J25</f>
        <v>0</v>
      </c>
      <c r="K25" s="2">
        <v>9.25</v>
      </c>
      <c r="L25" s="6">
        <f t="shared" si="0"/>
        <v>0</v>
      </c>
    </row>
    <row r="26" spans="1:12" ht="13.15" customHeight="1">
      <c r="A26" s="2">
        <v>22</v>
      </c>
      <c r="B26" s="4" t="s">
        <v>224</v>
      </c>
      <c r="C26" s="2" t="s">
        <v>9</v>
      </c>
      <c r="D26" s="2">
        <f>маг.Пекарня!D26+'маг. Центр'!D26</f>
        <v>0</v>
      </c>
      <c r="E26" s="5">
        <v>5</v>
      </c>
      <c r="F26" s="7">
        <f t="shared" si="1"/>
        <v>0</v>
      </c>
      <c r="G26" s="2">
        <v>60</v>
      </c>
      <c r="H26" s="4" t="s">
        <v>55</v>
      </c>
      <c r="I26" s="2" t="s">
        <v>9</v>
      </c>
      <c r="J26" s="2">
        <f>маг.Пекарня!J26+'маг. Центр'!J26</f>
        <v>0</v>
      </c>
      <c r="K26" s="2">
        <v>6.25</v>
      </c>
      <c r="L26" s="6">
        <f t="shared" si="0"/>
        <v>0</v>
      </c>
    </row>
    <row r="27" spans="1:12" ht="13.15" customHeight="1">
      <c r="A27" s="2">
        <v>23</v>
      </c>
      <c r="B27" s="4" t="s">
        <v>225</v>
      </c>
      <c r="C27" s="2" t="s">
        <v>9</v>
      </c>
      <c r="D27" s="2">
        <f>маг.Пекарня!D27+'маг. Центр'!D27</f>
        <v>0</v>
      </c>
      <c r="E27" s="5">
        <v>4</v>
      </c>
      <c r="F27" s="7">
        <f t="shared" si="1"/>
        <v>0</v>
      </c>
      <c r="G27" s="2">
        <v>61</v>
      </c>
      <c r="H27" s="4" t="s">
        <v>226</v>
      </c>
      <c r="I27" s="2" t="s">
        <v>9</v>
      </c>
      <c r="J27" s="2">
        <f>маг.Пекарня!J27+'маг. Центр'!J27</f>
        <v>0</v>
      </c>
      <c r="K27" s="2">
        <v>4</v>
      </c>
      <c r="L27" s="6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>
        <f>маг.Пекарня!D28+'маг. Центр'!D28</f>
        <v>0</v>
      </c>
      <c r="E28" s="5">
        <v>5.5</v>
      </c>
      <c r="F28" s="7">
        <f t="shared" si="1"/>
        <v>0</v>
      </c>
      <c r="G28" s="2">
        <v>62</v>
      </c>
      <c r="H28" s="4" t="s">
        <v>103</v>
      </c>
      <c r="I28" s="2" t="s">
        <v>9</v>
      </c>
      <c r="J28" s="2">
        <f>маг.Пекарня!J28+'маг. Центр'!J28</f>
        <v>0</v>
      </c>
      <c r="K28" s="2">
        <v>4</v>
      </c>
      <c r="L28" s="6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>
        <f>маг.Пекарня!D29+'маг. Центр'!D29</f>
        <v>0</v>
      </c>
      <c r="E29" s="5">
        <v>6.25</v>
      </c>
      <c r="F29" s="7">
        <f t="shared" si="1"/>
        <v>0</v>
      </c>
      <c r="G29" s="2">
        <v>63</v>
      </c>
      <c r="H29" s="4" t="s">
        <v>227</v>
      </c>
      <c r="I29" s="2" t="s">
        <v>9</v>
      </c>
      <c r="J29" s="2">
        <f>маг.Пекарня!J29+'маг. Центр'!J29</f>
        <v>0</v>
      </c>
      <c r="K29" s="2">
        <v>4</v>
      </c>
      <c r="L29" s="6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>
        <f>маг.Пекарня!D30+'маг. Центр'!D30</f>
        <v>0</v>
      </c>
      <c r="E30" s="5">
        <v>5</v>
      </c>
      <c r="F30" s="6">
        <f t="shared" si="1"/>
        <v>0</v>
      </c>
      <c r="G30" s="2">
        <v>64</v>
      </c>
      <c r="H30" s="4" t="s">
        <v>228</v>
      </c>
      <c r="I30" s="2" t="s">
        <v>9</v>
      </c>
      <c r="J30" s="2">
        <f>маг.Пекарня!J30+'маг. Центр'!J30</f>
        <v>0</v>
      </c>
      <c r="K30" s="2">
        <v>4</v>
      </c>
      <c r="L30" s="6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>
        <f>маг.Пекарня!D31+'маг. Центр'!D31</f>
        <v>0</v>
      </c>
      <c r="E31" s="5">
        <v>6.5</v>
      </c>
      <c r="F31" s="6">
        <f t="shared" si="1"/>
        <v>0</v>
      </c>
      <c r="G31" s="2">
        <v>65</v>
      </c>
      <c r="H31" s="4" t="s">
        <v>229</v>
      </c>
      <c r="I31" s="2" t="s">
        <v>9</v>
      </c>
      <c r="J31" s="2">
        <f>маг.Пекарня!J31+'маг. Центр'!J31</f>
        <v>0</v>
      </c>
      <c r="K31" s="2">
        <v>4</v>
      </c>
      <c r="L31" s="6">
        <f t="shared" si="0"/>
        <v>0</v>
      </c>
    </row>
    <row r="32" spans="1:12" ht="13.15" customHeight="1">
      <c r="A32" s="2">
        <v>28</v>
      </c>
      <c r="B32" s="4" t="s">
        <v>104</v>
      </c>
      <c r="C32" s="2" t="s">
        <v>9</v>
      </c>
      <c r="D32" s="2">
        <f>маг.Пекарня!D32+'маг. Центр'!D32</f>
        <v>0</v>
      </c>
      <c r="E32" s="5">
        <v>8.25</v>
      </c>
      <c r="F32" s="6">
        <f t="shared" si="1"/>
        <v>0</v>
      </c>
      <c r="G32" s="2">
        <v>66</v>
      </c>
      <c r="H32" s="4" t="s">
        <v>101</v>
      </c>
      <c r="I32" s="2" t="s">
        <v>9</v>
      </c>
      <c r="J32" s="2">
        <f>маг.Пекарня!J32+'маг. Центр'!J32</f>
        <v>0</v>
      </c>
      <c r="K32" s="2">
        <v>6.25</v>
      </c>
      <c r="L32" s="6">
        <f t="shared" si="0"/>
        <v>0</v>
      </c>
    </row>
    <row r="33" spans="1:12" ht="13.15" customHeight="1">
      <c r="A33" s="2">
        <v>29</v>
      </c>
      <c r="B33" s="4" t="s">
        <v>68</v>
      </c>
      <c r="C33" s="2" t="s">
        <v>9</v>
      </c>
      <c r="D33" s="2">
        <f>маг.Пекарня!D33+'маг. Центр'!D33</f>
        <v>0</v>
      </c>
      <c r="E33" s="5">
        <v>6</v>
      </c>
      <c r="F33" s="6">
        <f t="shared" si="1"/>
        <v>0</v>
      </c>
      <c r="G33" s="2">
        <v>67</v>
      </c>
      <c r="H33" s="4" t="s">
        <v>25</v>
      </c>
      <c r="I33" s="2" t="s">
        <v>9</v>
      </c>
      <c r="J33" s="2">
        <f>маг.Пекарня!J33+'маг. Центр'!J33</f>
        <v>0</v>
      </c>
      <c r="K33" s="2">
        <v>4</v>
      </c>
      <c r="L33" s="6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>
        <f>маг.Пекарня!D34+'маг. Центр'!D34</f>
        <v>0</v>
      </c>
      <c r="E34" s="5">
        <v>6.4</v>
      </c>
      <c r="F34" s="6">
        <f t="shared" si="1"/>
        <v>0</v>
      </c>
      <c r="G34" s="2">
        <v>68</v>
      </c>
      <c r="H34" s="9" t="s">
        <v>141</v>
      </c>
      <c r="I34" s="2" t="s">
        <v>9</v>
      </c>
      <c r="J34" s="2">
        <f>маг.Пекарня!J34+'маг. Центр'!J34</f>
        <v>0</v>
      </c>
      <c r="K34" s="8">
        <v>9</v>
      </c>
      <c r="L34" s="6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>
        <f>маг.Пекарня!D35+'маг. Центр'!D35</f>
        <v>0</v>
      </c>
      <c r="E35" s="5">
        <v>6</v>
      </c>
      <c r="F35" s="7">
        <f t="shared" si="1"/>
        <v>0</v>
      </c>
      <c r="G35" s="2">
        <v>69</v>
      </c>
      <c r="H35" s="9" t="s">
        <v>230</v>
      </c>
      <c r="I35" s="2" t="s">
        <v>9</v>
      </c>
      <c r="J35" s="2">
        <f>маг.Пекарня!J35+'маг. Центр'!J35</f>
        <v>0</v>
      </c>
      <c r="K35" s="8">
        <v>6.5</v>
      </c>
      <c r="L35" s="6">
        <f t="shared" si="0"/>
        <v>0</v>
      </c>
    </row>
    <row r="36" spans="1:12" ht="13.15" customHeight="1">
      <c r="A36" s="2">
        <v>32</v>
      </c>
      <c r="B36" s="4" t="s">
        <v>74</v>
      </c>
      <c r="C36" s="2" t="s">
        <v>9</v>
      </c>
      <c r="D36" s="2">
        <f>маг.Пекарня!D36+'маг. Центр'!D36</f>
        <v>0</v>
      </c>
      <c r="E36" s="2">
        <v>2.5</v>
      </c>
      <c r="F36" s="7">
        <f t="shared" si="1"/>
        <v>0</v>
      </c>
      <c r="G36" s="2">
        <v>70</v>
      </c>
      <c r="H36" s="9" t="s">
        <v>231</v>
      </c>
      <c r="I36" s="2" t="s">
        <v>9</v>
      </c>
      <c r="J36" s="2">
        <f>маг.Пекарня!J36+'маг. Центр'!J36</f>
        <v>0</v>
      </c>
      <c r="K36" s="8">
        <v>4.4000000000000004</v>
      </c>
      <c r="L36" s="6">
        <f>J36*K36</f>
        <v>0</v>
      </c>
    </row>
    <row r="37" spans="1:12" ht="13.15" customHeight="1">
      <c r="A37" s="2">
        <v>33</v>
      </c>
      <c r="B37" s="4" t="s">
        <v>232</v>
      </c>
      <c r="C37" s="2" t="s">
        <v>9</v>
      </c>
      <c r="D37" s="2">
        <f>маг.Пекарня!D37+'маг. Центр'!D37</f>
        <v>0</v>
      </c>
      <c r="E37" s="5">
        <v>8.25</v>
      </c>
      <c r="F37" s="7">
        <f t="shared" si="1"/>
        <v>0</v>
      </c>
      <c r="G37" s="2">
        <v>71</v>
      </c>
      <c r="H37" s="9" t="s">
        <v>233</v>
      </c>
      <c r="I37" s="2" t="s">
        <v>9</v>
      </c>
      <c r="J37" s="2">
        <f>маг.Пекарня!J37+'маг. Центр'!J37</f>
        <v>0</v>
      </c>
      <c r="K37" s="8">
        <v>8.25</v>
      </c>
      <c r="L37" s="6">
        <f t="shared" si="0"/>
        <v>0</v>
      </c>
    </row>
    <row r="38" spans="1:12" ht="13.15" customHeight="1">
      <c r="A38" s="2">
        <v>34</v>
      </c>
      <c r="B38" s="4" t="s">
        <v>78</v>
      </c>
      <c r="C38" s="2" t="s">
        <v>9</v>
      </c>
      <c r="D38" s="2">
        <f>маг.Пекарня!D38+'маг. Центр'!D38</f>
        <v>0</v>
      </c>
      <c r="E38" s="2">
        <v>7</v>
      </c>
      <c r="F38" s="7">
        <f t="shared" si="1"/>
        <v>0</v>
      </c>
      <c r="G38" s="2">
        <v>72</v>
      </c>
      <c r="H38" s="9" t="s">
        <v>79</v>
      </c>
      <c r="I38" s="2" t="s">
        <v>9</v>
      </c>
      <c r="J38" s="2">
        <f>маг.Пекарня!J38+'маг. Центр'!J38</f>
        <v>0</v>
      </c>
      <c r="K38" s="8">
        <v>8</v>
      </c>
      <c r="L38" s="6">
        <f>J38*K38</f>
        <v>0</v>
      </c>
    </row>
    <row r="39" spans="1:12" ht="13.15" customHeight="1">
      <c r="A39" s="2">
        <v>35</v>
      </c>
      <c r="B39" s="4" t="s">
        <v>234</v>
      </c>
      <c r="C39" s="2" t="s">
        <v>9</v>
      </c>
      <c r="D39" s="2">
        <f>маг.Пекарня!D39+'маг. Центр'!D39</f>
        <v>0</v>
      </c>
      <c r="E39" s="2">
        <v>2.2999999999999998</v>
      </c>
      <c r="F39" s="7">
        <f t="shared" si="1"/>
        <v>0</v>
      </c>
      <c r="G39" s="2">
        <v>73</v>
      </c>
      <c r="H39" s="9" t="s">
        <v>75</v>
      </c>
      <c r="I39" s="2" t="s">
        <v>9</v>
      </c>
      <c r="J39" s="2">
        <f>маг.Пекарня!J39+'маг. Центр'!J39</f>
        <v>0</v>
      </c>
      <c r="K39" s="8">
        <v>7.5</v>
      </c>
      <c r="L39" s="6">
        <f>J39*K39</f>
        <v>0</v>
      </c>
    </row>
    <row r="40" spans="1:12" ht="13.15" customHeight="1">
      <c r="I40" s="33" t="s">
        <v>82</v>
      </c>
      <c r="J40" s="34"/>
      <c r="K40" s="34"/>
      <c r="L40" s="23">
        <f>L2+L3+L4+L5+L6+L7+L8+L9+L10+L11+L12+L13+L14+L15+L16+L17+L18+L19+L20+L21+L22+L25+L26+L27+L24+L23+L28+L30+L29+L31+L32+L33+L34+L35+L36+L37+L38+F5+F6+F7+F8+F9+F10+F11+F12+F13+F14+F15+F16+F17+F18+F19+F20+F21+F22+F23+F24+F25+F26+F27+F28+F29+F30+F31+F32+F33+F34+F35+F36+F37+F38+F39+L39</f>
        <v>21</v>
      </c>
    </row>
    <row r="42" spans="1:12" ht="13.15" customHeight="1">
      <c r="H42" t="s">
        <v>83</v>
      </c>
      <c r="I42" s="13" t="s">
        <v>84</v>
      </c>
      <c r="J42" s="17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>
  <dimension ref="A1:M42"/>
  <sheetViews>
    <sheetView workbookViewId="0">
      <selection activeCell="D9" sqref="D9"/>
    </sheetView>
  </sheetViews>
  <sheetFormatPr defaultRowHeight="13.15" customHeight="1"/>
  <cols>
    <col min="1" max="1" width="4.5703125" style="17" customWidth="1"/>
    <col min="2" max="2" width="28.28515625" customWidth="1"/>
    <col min="3" max="3" width="6.140625" customWidth="1"/>
    <col min="4" max="4" width="7.28515625" customWidth="1"/>
    <col min="5" max="5" width="8.7109375" customWidth="1"/>
    <col min="6" max="6" width="8.28515625" customWidth="1"/>
    <col min="7" max="7" width="4.85546875" style="17" customWidth="1"/>
    <col min="8" max="8" width="23.28515625" customWidth="1"/>
    <col min="9" max="9" width="5.85546875" customWidth="1"/>
    <col min="10" max="10" width="7.140625" customWidth="1"/>
    <col min="11" max="11" width="8.28515625" customWidth="1"/>
    <col min="12" max="12" width="8.7109375" customWidth="1"/>
  </cols>
  <sheetData>
    <row r="1" spans="1:12" ht="13.15" customHeight="1">
      <c r="A1" s="30"/>
      <c r="B1" s="30"/>
      <c r="C1" s="30"/>
      <c r="D1" s="30" t="s">
        <v>235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 t="s">
        <v>236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1.45</v>
      </c>
      <c r="L2" s="6">
        <f>J2*K2</f>
        <v>0</v>
      </c>
    </row>
    <row r="3" spans="1:12" ht="13.15" customHeight="1">
      <c r="A3" s="32" t="s">
        <v>237</v>
      </c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0</v>
      </c>
      <c r="L3" s="6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0</v>
      </c>
      <c r="L4" s="6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0</v>
      </c>
      <c r="F5" s="7">
        <f>D5*E5</f>
        <v>0</v>
      </c>
      <c r="G5" s="2">
        <v>39</v>
      </c>
      <c r="H5" s="4" t="s">
        <v>13</v>
      </c>
      <c r="I5" s="2" t="s">
        <v>9</v>
      </c>
      <c r="J5" s="2"/>
      <c r="K5" s="5">
        <v>2.1</v>
      </c>
      <c r="L5" s="6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</v>
      </c>
      <c r="F6" s="7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8.8000000000000007</v>
      </c>
      <c r="L6" s="6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0</v>
      </c>
      <c r="F7" s="7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0</v>
      </c>
      <c r="L7" s="6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7.85</v>
      </c>
      <c r="F8" s="7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0</v>
      </c>
      <c r="L8" s="6">
        <f t="shared" si="0"/>
        <v>0</v>
      </c>
    </row>
    <row r="9" spans="1:12" ht="13.15" customHeight="1">
      <c r="A9" s="2">
        <v>5</v>
      </c>
      <c r="B9" s="9" t="s">
        <v>20</v>
      </c>
      <c r="C9" s="8" t="s">
        <v>9</v>
      </c>
      <c r="D9" s="8">
        <v>554</v>
      </c>
      <c r="E9" s="26">
        <v>5.76</v>
      </c>
      <c r="F9" s="27">
        <f t="shared" si="1"/>
        <v>3191.04</v>
      </c>
      <c r="G9" s="2">
        <v>43</v>
      </c>
      <c r="H9" s="4" t="s">
        <v>21</v>
      </c>
      <c r="I9" s="2" t="s">
        <v>9</v>
      </c>
      <c r="J9" s="2"/>
      <c r="K9" s="5">
        <v>0</v>
      </c>
      <c r="L9" s="6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0</v>
      </c>
      <c r="F10" s="7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1.1499999999999999</v>
      </c>
      <c r="L10" s="6">
        <f t="shared" si="0"/>
        <v>0</v>
      </c>
    </row>
    <row r="11" spans="1:12" ht="13.15" customHeight="1">
      <c r="A11" s="2">
        <v>7</v>
      </c>
      <c r="B11" s="4" t="s">
        <v>24</v>
      </c>
      <c r="C11" s="2" t="s">
        <v>9</v>
      </c>
      <c r="D11" s="2"/>
      <c r="E11" s="5">
        <v>6</v>
      </c>
      <c r="F11" s="7">
        <f t="shared" si="1"/>
        <v>0</v>
      </c>
      <c r="G11" s="2">
        <v>45</v>
      </c>
      <c r="H11" s="4" t="s">
        <v>238</v>
      </c>
      <c r="I11" s="2" t="s">
        <v>9</v>
      </c>
      <c r="J11" s="2"/>
      <c r="K11" s="5">
        <v>0</v>
      </c>
      <c r="L11" s="6">
        <f t="shared" si="0"/>
        <v>0</v>
      </c>
    </row>
    <row r="12" spans="1:12" ht="13.15" customHeight="1">
      <c r="A12" s="2">
        <v>8</v>
      </c>
      <c r="B12" s="4" t="s">
        <v>239</v>
      </c>
      <c r="C12" s="2" t="s">
        <v>9</v>
      </c>
      <c r="D12" s="2"/>
      <c r="E12" s="5">
        <v>0</v>
      </c>
      <c r="F12" s="7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0</v>
      </c>
      <c r="L12" s="6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0</v>
      </c>
      <c r="F13" s="7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0</v>
      </c>
      <c r="L13" s="6">
        <f t="shared" si="0"/>
        <v>0</v>
      </c>
    </row>
    <row r="14" spans="1:12" ht="13.15" customHeight="1">
      <c r="A14" s="2">
        <v>3</v>
      </c>
      <c r="B14" s="4" t="s">
        <v>30</v>
      </c>
      <c r="C14" s="2" t="s">
        <v>9</v>
      </c>
      <c r="D14" s="2"/>
      <c r="E14" s="5">
        <v>0</v>
      </c>
      <c r="F14" s="7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0</v>
      </c>
      <c r="L14" s="6">
        <f t="shared" si="0"/>
        <v>0</v>
      </c>
    </row>
    <row r="15" spans="1:12" ht="13.15" customHeight="1">
      <c r="A15" s="2">
        <v>11</v>
      </c>
      <c r="B15" s="9" t="s">
        <v>32</v>
      </c>
      <c r="C15" s="8" t="s">
        <v>9</v>
      </c>
      <c r="D15" s="8"/>
      <c r="E15" s="26">
        <v>6.5</v>
      </c>
      <c r="F15" s="27">
        <f t="shared" si="1"/>
        <v>0</v>
      </c>
      <c r="G15" s="2">
        <v>49</v>
      </c>
      <c r="H15" s="4" t="s">
        <v>240</v>
      </c>
      <c r="I15" s="2" t="s">
        <v>9</v>
      </c>
      <c r="J15" s="2"/>
      <c r="K15" s="5">
        <v>9.09</v>
      </c>
      <c r="L15" s="6">
        <f t="shared" si="0"/>
        <v>0</v>
      </c>
    </row>
    <row r="16" spans="1:12" ht="13.15" customHeight="1">
      <c r="A16" s="2">
        <v>12</v>
      </c>
      <c r="B16" s="9" t="s">
        <v>241</v>
      </c>
      <c r="C16" s="8" t="s">
        <v>9</v>
      </c>
      <c r="D16" s="8"/>
      <c r="E16" s="26">
        <v>6.5</v>
      </c>
      <c r="F16" s="27">
        <f t="shared" si="1"/>
        <v>0</v>
      </c>
      <c r="G16" s="2">
        <v>50</v>
      </c>
      <c r="H16" s="4" t="s">
        <v>92</v>
      </c>
      <c r="I16" s="2" t="s">
        <v>9</v>
      </c>
      <c r="J16" s="2"/>
      <c r="K16" s="5">
        <v>7.45</v>
      </c>
      <c r="L16" s="6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0</v>
      </c>
      <c r="F17" s="7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0</v>
      </c>
      <c r="L17" s="6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0</v>
      </c>
      <c r="F18" s="7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3.2</v>
      </c>
      <c r="L18" s="6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0</v>
      </c>
      <c r="F19" s="7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0</v>
      </c>
      <c r="L19" s="6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0</v>
      </c>
      <c r="F20" s="7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0</v>
      </c>
      <c r="L20" s="6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0</v>
      </c>
      <c r="F21" s="7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0</v>
      </c>
      <c r="L21" s="6">
        <f t="shared" si="0"/>
        <v>0</v>
      </c>
    </row>
    <row r="22" spans="1:12" ht="13.15" customHeight="1">
      <c r="A22" s="2">
        <v>18</v>
      </c>
      <c r="B22" s="9" t="s">
        <v>46</v>
      </c>
      <c r="C22" s="8" t="s">
        <v>9</v>
      </c>
      <c r="D22" s="8"/>
      <c r="E22" s="26">
        <v>0</v>
      </c>
      <c r="F22" s="27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20.65</v>
      </c>
      <c r="L22" s="6">
        <f t="shared" si="0"/>
        <v>0</v>
      </c>
    </row>
    <row r="23" spans="1:12" ht="13.15" customHeight="1">
      <c r="A23" s="2">
        <v>19</v>
      </c>
      <c r="B23" s="9" t="s">
        <v>48</v>
      </c>
      <c r="C23" s="8" t="s">
        <v>9</v>
      </c>
      <c r="D23" s="8"/>
      <c r="E23" s="26">
        <v>7.75</v>
      </c>
      <c r="F23" s="27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14</v>
      </c>
      <c r="L23" s="6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0</v>
      </c>
      <c r="F24" s="7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0</v>
      </c>
      <c r="L24" s="6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7.9</v>
      </c>
      <c r="F25" s="7">
        <f t="shared" si="1"/>
        <v>0</v>
      </c>
      <c r="G25" s="2">
        <v>59</v>
      </c>
      <c r="H25" s="4" t="s">
        <v>243</v>
      </c>
      <c r="I25" s="2" t="s">
        <v>9</v>
      </c>
      <c r="J25" s="4"/>
      <c r="K25" s="2">
        <v>0</v>
      </c>
      <c r="L25" s="6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0</v>
      </c>
      <c r="F26" s="7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0</v>
      </c>
      <c r="L26" s="6">
        <f t="shared" si="0"/>
        <v>0</v>
      </c>
    </row>
    <row r="27" spans="1:12" ht="13.15" customHeight="1">
      <c r="A27" s="2">
        <v>23</v>
      </c>
      <c r="B27" s="9" t="s">
        <v>56</v>
      </c>
      <c r="C27" s="8" t="s">
        <v>9</v>
      </c>
      <c r="D27" s="8"/>
      <c r="E27" s="26">
        <v>5.75</v>
      </c>
      <c r="F27" s="27">
        <f t="shared" si="1"/>
        <v>0</v>
      </c>
      <c r="G27" s="2">
        <v>61</v>
      </c>
      <c r="H27" s="4" t="s">
        <v>244</v>
      </c>
      <c r="I27" s="2" t="s">
        <v>9</v>
      </c>
      <c r="J27" s="4"/>
      <c r="K27" s="2">
        <v>3.7</v>
      </c>
      <c r="L27" s="6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0</v>
      </c>
      <c r="F28" s="7">
        <f t="shared" si="1"/>
        <v>0</v>
      </c>
      <c r="G28" s="2">
        <v>62</v>
      </c>
      <c r="H28" s="4" t="s">
        <v>245</v>
      </c>
      <c r="I28" s="2" t="s">
        <v>9</v>
      </c>
      <c r="J28" s="4"/>
      <c r="K28" s="2">
        <v>7.35</v>
      </c>
      <c r="L28" s="6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0</v>
      </c>
      <c r="F29" s="7">
        <f t="shared" si="1"/>
        <v>0</v>
      </c>
      <c r="G29" s="2">
        <v>63</v>
      </c>
      <c r="H29" s="4" t="s">
        <v>63</v>
      </c>
      <c r="I29" s="2" t="s">
        <v>9</v>
      </c>
      <c r="J29" s="4"/>
      <c r="K29" s="2">
        <v>7.65</v>
      </c>
      <c r="L29" s="6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0</v>
      </c>
      <c r="F30" s="6">
        <f t="shared" si="1"/>
        <v>0</v>
      </c>
      <c r="G30" s="2">
        <v>64</v>
      </c>
      <c r="H30" s="4" t="s">
        <v>25</v>
      </c>
      <c r="I30" s="2" t="s">
        <v>9</v>
      </c>
      <c r="J30" s="4"/>
      <c r="K30" s="2">
        <v>4.2</v>
      </c>
      <c r="L30" s="6">
        <f t="shared" si="0"/>
        <v>0</v>
      </c>
    </row>
    <row r="31" spans="1:12" ht="13.15" customHeight="1">
      <c r="A31" s="2">
        <v>27</v>
      </c>
      <c r="B31" s="9" t="s">
        <v>102</v>
      </c>
      <c r="C31" s="8" t="s">
        <v>9</v>
      </c>
      <c r="D31" s="8"/>
      <c r="E31" s="26">
        <v>6.9</v>
      </c>
      <c r="F31" s="28">
        <f t="shared" si="1"/>
        <v>0</v>
      </c>
      <c r="G31" s="2">
        <v>65</v>
      </c>
      <c r="H31" s="4"/>
      <c r="I31" s="2" t="s">
        <v>9</v>
      </c>
      <c r="J31" s="4"/>
      <c r="K31" s="2"/>
      <c r="L31" s="6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8.26</v>
      </c>
      <c r="F32" s="7">
        <f t="shared" si="1"/>
        <v>0</v>
      </c>
      <c r="G32" s="2">
        <v>66</v>
      </c>
      <c r="H32" s="4"/>
      <c r="I32" s="2" t="s">
        <v>9</v>
      </c>
      <c r="J32" s="4"/>
      <c r="K32" s="2"/>
      <c r="L32" s="6">
        <f t="shared" si="0"/>
        <v>0</v>
      </c>
    </row>
    <row r="33" spans="1:13" ht="13.15" customHeight="1">
      <c r="A33" s="2">
        <v>29</v>
      </c>
      <c r="B33" s="4" t="s">
        <v>68</v>
      </c>
      <c r="C33" s="2" t="s">
        <v>9</v>
      </c>
      <c r="D33" s="2"/>
      <c r="E33" s="5">
        <v>6.4</v>
      </c>
      <c r="F33" s="6">
        <f t="shared" si="1"/>
        <v>0</v>
      </c>
      <c r="G33" s="2">
        <v>67</v>
      </c>
      <c r="H33" s="4"/>
      <c r="I33" s="2" t="s">
        <v>9</v>
      </c>
      <c r="J33" s="4"/>
      <c r="K33" s="2"/>
      <c r="L33" s="6">
        <f t="shared" si="0"/>
        <v>0</v>
      </c>
    </row>
    <row r="34" spans="1:13" ht="13.15" customHeight="1">
      <c r="A34" s="2">
        <v>30</v>
      </c>
      <c r="B34" s="4" t="s">
        <v>70</v>
      </c>
      <c r="C34" s="2" t="s">
        <v>9</v>
      </c>
      <c r="D34" s="2"/>
      <c r="E34" s="5">
        <v>0</v>
      </c>
      <c r="F34" s="6">
        <f t="shared" si="1"/>
        <v>0</v>
      </c>
      <c r="G34" s="2">
        <v>68</v>
      </c>
      <c r="H34" s="4"/>
      <c r="I34" s="2" t="s">
        <v>9</v>
      </c>
      <c r="J34" s="4"/>
      <c r="K34" s="2"/>
      <c r="L34" s="6">
        <f t="shared" si="0"/>
        <v>0</v>
      </c>
      <c r="M34" s="10"/>
    </row>
    <row r="35" spans="1:13" ht="13.15" customHeight="1">
      <c r="A35" s="2">
        <v>31</v>
      </c>
      <c r="B35" s="4" t="s">
        <v>72</v>
      </c>
      <c r="C35" s="2" t="s">
        <v>9</v>
      </c>
      <c r="D35" s="2"/>
      <c r="E35" s="5">
        <v>6.5</v>
      </c>
      <c r="F35" s="7">
        <f t="shared" si="1"/>
        <v>0</v>
      </c>
      <c r="G35" s="2">
        <v>69</v>
      </c>
      <c r="H35" s="4"/>
      <c r="I35" s="2" t="s">
        <v>9</v>
      </c>
      <c r="J35" s="4"/>
      <c r="K35" s="2"/>
      <c r="L35" s="6">
        <f t="shared" si="0"/>
        <v>0</v>
      </c>
    </row>
    <row r="36" spans="1:13" ht="13.15" customHeight="1">
      <c r="A36" s="2">
        <v>32</v>
      </c>
      <c r="B36" s="4" t="s">
        <v>74</v>
      </c>
      <c r="C36" s="2" t="s">
        <v>9</v>
      </c>
      <c r="D36" s="2"/>
      <c r="E36" s="2">
        <v>0</v>
      </c>
      <c r="F36" s="7">
        <f t="shared" si="1"/>
        <v>0</v>
      </c>
      <c r="G36" s="2">
        <v>70</v>
      </c>
      <c r="H36" s="4"/>
      <c r="I36" s="2" t="s">
        <v>9</v>
      </c>
      <c r="J36" s="4"/>
      <c r="K36" s="2"/>
      <c r="L36" s="6">
        <f t="shared" si="0"/>
        <v>0</v>
      </c>
    </row>
    <row r="37" spans="1:13" ht="13.15" customHeight="1">
      <c r="A37" s="2">
        <v>33</v>
      </c>
      <c r="B37" s="4" t="s">
        <v>76</v>
      </c>
      <c r="C37" s="2" t="s">
        <v>9</v>
      </c>
      <c r="D37" s="2"/>
      <c r="E37" s="2">
        <v>0</v>
      </c>
      <c r="F37" s="7">
        <f t="shared" si="1"/>
        <v>0</v>
      </c>
      <c r="G37" s="2">
        <v>71</v>
      </c>
      <c r="H37" s="4"/>
      <c r="I37" s="2" t="s">
        <v>9</v>
      </c>
      <c r="J37" s="4"/>
      <c r="K37" s="2"/>
      <c r="L37" s="6">
        <f t="shared" si="0"/>
        <v>0</v>
      </c>
      <c r="M37" s="11"/>
    </row>
    <row r="38" spans="1:13" ht="13.15" customHeight="1">
      <c r="A38" s="2">
        <v>34</v>
      </c>
      <c r="B38" s="4" t="s">
        <v>78</v>
      </c>
      <c r="C38" s="2" t="s">
        <v>9</v>
      </c>
      <c r="D38" s="2"/>
      <c r="E38" s="2">
        <v>0</v>
      </c>
      <c r="F38" s="7">
        <f t="shared" si="1"/>
        <v>0</v>
      </c>
      <c r="G38" s="2">
        <v>72</v>
      </c>
      <c r="H38" s="4"/>
      <c r="I38" s="2" t="s">
        <v>9</v>
      </c>
      <c r="J38" s="4"/>
      <c r="K38" s="2"/>
      <c r="L38" s="6">
        <f t="shared" si="0"/>
        <v>0</v>
      </c>
    </row>
    <row r="39" spans="1:13" ht="13.15" customHeight="1">
      <c r="A39" s="2">
        <v>35</v>
      </c>
      <c r="B39" s="4" t="s">
        <v>80</v>
      </c>
      <c r="C39" s="2" t="s">
        <v>9</v>
      </c>
      <c r="D39" s="2"/>
      <c r="E39" s="2">
        <v>0</v>
      </c>
      <c r="F39" s="7">
        <f t="shared" si="1"/>
        <v>0</v>
      </c>
      <c r="G39" s="2">
        <v>73</v>
      </c>
      <c r="H39" s="4"/>
      <c r="I39" s="2" t="s">
        <v>9</v>
      </c>
      <c r="J39" s="4"/>
      <c r="K39" s="2"/>
      <c r="L39" s="6">
        <f t="shared" si="0"/>
        <v>0</v>
      </c>
    </row>
    <row r="40" spans="1:13" ht="13.15" customHeight="1">
      <c r="I40" s="33" t="s">
        <v>82</v>
      </c>
      <c r="J40" s="34"/>
      <c r="K40" s="34"/>
      <c r="L40" s="23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3191.04</v>
      </c>
    </row>
    <row r="42" spans="1:13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>
  <dimension ref="A1:M42"/>
  <sheetViews>
    <sheetView workbookViewId="0">
      <selection activeCell="D5" sqref="D5"/>
    </sheetView>
  </sheetViews>
  <sheetFormatPr defaultRowHeight="13.15" customHeight="1"/>
  <cols>
    <col min="1" max="1" width="4.5703125" style="17" customWidth="1"/>
    <col min="2" max="2" width="28.28515625" customWidth="1"/>
    <col min="3" max="3" width="6.140625" customWidth="1"/>
    <col min="4" max="4" width="7.28515625" customWidth="1"/>
    <col min="5" max="5" width="8.7109375" customWidth="1"/>
    <col min="6" max="6" width="8.28515625" customWidth="1"/>
    <col min="7" max="7" width="4.85546875" style="17" customWidth="1"/>
    <col min="8" max="8" width="23.28515625" customWidth="1"/>
    <col min="9" max="9" width="5.85546875" customWidth="1"/>
    <col min="10" max="10" width="7.140625" customWidth="1"/>
    <col min="11" max="11" width="8.28515625" customWidth="1"/>
    <col min="12" max="12" width="8.7109375" customWidth="1"/>
  </cols>
  <sheetData>
    <row r="1" spans="1:12" ht="13.15" customHeight="1">
      <c r="A1" s="30"/>
      <c r="B1" s="30"/>
      <c r="C1" s="30"/>
      <c r="D1" s="30" t="s">
        <v>235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 t="s">
        <v>236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1.45</v>
      </c>
      <c r="L2" s="6">
        <f>J2*K2</f>
        <v>0</v>
      </c>
    </row>
    <row r="3" spans="1:12" ht="13.15" customHeight="1">
      <c r="A3" s="32" t="s">
        <v>237</v>
      </c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0</v>
      </c>
      <c r="L3" s="6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0</v>
      </c>
      <c r="L4" s="6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0</v>
      </c>
      <c r="F5" s="7">
        <f>D5*E5</f>
        <v>0</v>
      </c>
      <c r="G5" s="2">
        <v>39</v>
      </c>
      <c r="H5" s="4" t="s">
        <v>13</v>
      </c>
      <c r="I5" s="2" t="s">
        <v>9</v>
      </c>
      <c r="J5" s="2"/>
      <c r="K5" s="5">
        <v>2.1</v>
      </c>
      <c r="L5" s="6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</v>
      </c>
      <c r="F6" s="7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8.8000000000000007</v>
      </c>
      <c r="L6" s="6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0</v>
      </c>
      <c r="F7" s="7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0</v>
      </c>
      <c r="L7" s="6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7.85</v>
      </c>
      <c r="F8" s="7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0</v>
      </c>
      <c r="L8" s="6">
        <f t="shared" si="0"/>
        <v>0</v>
      </c>
    </row>
    <row r="9" spans="1:12" ht="13.15" customHeight="1">
      <c r="A9" s="2">
        <v>5</v>
      </c>
      <c r="B9" s="9" t="s">
        <v>20</v>
      </c>
      <c r="C9" s="8" t="s">
        <v>9</v>
      </c>
      <c r="D9" s="8"/>
      <c r="E9" s="26">
        <v>5.76</v>
      </c>
      <c r="F9" s="27">
        <f t="shared" si="1"/>
        <v>0</v>
      </c>
      <c r="G9" s="2">
        <v>43</v>
      </c>
      <c r="H9" s="4" t="s">
        <v>21</v>
      </c>
      <c r="I9" s="2" t="s">
        <v>9</v>
      </c>
      <c r="J9" s="2"/>
      <c r="K9" s="5">
        <v>0</v>
      </c>
      <c r="L9" s="6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0</v>
      </c>
      <c r="F10" s="7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1.1499999999999999</v>
      </c>
      <c r="L10" s="6">
        <f t="shared" si="0"/>
        <v>0</v>
      </c>
    </row>
    <row r="11" spans="1:12" ht="13.15" customHeight="1">
      <c r="A11" s="2">
        <v>7</v>
      </c>
      <c r="B11" s="4" t="s">
        <v>24</v>
      </c>
      <c r="C11" s="2" t="s">
        <v>9</v>
      </c>
      <c r="D11" s="2"/>
      <c r="E11" s="5">
        <v>6</v>
      </c>
      <c r="F11" s="7">
        <f t="shared" si="1"/>
        <v>0</v>
      </c>
      <c r="G11" s="2">
        <v>45</v>
      </c>
      <c r="H11" s="4" t="s">
        <v>238</v>
      </c>
      <c r="I11" s="2" t="s">
        <v>9</v>
      </c>
      <c r="J11" s="2"/>
      <c r="K11" s="5">
        <v>0</v>
      </c>
      <c r="L11" s="6">
        <f t="shared" si="0"/>
        <v>0</v>
      </c>
    </row>
    <row r="12" spans="1:12" ht="13.15" customHeight="1">
      <c r="A12" s="2">
        <v>8</v>
      </c>
      <c r="B12" s="4" t="s">
        <v>239</v>
      </c>
      <c r="C12" s="2" t="s">
        <v>9</v>
      </c>
      <c r="D12" s="2"/>
      <c r="E12" s="5">
        <v>0</v>
      </c>
      <c r="F12" s="7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0</v>
      </c>
      <c r="L12" s="6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0</v>
      </c>
      <c r="F13" s="7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0</v>
      </c>
      <c r="L13" s="6">
        <f t="shared" si="0"/>
        <v>0</v>
      </c>
    </row>
    <row r="14" spans="1:12" ht="13.15" customHeight="1">
      <c r="A14" s="2">
        <v>3</v>
      </c>
      <c r="B14" s="4" t="s">
        <v>30</v>
      </c>
      <c r="C14" s="2" t="s">
        <v>9</v>
      </c>
      <c r="D14" s="2"/>
      <c r="E14" s="5">
        <v>0</v>
      </c>
      <c r="F14" s="7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0</v>
      </c>
      <c r="L14" s="6">
        <f t="shared" si="0"/>
        <v>0</v>
      </c>
    </row>
    <row r="15" spans="1:12" ht="13.15" customHeight="1">
      <c r="A15" s="2">
        <v>11</v>
      </c>
      <c r="B15" s="9" t="s">
        <v>32</v>
      </c>
      <c r="C15" s="8" t="s">
        <v>9</v>
      </c>
      <c r="D15" s="8"/>
      <c r="E15" s="26">
        <v>6.5</v>
      </c>
      <c r="F15" s="27">
        <f t="shared" si="1"/>
        <v>0</v>
      </c>
      <c r="G15" s="2">
        <v>49</v>
      </c>
      <c r="H15" s="4" t="s">
        <v>240</v>
      </c>
      <c r="I15" s="2" t="s">
        <v>9</v>
      </c>
      <c r="J15" s="2"/>
      <c r="K15" s="5">
        <v>9.09</v>
      </c>
      <c r="L15" s="6">
        <f t="shared" si="0"/>
        <v>0</v>
      </c>
    </row>
    <row r="16" spans="1:12" ht="13.15" customHeight="1">
      <c r="A16" s="2">
        <v>12</v>
      </c>
      <c r="B16" s="9" t="s">
        <v>241</v>
      </c>
      <c r="C16" s="8" t="s">
        <v>9</v>
      </c>
      <c r="D16" s="8"/>
      <c r="E16" s="26">
        <v>6.5</v>
      </c>
      <c r="F16" s="27">
        <f t="shared" si="1"/>
        <v>0</v>
      </c>
      <c r="G16" s="2">
        <v>50</v>
      </c>
      <c r="H16" s="4" t="s">
        <v>92</v>
      </c>
      <c r="I16" s="2" t="s">
        <v>9</v>
      </c>
      <c r="J16" s="2"/>
      <c r="K16" s="5">
        <v>7.45</v>
      </c>
      <c r="L16" s="6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0</v>
      </c>
      <c r="F17" s="7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0</v>
      </c>
      <c r="L17" s="6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0</v>
      </c>
      <c r="F18" s="7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3.2</v>
      </c>
      <c r="L18" s="6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0</v>
      </c>
      <c r="F19" s="7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0</v>
      </c>
      <c r="L19" s="6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0</v>
      </c>
      <c r="F20" s="7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0</v>
      </c>
      <c r="L20" s="6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0</v>
      </c>
      <c r="F21" s="7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0</v>
      </c>
      <c r="L21" s="6">
        <f t="shared" si="0"/>
        <v>0</v>
      </c>
    </row>
    <row r="22" spans="1:12" ht="13.15" customHeight="1">
      <c r="A22" s="2">
        <v>18</v>
      </c>
      <c r="B22" s="9" t="s">
        <v>46</v>
      </c>
      <c r="C22" s="8" t="s">
        <v>9</v>
      </c>
      <c r="D22" s="8"/>
      <c r="E22" s="26">
        <v>0</v>
      </c>
      <c r="F22" s="27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20.65</v>
      </c>
      <c r="L22" s="6">
        <f t="shared" si="0"/>
        <v>0</v>
      </c>
    </row>
    <row r="23" spans="1:12" ht="13.15" customHeight="1">
      <c r="A23" s="2">
        <v>19</v>
      </c>
      <c r="B23" s="9" t="s">
        <v>48</v>
      </c>
      <c r="C23" s="8" t="s">
        <v>9</v>
      </c>
      <c r="D23" s="8"/>
      <c r="E23" s="26">
        <v>7.75</v>
      </c>
      <c r="F23" s="27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14</v>
      </c>
      <c r="L23" s="6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0</v>
      </c>
      <c r="F24" s="7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0</v>
      </c>
      <c r="L24" s="6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7.9</v>
      </c>
      <c r="F25" s="7">
        <f t="shared" si="1"/>
        <v>0</v>
      </c>
      <c r="G25" s="2">
        <v>59</v>
      </c>
      <c r="H25" s="4" t="s">
        <v>243</v>
      </c>
      <c r="I25" s="2" t="s">
        <v>9</v>
      </c>
      <c r="J25" s="4"/>
      <c r="K25" s="2">
        <v>0</v>
      </c>
      <c r="L25" s="6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0</v>
      </c>
      <c r="F26" s="7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0</v>
      </c>
      <c r="L26" s="6">
        <f t="shared" si="0"/>
        <v>0</v>
      </c>
    </row>
    <row r="27" spans="1:12" ht="13.15" customHeight="1">
      <c r="A27" s="2">
        <v>23</v>
      </c>
      <c r="B27" s="9" t="s">
        <v>56</v>
      </c>
      <c r="C27" s="8" t="s">
        <v>9</v>
      </c>
      <c r="D27" s="8"/>
      <c r="E27" s="26">
        <v>5.75</v>
      </c>
      <c r="F27" s="27">
        <f t="shared" si="1"/>
        <v>0</v>
      </c>
      <c r="G27" s="2">
        <v>61</v>
      </c>
      <c r="H27" s="4" t="s">
        <v>244</v>
      </c>
      <c r="I27" s="2" t="s">
        <v>9</v>
      </c>
      <c r="J27" s="4"/>
      <c r="K27" s="2">
        <v>3.7</v>
      </c>
      <c r="L27" s="6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0</v>
      </c>
      <c r="F28" s="7">
        <f t="shared" si="1"/>
        <v>0</v>
      </c>
      <c r="G28" s="2">
        <v>62</v>
      </c>
      <c r="H28" s="4" t="s">
        <v>245</v>
      </c>
      <c r="I28" s="2" t="s">
        <v>9</v>
      </c>
      <c r="J28" s="4"/>
      <c r="K28" s="2">
        <v>7.35</v>
      </c>
      <c r="L28" s="6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0</v>
      </c>
      <c r="F29" s="7">
        <f t="shared" si="1"/>
        <v>0</v>
      </c>
      <c r="G29" s="2">
        <v>63</v>
      </c>
      <c r="H29" s="4" t="s">
        <v>63</v>
      </c>
      <c r="I29" s="2" t="s">
        <v>9</v>
      </c>
      <c r="J29" s="4"/>
      <c r="K29" s="2">
        <v>7.65</v>
      </c>
      <c r="L29" s="6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0</v>
      </c>
      <c r="F30" s="6">
        <f t="shared" si="1"/>
        <v>0</v>
      </c>
      <c r="G30" s="2">
        <v>64</v>
      </c>
      <c r="H30" s="4" t="s">
        <v>25</v>
      </c>
      <c r="I30" s="2" t="s">
        <v>9</v>
      </c>
      <c r="J30" s="4"/>
      <c r="K30" s="2">
        <v>4.2</v>
      </c>
      <c r="L30" s="6">
        <f t="shared" si="0"/>
        <v>0</v>
      </c>
    </row>
    <row r="31" spans="1:12" ht="13.15" customHeight="1">
      <c r="A31" s="2">
        <v>27</v>
      </c>
      <c r="B31" s="9" t="s">
        <v>102</v>
      </c>
      <c r="C31" s="8" t="s">
        <v>9</v>
      </c>
      <c r="D31" s="8"/>
      <c r="E31" s="26">
        <v>6.9</v>
      </c>
      <c r="F31" s="28">
        <f t="shared" si="1"/>
        <v>0</v>
      </c>
      <c r="G31" s="2">
        <v>65</v>
      </c>
      <c r="H31" s="4"/>
      <c r="I31" s="2" t="s">
        <v>9</v>
      </c>
      <c r="J31" s="4"/>
      <c r="K31" s="2"/>
      <c r="L31" s="6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8.26</v>
      </c>
      <c r="F32" s="7">
        <f t="shared" si="1"/>
        <v>0</v>
      </c>
      <c r="G32" s="2">
        <v>66</v>
      </c>
      <c r="H32" s="4"/>
      <c r="I32" s="2" t="s">
        <v>9</v>
      </c>
      <c r="J32" s="4"/>
      <c r="K32" s="2"/>
      <c r="L32" s="6">
        <f t="shared" si="0"/>
        <v>0</v>
      </c>
    </row>
    <row r="33" spans="1:13" ht="13.15" customHeight="1">
      <c r="A33" s="2">
        <v>29</v>
      </c>
      <c r="B33" s="4" t="s">
        <v>68</v>
      </c>
      <c r="C33" s="2" t="s">
        <v>9</v>
      </c>
      <c r="D33" s="2"/>
      <c r="E33" s="5">
        <v>6.4</v>
      </c>
      <c r="F33" s="6">
        <f t="shared" si="1"/>
        <v>0</v>
      </c>
      <c r="G33" s="2">
        <v>67</v>
      </c>
      <c r="H33" s="4"/>
      <c r="I33" s="2" t="s">
        <v>9</v>
      </c>
      <c r="J33" s="4"/>
      <c r="K33" s="2"/>
      <c r="L33" s="6">
        <f t="shared" si="0"/>
        <v>0</v>
      </c>
    </row>
    <row r="34" spans="1:13" ht="13.15" customHeight="1">
      <c r="A34" s="2">
        <v>30</v>
      </c>
      <c r="B34" s="4" t="s">
        <v>70</v>
      </c>
      <c r="C34" s="2" t="s">
        <v>9</v>
      </c>
      <c r="D34" s="2"/>
      <c r="E34" s="5">
        <v>0</v>
      </c>
      <c r="F34" s="6">
        <f t="shared" si="1"/>
        <v>0</v>
      </c>
      <c r="G34" s="2">
        <v>68</v>
      </c>
      <c r="H34" s="4"/>
      <c r="I34" s="2" t="s">
        <v>9</v>
      </c>
      <c r="J34" s="4"/>
      <c r="K34" s="2"/>
      <c r="L34" s="6">
        <f t="shared" si="0"/>
        <v>0</v>
      </c>
      <c r="M34" s="10"/>
    </row>
    <row r="35" spans="1:13" ht="13.15" customHeight="1">
      <c r="A35" s="2">
        <v>31</v>
      </c>
      <c r="B35" s="4" t="s">
        <v>72</v>
      </c>
      <c r="C35" s="2" t="s">
        <v>9</v>
      </c>
      <c r="D35" s="2"/>
      <c r="E35" s="5">
        <v>6.5</v>
      </c>
      <c r="F35" s="7">
        <f t="shared" si="1"/>
        <v>0</v>
      </c>
      <c r="G35" s="2">
        <v>69</v>
      </c>
      <c r="H35" s="4"/>
      <c r="I35" s="2" t="s">
        <v>9</v>
      </c>
      <c r="J35" s="4"/>
      <c r="K35" s="2"/>
      <c r="L35" s="6">
        <f t="shared" si="0"/>
        <v>0</v>
      </c>
    </row>
    <row r="36" spans="1:13" ht="13.15" customHeight="1">
      <c r="A36" s="2">
        <v>32</v>
      </c>
      <c r="B36" s="4" t="s">
        <v>74</v>
      </c>
      <c r="C36" s="2" t="s">
        <v>9</v>
      </c>
      <c r="D36" s="2"/>
      <c r="E36" s="2">
        <v>0</v>
      </c>
      <c r="F36" s="7">
        <f t="shared" si="1"/>
        <v>0</v>
      </c>
      <c r="G36" s="2">
        <v>70</v>
      </c>
      <c r="H36" s="4"/>
      <c r="I36" s="2" t="s">
        <v>9</v>
      </c>
      <c r="J36" s="4"/>
      <c r="K36" s="2"/>
      <c r="L36" s="6">
        <f t="shared" si="0"/>
        <v>0</v>
      </c>
    </row>
    <row r="37" spans="1:13" ht="13.15" customHeight="1">
      <c r="A37" s="2">
        <v>33</v>
      </c>
      <c r="B37" s="4" t="s">
        <v>76</v>
      </c>
      <c r="C37" s="2" t="s">
        <v>9</v>
      </c>
      <c r="D37" s="2"/>
      <c r="E37" s="2">
        <v>0</v>
      </c>
      <c r="F37" s="7">
        <f t="shared" si="1"/>
        <v>0</v>
      </c>
      <c r="G37" s="2">
        <v>71</v>
      </c>
      <c r="H37" s="4"/>
      <c r="I37" s="2" t="s">
        <v>9</v>
      </c>
      <c r="J37" s="4"/>
      <c r="K37" s="2"/>
      <c r="L37" s="6">
        <f t="shared" si="0"/>
        <v>0</v>
      </c>
      <c r="M37" s="11"/>
    </row>
    <row r="38" spans="1:13" ht="13.15" customHeight="1">
      <c r="A38" s="2">
        <v>34</v>
      </c>
      <c r="B38" s="4" t="s">
        <v>78</v>
      </c>
      <c r="C38" s="2" t="s">
        <v>9</v>
      </c>
      <c r="D38" s="2"/>
      <c r="E38" s="2">
        <v>0</v>
      </c>
      <c r="F38" s="7">
        <f t="shared" si="1"/>
        <v>0</v>
      </c>
      <c r="G38" s="2">
        <v>72</v>
      </c>
      <c r="H38" s="4"/>
      <c r="I38" s="2" t="s">
        <v>9</v>
      </c>
      <c r="J38" s="4"/>
      <c r="K38" s="2"/>
      <c r="L38" s="6">
        <f t="shared" si="0"/>
        <v>0</v>
      </c>
    </row>
    <row r="39" spans="1:13" ht="13.15" customHeight="1">
      <c r="A39" s="2">
        <v>35</v>
      </c>
      <c r="B39" s="4" t="s">
        <v>80</v>
      </c>
      <c r="C39" s="2" t="s">
        <v>9</v>
      </c>
      <c r="D39" s="2"/>
      <c r="E39" s="2">
        <v>0</v>
      </c>
      <c r="F39" s="7">
        <f t="shared" si="1"/>
        <v>0</v>
      </c>
      <c r="G39" s="2">
        <v>73</v>
      </c>
      <c r="H39" s="4"/>
      <c r="I39" s="2" t="s">
        <v>9</v>
      </c>
      <c r="J39" s="4"/>
      <c r="K39" s="2"/>
      <c r="L39" s="6">
        <f t="shared" si="0"/>
        <v>0</v>
      </c>
    </row>
    <row r="40" spans="1:13" ht="13.15" customHeight="1">
      <c r="I40" s="33" t="s">
        <v>82</v>
      </c>
      <c r="J40" s="34"/>
      <c r="K40" s="34"/>
      <c r="L40" s="23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0</v>
      </c>
    </row>
    <row r="42" spans="1:13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>
  <dimension ref="A1:M42"/>
  <sheetViews>
    <sheetView workbookViewId="0">
      <selection activeCell="D19" sqref="D19"/>
    </sheetView>
  </sheetViews>
  <sheetFormatPr defaultRowHeight="13.15" customHeight="1"/>
  <cols>
    <col min="1" max="1" width="4.5703125" style="17" customWidth="1"/>
    <col min="2" max="2" width="28.28515625" customWidth="1"/>
    <col min="3" max="3" width="6.140625" customWidth="1"/>
    <col min="4" max="4" width="7.28515625" customWidth="1"/>
    <col min="5" max="5" width="8.7109375" customWidth="1"/>
    <col min="6" max="6" width="8.28515625" customWidth="1"/>
    <col min="7" max="7" width="4.85546875" style="17" customWidth="1"/>
    <col min="8" max="8" width="23.28515625" customWidth="1"/>
    <col min="9" max="9" width="5.85546875" customWidth="1"/>
    <col min="10" max="10" width="7.140625" customWidth="1"/>
    <col min="11" max="11" width="8.28515625" customWidth="1"/>
    <col min="12" max="12" width="8.7109375" customWidth="1"/>
  </cols>
  <sheetData>
    <row r="1" spans="1:12" ht="13.15" customHeight="1">
      <c r="A1" s="30"/>
      <c r="B1" s="30"/>
      <c r="C1" s="30"/>
      <c r="D1" s="30" t="s">
        <v>235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 t="s">
        <v>236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1.45</v>
      </c>
      <c r="L2" s="6">
        <f>J2*K2</f>
        <v>0</v>
      </c>
    </row>
    <row r="3" spans="1:12" ht="13.15" customHeight="1">
      <c r="A3" s="32" t="s">
        <v>237</v>
      </c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0</v>
      </c>
      <c r="L3" s="6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0</v>
      </c>
      <c r="L4" s="6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0</v>
      </c>
      <c r="F5" s="7">
        <f>D5*E5</f>
        <v>0</v>
      </c>
      <c r="G5" s="2">
        <v>39</v>
      </c>
      <c r="H5" s="4" t="s">
        <v>13</v>
      </c>
      <c r="I5" s="2" t="s">
        <v>9</v>
      </c>
      <c r="J5" s="2"/>
      <c r="K5" s="5">
        <v>2.1</v>
      </c>
      <c r="L5" s="6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</v>
      </c>
      <c r="F6" s="7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8.8000000000000007</v>
      </c>
      <c r="L6" s="6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0</v>
      </c>
      <c r="F7" s="7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0</v>
      </c>
      <c r="L7" s="6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7.85</v>
      </c>
      <c r="F8" s="7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0</v>
      </c>
      <c r="L8" s="6">
        <f t="shared" si="0"/>
        <v>0</v>
      </c>
    </row>
    <row r="9" spans="1:12" ht="13.15" customHeight="1">
      <c r="A9" s="2">
        <v>5</v>
      </c>
      <c r="B9" s="9" t="s">
        <v>20</v>
      </c>
      <c r="C9" s="8" t="s">
        <v>9</v>
      </c>
      <c r="D9" s="8"/>
      <c r="E9" s="26">
        <v>5.76</v>
      </c>
      <c r="F9" s="27">
        <f t="shared" si="1"/>
        <v>0</v>
      </c>
      <c r="G9" s="2">
        <v>43</v>
      </c>
      <c r="H9" s="4" t="s">
        <v>21</v>
      </c>
      <c r="I9" s="2" t="s">
        <v>9</v>
      </c>
      <c r="J9" s="2"/>
      <c r="K9" s="5">
        <v>0</v>
      </c>
      <c r="L9" s="6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0</v>
      </c>
      <c r="F10" s="7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1.1499999999999999</v>
      </c>
      <c r="L10" s="6">
        <f t="shared" si="0"/>
        <v>0</v>
      </c>
    </row>
    <row r="11" spans="1:12" ht="13.15" customHeight="1">
      <c r="A11" s="2">
        <v>7</v>
      </c>
      <c r="B11" s="4" t="s">
        <v>24</v>
      </c>
      <c r="C11" s="2" t="s">
        <v>9</v>
      </c>
      <c r="D11" s="2"/>
      <c r="E11" s="5">
        <v>6</v>
      </c>
      <c r="F11" s="7">
        <f t="shared" si="1"/>
        <v>0</v>
      </c>
      <c r="G11" s="2">
        <v>45</v>
      </c>
      <c r="H11" s="4" t="s">
        <v>238</v>
      </c>
      <c r="I11" s="2" t="s">
        <v>9</v>
      </c>
      <c r="J11" s="2"/>
      <c r="K11" s="5">
        <v>0</v>
      </c>
      <c r="L11" s="6">
        <f t="shared" si="0"/>
        <v>0</v>
      </c>
    </row>
    <row r="12" spans="1:12" ht="13.15" customHeight="1">
      <c r="A12" s="2">
        <v>8</v>
      </c>
      <c r="B12" s="4" t="s">
        <v>239</v>
      </c>
      <c r="C12" s="2" t="s">
        <v>9</v>
      </c>
      <c r="D12" s="2"/>
      <c r="E12" s="5">
        <v>0</v>
      </c>
      <c r="F12" s="7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0</v>
      </c>
      <c r="L12" s="6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0</v>
      </c>
      <c r="F13" s="7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0</v>
      </c>
      <c r="L13" s="6">
        <f t="shared" si="0"/>
        <v>0</v>
      </c>
    </row>
    <row r="14" spans="1:12" ht="13.15" customHeight="1">
      <c r="A14" s="2">
        <v>3</v>
      </c>
      <c r="B14" s="4" t="s">
        <v>30</v>
      </c>
      <c r="C14" s="2" t="s">
        <v>9</v>
      </c>
      <c r="D14" s="2"/>
      <c r="E14" s="5">
        <v>0</v>
      </c>
      <c r="F14" s="7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0</v>
      </c>
      <c r="L14" s="6">
        <f t="shared" si="0"/>
        <v>0</v>
      </c>
    </row>
    <row r="15" spans="1:12" ht="13.15" customHeight="1">
      <c r="A15" s="2">
        <v>11</v>
      </c>
      <c r="B15" s="9" t="s">
        <v>32</v>
      </c>
      <c r="C15" s="8" t="s">
        <v>9</v>
      </c>
      <c r="D15" s="8"/>
      <c r="E15" s="26">
        <v>6.5</v>
      </c>
      <c r="F15" s="27">
        <f t="shared" si="1"/>
        <v>0</v>
      </c>
      <c r="G15" s="2">
        <v>49</v>
      </c>
      <c r="H15" s="4" t="s">
        <v>240</v>
      </c>
      <c r="I15" s="2" t="s">
        <v>9</v>
      </c>
      <c r="J15" s="2"/>
      <c r="K15" s="5">
        <v>9.09</v>
      </c>
      <c r="L15" s="6">
        <f t="shared" si="0"/>
        <v>0</v>
      </c>
    </row>
    <row r="16" spans="1:12" ht="13.15" customHeight="1">
      <c r="A16" s="2">
        <v>12</v>
      </c>
      <c r="B16" s="9" t="s">
        <v>241</v>
      </c>
      <c r="C16" s="8" t="s">
        <v>9</v>
      </c>
      <c r="D16" s="8"/>
      <c r="E16" s="26">
        <v>6.5</v>
      </c>
      <c r="F16" s="27">
        <f t="shared" si="1"/>
        <v>0</v>
      </c>
      <c r="G16" s="2">
        <v>50</v>
      </c>
      <c r="H16" s="4" t="s">
        <v>92</v>
      </c>
      <c r="I16" s="2" t="s">
        <v>9</v>
      </c>
      <c r="J16" s="2"/>
      <c r="K16" s="5">
        <v>7.45</v>
      </c>
      <c r="L16" s="6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0</v>
      </c>
      <c r="F17" s="7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0</v>
      </c>
      <c r="L17" s="6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>
        <v>45</v>
      </c>
      <c r="E18" s="5">
        <v>0</v>
      </c>
      <c r="F18" s="7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3.2</v>
      </c>
      <c r="L18" s="6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0</v>
      </c>
      <c r="F19" s="7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0</v>
      </c>
      <c r="L19" s="6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0</v>
      </c>
      <c r="F20" s="7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0</v>
      </c>
      <c r="L20" s="6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0</v>
      </c>
      <c r="F21" s="7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0</v>
      </c>
      <c r="L21" s="6">
        <f t="shared" si="0"/>
        <v>0</v>
      </c>
    </row>
    <row r="22" spans="1:12" ht="13.15" customHeight="1">
      <c r="A22" s="2">
        <v>18</v>
      </c>
      <c r="B22" s="9" t="s">
        <v>46</v>
      </c>
      <c r="C22" s="8" t="s">
        <v>9</v>
      </c>
      <c r="D22" s="8"/>
      <c r="E22" s="26">
        <v>0</v>
      </c>
      <c r="F22" s="27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20.65</v>
      </c>
      <c r="L22" s="6">
        <f t="shared" si="0"/>
        <v>0</v>
      </c>
    </row>
    <row r="23" spans="1:12" ht="13.15" customHeight="1">
      <c r="A23" s="2">
        <v>19</v>
      </c>
      <c r="B23" s="9" t="s">
        <v>48</v>
      </c>
      <c r="C23" s="8" t="s">
        <v>9</v>
      </c>
      <c r="D23" s="8"/>
      <c r="E23" s="26">
        <v>7.75</v>
      </c>
      <c r="F23" s="27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14</v>
      </c>
      <c r="L23" s="6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0</v>
      </c>
      <c r="F24" s="7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0</v>
      </c>
      <c r="L24" s="6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7.9</v>
      </c>
      <c r="F25" s="7">
        <f t="shared" si="1"/>
        <v>0</v>
      </c>
      <c r="G25" s="2">
        <v>59</v>
      </c>
      <c r="H25" s="4" t="s">
        <v>243</v>
      </c>
      <c r="I25" s="2" t="s">
        <v>9</v>
      </c>
      <c r="J25" s="4"/>
      <c r="K25" s="2">
        <v>0</v>
      </c>
      <c r="L25" s="6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0</v>
      </c>
      <c r="F26" s="7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0</v>
      </c>
      <c r="L26" s="6">
        <f t="shared" si="0"/>
        <v>0</v>
      </c>
    </row>
    <row r="27" spans="1:12" ht="13.15" customHeight="1">
      <c r="A27" s="2">
        <v>23</v>
      </c>
      <c r="B27" s="9" t="s">
        <v>56</v>
      </c>
      <c r="C27" s="8" t="s">
        <v>9</v>
      </c>
      <c r="D27" s="8"/>
      <c r="E27" s="26">
        <v>5.75</v>
      </c>
      <c r="F27" s="27">
        <f t="shared" si="1"/>
        <v>0</v>
      </c>
      <c r="G27" s="2">
        <v>61</v>
      </c>
      <c r="H27" s="4" t="s">
        <v>244</v>
      </c>
      <c r="I27" s="2" t="s">
        <v>9</v>
      </c>
      <c r="J27" s="4"/>
      <c r="K27" s="2">
        <v>3.7</v>
      </c>
      <c r="L27" s="6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0</v>
      </c>
      <c r="F28" s="7">
        <f t="shared" si="1"/>
        <v>0</v>
      </c>
      <c r="G28" s="2">
        <v>62</v>
      </c>
      <c r="H28" s="4" t="s">
        <v>245</v>
      </c>
      <c r="I28" s="2" t="s">
        <v>9</v>
      </c>
      <c r="J28" s="4"/>
      <c r="K28" s="2">
        <v>7.35</v>
      </c>
      <c r="L28" s="6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0</v>
      </c>
      <c r="F29" s="7">
        <f t="shared" si="1"/>
        <v>0</v>
      </c>
      <c r="G29" s="2">
        <v>63</v>
      </c>
      <c r="H29" s="4" t="s">
        <v>63</v>
      </c>
      <c r="I29" s="2" t="s">
        <v>9</v>
      </c>
      <c r="J29" s="4"/>
      <c r="K29" s="2">
        <v>7.65</v>
      </c>
      <c r="L29" s="6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0</v>
      </c>
      <c r="F30" s="6">
        <f t="shared" si="1"/>
        <v>0</v>
      </c>
      <c r="G30" s="2">
        <v>64</v>
      </c>
      <c r="H30" s="4" t="s">
        <v>25</v>
      </c>
      <c r="I30" s="2" t="s">
        <v>9</v>
      </c>
      <c r="J30" s="4"/>
      <c r="K30" s="2">
        <v>4.2</v>
      </c>
      <c r="L30" s="6">
        <f t="shared" si="0"/>
        <v>0</v>
      </c>
    </row>
    <row r="31" spans="1:12" ht="13.15" customHeight="1">
      <c r="A31" s="2">
        <v>27</v>
      </c>
      <c r="B31" s="9" t="s">
        <v>102</v>
      </c>
      <c r="C31" s="8" t="s">
        <v>9</v>
      </c>
      <c r="D31" s="8"/>
      <c r="E31" s="26">
        <v>6.9</v>
      </c>
      <c r="F31" s="28">
        <f t="shared" si="1"/>
        <v>0</v>
      </c>
      <c r="G31" s="2">
        <v>65</v>
      </c>
      <c r="H31" s="4"/>
      <c r="I31" s="2" t="s">
        <v>9</v>
      </c>
      <c r="J31" s="4"/>
      <c r="K31" s="2"/>
      <c r="L31" s="6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8.26</v>
      </c>
      <c r="F32" s="7">
        <f t="shared" si="1"/>
        <v>0</v>
      </c>
      <c r="G32" s="2">
        <v>66</v>
      </c>
      <c r="H32" s="4"/>
      <c r="I32" s="2" t="s">
        <v>9</v>
      </c>
      <c r="J32" s="4"/>
      <c r="K32" s="2"/>
      <c r="L32" s="6">
        <f t="shared" si="0"/>
        <v>0</v>
      </c>
    </row>
    <row r="33" spans="1:13" ht="13.15" customHeight="1">
      <c r="A33" s="2">
        <v>29</v>
      </c>
      <c r="B33" s="4" t="s">
        <v>68</v>
      </c>
      <c r="C33" s="2" t="s">
        <v>9</v>
      </c>
      <c r="D33" s="2"/>
      <c r="E33" s="5">
        <v>6.4</v>
      </c>
      <c r="F33" s="6">
        <f t="shared" si="1"/>
        <v>0</v>
      </c>
      <c r="G33" s="2">
        <v>67</v>
      </c>
      <c r="H33" s="4"/>
      <c r="I33" s="2" t="s">
        <v>9</v>
      </c>
      <c r="J33" s="4"/>
      <c r="K33" s="2"/>
      <c r="L33" s="6">
        <f t="shared" si="0"/>
        <v>0</v>
      </c>
    </row>
    <row r="34" spans="1:13" ht="13.15" customHeight="1">
      <c r="A34" s="2">
        <v>30</v>
      </c>
      <c r="B34" s="4" t="s">
        <v>70</v>
      </c>
      <c r="C34" s="2" t="s">
        <v>9</v>
      </c>
      <c r="D34" s="2"/>
      <c r="E34" s="5">
        <v>0</v>
      </c>
      <c r="F34" s="6">
        <f t="shared" si="1"/>
        <v>0</v>
      </c>
      <c r="G34" s="2">
        <v>68</v>
      </c>
      <c r="H34" s="4"/>
      <c r="I34" s="2" t="s">
        <v>9</v>
      </c>
      <c r="J34" s="4"/>
      <c r="K34" s="2"/>
      <c r="L34" s="6">
        <f t="shared" si="0"/>
        <v>0</v>
      </c>
      <c r="M34" s="10"/>
    </row>
    <row r="35" spans="1:13" ht="13.15" customHeight="1">
      <c r="A35" s="2">
        <v>31</v>
      </c>
      <c r="B35" s="4" t="s">
        <v>72</v>
      </c>
      <c r="C35" s="2" t="s">
        <v>9</v>
      </c>
      <c r="D35" s="2"/>
      <c r="E35" s="5">
        <v>6.5</v>
      </c>
      <c r="F35" s="7">
        <f t="shared" si="1"/>
        <v>0</v>
      </c>
      <c r="G35" s="2">
        <v>69</v>
      </c>
      <c r="H35" s="4"/>
      <c r="I35" s="2" t="s">
        <v>9</v>
      </c>
      <c r="J35" s="4"/>
      <c r="K35" s="2"/>
      <c r="L35" s="6">
        <f t="shared" si="0"/>
        <v>0</v>
      </c>
    </row>
    <row r="36" spans="1:13" ht="13.15" customHeight="1">
      <c r="A36" s="2">
        <v>32</v>
      </c>
      <c r="B36" s="4" t="s">
        <v>74</v>
      </c>
      <c r="C36" s="2" t="s">
        <v>9</v>
      </c>
      <c r="D36" s="2"/>
      <c r="E36" s="2">
        <v>0</v>
      </c>
      <c r="F36" s="7">
        <f t="shared" si="1"/>
        <v>0</v>
      </c>
      <c r="G36" s="2">
        <v>70</v>
      </c>
      <c r="H36" s="4"/>
      <c r="I36" s="2" t="s">
        <v>9</v>
      </c>
      <c r="J36" s="4"/>
      <c r="K36" s="2"/>
      <c r="L36" s="6">
        <f t="shared" si="0"/>
        <v>0</v>
      </c>
    </row>
    <row r="37" spans="1:13" ht="13.15" customHeight="1">
      <c r="A37" s="2">
        <v>33</v>
      </c>
      <c r="B37" s="4" t="s">
        <v>76</v>
      </c>
      <c r="C37" s="2" t="s">
        <v>9</v>
      </c>
      <c r="D37" s="2"/>
      <c r="E37" s="2">
        <v>0</v>
      </c>
      <c r="F37" s="7">
        <f t="shared" si="1"/>
        <v>0</v>
      </c>
      <c r="G37" s="2">
        <v>71</v>
      </c>
      <c r="H37" s="4"/>
      <c r="I37" s="2" t="s">
        <v>9</v>
      </c>
      <c r="J37" s="4"/>
      <c r="K37" s="2"/>
      <c r="L37" s="6">
        <f t="shared" si="0"/>
        <v>0</v>
      </c>
      <c r="M37" s="11"/>
    </row>
    <row r="38" spans="1:13" ht="13.15" customHeight="1">
      <c r="A38" s="2">
        <v>34</v>
      </c>
      <c r="B38" s="4" t="s">
        <v>78</v>
      </c>
      <c r="C38" s="2" t="s">
        <v>9</v>
      </c>
      <c r="D38" s="2"/>
      <c r="E38" s="2">
        <v>0</v>
      </c>
      <c r="F38" s="7">
        <f t="shared" si="1"/>
        <v>0</v>
      </c>
      <c r="G38" s="2">
        <v>72</v>
      </c>
      <c r="H38" s="4"/>
      <c r="I38" s="2" t="s">
        <v>9</v>
      </c>
      <c r="J38" s="4"/>
      <c r="K38" s="2"/>
      <c r="L38" s="6">
        <f t="shared" si="0"/>
        <v>0</v>
      </c>
    </row>
    <row r="39" spans="1:13" ht="13.15" customHeight="1">
      <c r="A39" s="2">
        <v>35</v>
      </c>
      <c r="B39" s="4" t="s">
        <v>80</v>
      </c>
      <c r="C39" s="2" t="s">
        <v>9</v>
      </c>
      <c r="D39" s="2"/>
      <c r="E39" s="2">
        <v>0</v>
      </c>
      <c r="F39" s="7">
        <f t="shared" si="1"/>
        <v>0</v>
      </c>
      <c r="G39" s="2">
        <v>73</v>
      </c>
      <c r="H39" s="4"/>
      <c r="I39" s="2" t="s">
        <v>9</v>
      </c>
      <c r="J39" s="4"/>
      <c r="K39" s="2"/>
      <c r="L39" s="6">
        <f t="shared" si="0"/>
        <v>0</v>
      </c>
    </row>
    <row r="40" spans="1:13" ht="13.15" customHeight="1">
      <c r="I40" s="33" t="s">
        <v>82</v>
      </c>
      <c r="J40" s="34"/>
      <c r="K40" s="34"/>
      <c r="L40" s="23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0</v>
      </c>
    </row>
    <row r="42" spans="1:13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>
  <sheetPr>
    <tabColor rgb="FFFF0000"/>
  </sheetPr>
  <dimension ref="A1:M42"/>
  <sheetViews>
    <sheetView workbookViewId="0">
      <selection activeCell="M36" sqref="M36"/>
    </sheetView>
  </sheetViews>
  <sheetFormatPr defaultRowHeight="13.15" customHeight="1"/>
  <cols>
    <col min="1" max="1" width="4.5703125" style="17" customWidth="1"/>
    <col min="2" max="2" width="28.28515625" customWidth="1"/>
    <col min="3" max="3" width="6.140625" customWidth="1"/>
    <col min="4" max="4" width="7.28515625" customWidth="1"/>
    <col min="5" max="5" width="8.7109375" customWidth="1"/>
    <col min="6" max="6" width="8.28515625" customWidth="1"/>
    <col min="7" max="7" width="4.85546875" style="17" customWidth="1"/>
    <col min="8" max="8" width="23.28515625" customWidth="1"/>
    <col min="9" max="9" width="5.85546875" customWidth="1"/>
    <col min="10" max="10" width="7.140625" customWidth="1"/>
    <col min="11" max="11" width="8.28515625" customWidth="1"/>
    <col min="12" max="12" width="8.7109375" customWidth="1"/>
  </cols>
  <sheetData>
    <row r="1" spans="1:12" ht="13.15" customHeight="1">
      <c r="A1" s="30"/>
      <c r="B1" s="30"/>
      <c r="C1" s="30"/>
      <c r="D1" s="30" t="s">
        <v>235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 t="s">
        <v>236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>
        <f>'ptu1'!J2+'ptu2'!J2+'ptu3'!J2</f>
        <v>0</v>
      </c>
      <c r="K2" s="5">
        <v>1.45</v>
      </c>
      <c r="L2" s="6">
        <f>J2*K2</f>
        <v>0</v>
      </c>
    </row>
    <row r="3" spans="1:12" ht="13.15" customHeight="1">
      <c r="A3" s="32" t="s">
        <v>237</v>
      </c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>
        <f>'ptu1'!J3+'ptu2'!J3+'ptu3'!J3</f>
        <v>0</v>
      </c>
      <c r="K3" s="5">
        <v>0</v>
      </c>
      <c r="L3" s="6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>
        <f>'ptu1'!J4+'ptu2'!J4+'ptu3'!J4</f>
        <v>0</v>
      </c>
      <c r="K4" s="5">
        <v>0</v>
      </c>
      <c r="L4" s="6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>
        <f>'ptu1'!D5+'ptu2'!D5+'ptu3'!D5</f>
        <v>0</v>
      </c>
      <c r="E5" s="5">
        <v>0</v>
      </c>
      <c r="F5" s="7">
        <f>D5*E5</f>
        <v>0</v>
      </c>
      <c r="G5" s="2">
        <v>39</v>
      </c>
      <c r="H5" s="4" t="s">
        <v>13</v>
      </c>
      <c r="I5" s="2" t="s">
        <v>9</v>
      </c>
      <c r="J5" s="2">
        <f>'ptu1'!J5+'ptu2'!J5+'ptu3'!J5</f>
        <v>0</v>
      </c>
      <c r="K5" s="5">
        <v>2.1</v>
      </c>
      <c r="L5" s="6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>
        <f>'ptu1'!D6+'ptu2'!D6+'ptu3'!D6</f>
        <v>0</v>
      </c>
      <c r="E6" s="5">
        <v>5</v>
      </c>
      <c r="F6" s="7">
        <f t="shared" ref="F6:F39" si="1">D6*E6</f>
        <v>0</v>
      </c>
      <c r="G6" s="2">
        <v>40</v>
      </c>
      <c r="H6" s="4" t="s">
        <v>15</v>
      </c>
      <c r="I6" s="2" t="s">
        <v>9</v>
      </c>
      <c r="J6" s="2">
        <f>'ptu1'!J6+'ptu2'!J6+'ptu3'!J6</f>
        <v>0</v>
      </c>
      <c r="K6" s="5">
        <v>8.8000000000000007</v>
      </c>
      <c r="L6" s="6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>
        <f>'ptu1'!D7+'ptu2'!D7+'ptu3'!D7</f>
        <v>0</v>
      </c>
      <c r="E7" s="5">
        <v>0</v>
      </c>
      <c r="F7" s="7">
        <f t="shared" si="1"/>
        <v>0</v>
      </c>
      <c r="G7" s="2">
        <v>41</v>
      </c>
      <c r="H7" s="4" t="s">
        <v>17</v>
      </c>
      <c r="I7" s="2" t="s">
        <v>9</v>
      </c>
      <c r="J7" s="2">
        <f>'ptu1'!J7+'ptu2'!J7+'ptu3'!J7</f>
        <v>0</v>
      </c>
      <c r="K7" s="5">
        <v>0</v>
      </c>
      <c r="L7" s="6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>
        <f>'ptu1'!D8+'ptu2'!D8+'ptu3'!D8</f>
        <v>0</v>
      </c>
      <c r="E8" s="5">
        <v>7.85</v>
      </c>
      <c r="F8" s="7">
        <f t="shared" si="1"/>
        <v>0</v>
      </c>
      <c r="G8" s="2">
        <v>42</v>
      </c>
      <c r="H8" s="4" t="s">
        <v>19</v>
      </c>
      <c r="I8" s="2" t="s">
        <v>9</v>
      </c>
      <c r="J8" s="2">
        <f>'ptu1'!J8+'ptu2'!J8+'ptu3'!J8</f>
        <v>0</v>
      </c>
      <c r="K8" s="5">
        <v>0</v>
      </c>
      <c r="L8" s="6">
        <f t="shared" si="0"/>
        <v>0</v>
      </c>
    </row>
    <row r="9" spans="1:12" ht="13.15" customHeight="1">
      <c r="A9" s="2">
        <v>5</v>
      </c>
      <c r="B9" s="9" t="s">
        <v>20</v>
      </c>
      <c r="C9" s="8" t="s">
        <v>9</v>
      </c>
      <c r="D9" s="8">
        <f>'ptu1'!D9+'ptu2'!D9+'ptu3'!D9</f>
        <v>554</v>
      </c>
      <c r="E9" s="26">
        <v>5.76</v>
      </c>
      <c r="F9" s="27">
        <f t="shared" si="1"/>
        <v>3191.04</v>
      </c>
      <c r="G9" s="2">
        <v>43</v>
      </c>
      <c r="H9" s="4" t="s">
        <v>21</v>
      </c>
      <c r="I9" s="2" t="s">
        <v>9</v>
      </c>
      <c r="J9" s="2">
        <f>'ptu1'!J9+'ptu2'!J9+'ptu3'!J9</f>
        <v>0</v>
      </c>
      <c r="K9" s="5">
        <v>0</v>
      </c>
      <c r="L9" s="6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>
        <f>'ptu1'!D10+'ptu2'!D10+'ptu3'!D10</f>
        <v>0</v>
      </c>
      <c r="E10" s="5">
        <v>0</v>
      </c>
      <c r="F10" s="7">
        <f t="shared" si="1"/>
        <v>0</v>
      </c>
      <c r="G10" s="2">
        <v>44</v>
      </c>
      <c r="H10" s="4" t="s">
        <v>23</v>
      </c>
      <c r="I10" s="2" t="s">
        <v>9</v>
      </c>
      <c r="J10" s="2">
        <f>'ptu1'!J10+'ptu2'!J10+'ptu3'!J10</f>
        <v>0</v>
      </c>
      <c r="K10" s="5">
        <v>1.1499999999999999</v>
      </c>
      <c r="L10" s="6">
        <f t="shared" si="0"/>
        <v>0</v>
      </c>
    </row>
    <row r="11" spans="1:12" ht="13.15" customHeight="1">
      <c r="A11" s="2">
        <v>7</v>
      </c>
      <c r="B11" s="4" t="s">
        <v>24</v>
      </c>
      <c r="C11" s="2" t="s">
        <v>9</v>
      </c>
      <c r="D11" s="2">
        <f>'ptu1'!D11+'ptu2'!D11+'ptu3'!D11</f>
        <v>0</v>
      </c>
      <c r="E11" s="5">
        <v>6</v>
      </c>
      <c r="F11" s="7">
        <f t="shared" si="1"/>
        <v>0</v>
      </c>
      <c r="G11" s="2">
        <v>45</v>
      </c>
      <c r="H11" s="4" t="s">
        <v>238</v>
      </c>
      <c r="I11" s="2" t="s">
        <v>9</v>
      </c>
      <c r="J11" s="2">
        <f>'ptu1'!J11+'ptu2'!J11+'ptu3'!J11</f>
        <v>0</v>
      </c>
      <c r="K11" s="5">
        <v>0</v>
      </c>
      <c r="L11" s="6">
        <f t="shared" si="0"/>
        <v>0</v>
      </c>
    </row>
    <row r="12" spans="1:12" ht="13.15" customHeight="1">
      <c r="A12" s="2">
        <v>8</v>
      </c>
      <c r="B12" s="4" t="s">
        <v>239</v>
      </c>
      <c r="C12" s="2" t="s">
        <v>9</v>
      </c>
      <c r="D12" s="2">
        <f>'ptu1'!D12+'ptu2'!D12+'ptu3'!D12</f>
        <v>0</v>
      </c>
      <c r="E12" s="5">
        <v>0</v>
      </c>
      <c r="F12" s="7">
        <f t="shared" si="1"/>
        <v>0</v>
      </c>
      <c r="G12" s="2">
        <v>46</v>
      </c>
      <c r="H12" s="4" t="s">
        <v>126</v>
      </c>
      <c r="I12" s="2" t="s">
        <v>9</v>
      </c>
      <c r="J12" s="2">
        <f>'ptu1'!J12+'ptu2'!J12+'ptu3'!J12</f>
        <v>0</v>
      </c>
      <c r="K12" s="5">
        <v>0</v>
      </c>
      <c r="L12" s="6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>
        <f>'ptu1'!D13+'ptu2'!D13+'ptu3'!D13</f>
        <v>0</v>
      </c>
      <c r="E13" s="5">
        <v>0</v>
      </c>
      <c r="F13" s="7">
        <f t="shared" si="1"/>
        <v>0</v>
      </c>
      <c r="G13" s="2">
        <v>47</v>
      </c>
      <c r="H13" s="4" t="s">
        <v>29</v>
      </c>
      <c r="I13" s="2" t="s">
        <v>9</v>
      </c>
      <c r="J13" s="2">
        <f>'ptu1'!J13+'ptu2'!J13+'ptu3'!J13</f>
        <v>0</v>
      </c>
      <c r="K13" s="5">
        <v>0</v>
      </c>
      <c r="L13" s="6">
        <f t="shared" si="0"/>
        <v>0</v>
      </c>
    </row>
    <row r="14" spans="1:12" ht="13.15" customHeight="1">
      <c r="A14" s="2">
        <v>3</v>
      </c>
      <c r="B14" s="4" t="s">
        <v>30</v>
      </c>
      <c r="C14" s="2" t="s">
        <v>9</v>
      </c>
      <c r="D14" s="2">
        <f>'ptu1'!D14+'ptu2'!D14+'ptu3'!D14</f>
        <v>0</v>
      </c>
      <c r="E14" s="5">
        <v>0</v>
      </c>
      <c r="F14" s="7">
        <f t="shared" si="1"/>
        <v>0</v>
      </c>
      <c r="G14" s="2">
        <v>48</v>
      </c>
      <c r="H14" s="4" t="s">
        <v>31</v>
      </c>
      <c r="I14" s="2" t="s">
        <v>9</v>
      </c>
      <c r="J14" s="2">
        <f>'ptu1'!J14+'ptu2'!J14+'ptu3'!J14</f>
        <v>0</v>
      </c>
      <c r="K14" s="5">
        <v>0</v>
      </c>
      <c r="L14" s="6">
        <f t="shared" si="0"/>
        <v>0</v>
      </c>
    </row>
    <row r="15" spans="1:12" ht="13.15" customHeight="1">
      <c r="A15" s="2">
        <v>11</v>
      </c>
      <c r="B15" s="9" t="s">
        <v>32</v>
      </c>
      <c r="C15" s="8" t="s">
        <v>9</v>
      </c>
      <c r="D15" s="8">
        <f>'ptu1'!D15+'ptu2'!D15+'ptu3'!D15</f>
        <v>0</v>
      </c>
      <c r="E15" s="26">
        <v>6.5</v>
      </c>
      <c r="F15" s="27">
        <f t="shared" si="1"/>
        <v>0</v>
      </c>
      <c r="G15" s="2">
        <v>49</v>
      </c>
      <c r="H15" s="4" t="s">
        <v>240</v>
      </c>
      <c r="I15" s="2" t="s">
        <v>9</v>
      </c>
      <c r="J15" s="2">
        <f>'ptu1'!J15+'ptu2'!J15+'ptu3'!J15</f>
        <v>0</v>
      </c>
      <c r="K15" s="5">
        <v>9.09</v>
      </c>
      <c r="L15" s="6">
        <f t="shared" si="0"/>
        <v>0</v>
      </c>
    </row>
    <row r="16" spans="1:12" ht="13.15" customHeight="1">
      <c r="A16" s="2">
        <v>12</v>
      </c>
      <c r="B16" s="9" t="s">
        <v>241</v>
      </c>
      <c r="C16" s="8" t="s">
        <v>9</v>
      </c>
      <c r="D16" s="8">
        <f>'ptu1'!D16+'ptu2'!D16+'ptu3'!D16</f>
        <v>0</v>
      </c>
      <c r="E16" s="26">
        <v>6.5</v>
      </c>
      <c r="F16" s="27">
        <f t="shared" si="1"/>
        <v>0</v>
      </c>
      <c r="G16" s="2">
        <v>50</v>
      </c>
      <c r="H16" s="4" t="s">
        <v>92</v>
      </c>
      <c r="I16" s="2" t="s">
        <v>9</v>
      </c>
      <c r="J16" s="2">
        <f>'ptu1'!J16+'ptu2'!J16+'ptu3'!J16</f>
        <v>0</v>
      </c>
      <c r="K16" s="5">
        <v>7.45</v>
      </c>
      <c r="L16" s="6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>
        <f>'ptu1'!D17+'ptu2'!D17+'ptu3'!D17</f>
        <v>0</v>
      </c>
      <c r="E17" s="5">
        <v>0</v>
      </c>
      <c r="F17" s="7">
        <f t="shared" si="1"/>
        <v>0</v>
      </c>
      <c r="G17" s="2">
        <v>51</v>
      </c>
      <c r="H17" s="4" t="s">
        <v>130</v>
      </c>
      <c r="I17" s="2" t="s">
        <v>9</v>
      </c>
      <c r="J17" s="2">
        <f>'ptu1'!J17+'ptu2'!J17+'ptu3'!J17</f>
        <v>0</v>
      </c>
      <c r="K17" s="5">
        <v>0</v>
      </c>
      <c r="L17" s="6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>
        <f>'ptu1'!D18+'ptu2'!D18+'ptu3'!D18</f>
        <v>45</v>
      </c>
      <c r="E18" s="5">
        <v>0</v>
      </c>
      <c r="F18" s="7">
        <f t="shared" si="1"/>
        <v>0</v>
      </c>
      <c r="G18" s="2">
        <v>52</v>
      </c>
      <c r="H18" s="4" t="s">
        <v>131</v>
      </c>
      <c r="I18" s="2" t="s">
        <v>9</v>
      </c>
      <c r="J18" s="2">
        <f>'ptu1'!J18+'ptu2'!J18+'ptu3'!J18</f>
        <v>0</v>
      </c>
      <c r="K18" s="5">
        <v>3.2</v>
      </c>
      <c r="L18" s="6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>
        <f>'ptu1'!D19+'ptu2'!D19+'ptu3'!D19</f>
        <v>0</v>
      </c>
      <c r="E19" s="5">
        <v>0</v>
      </c>
      <c r="F19" s="7">
        <f t="shared" si="1"/>
        <v>0</v>
      </c>
      <c r="G19" s="2">
        <v>53</v>
      </c>
      <c r="H19" s="4" t="s">
        <v>94</v>
      </c>
      <c r="I19" s="2" t="s">
        <v>9</v>
      </c>
      <c r="J19" s="2">
        <f>'ptu1'!J19+'ptu2'!J19+'ptu3'!J19</f>
        <v>0</v>
      </c>
      <c r="K19" s="5">
        <v>0</v>
      </c>
      <c r="L19" s="6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>
        <f>'ptu1'!D20+'ptu2'!D20+'ptu3'!D20</f>
        <v>0</v>
      </c>
      <c r="E20" s="5">
        <v>0</v>
      </c>
      <c r="F20" s="7">
        <f t="shared" si="1"/>
        <v>0</v>
      </c>
      <c r="G20" s="2">
        <v>54</v>
      </c>
      <c r="H20" s="4" t="s">
        <v>95</v>
      </c>
      <c r="I20" s="2" t="s">
        <v>9</v>
      </c>
      <c r="J20" s="2">
        <f>'ptu1'!J20+'ptu2'!J20+'ptu3'!J20</f>
        <v>0</v>
      </c>
      <c r="K20" s="5">
        <v>0</v>
      </c>
      <c r="L20" s="6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>
        <f>'ptu1'!D21+'ptu2'!D21+'ptu3'!D21</f>
        <v>0</v>
      </c>
      <c r="E21" s="5">
        <v>0</v>
      </c>
      <c r="F21" s="7">
        <f t="shared" si="1"/>
        <v>0</v>
      </c>
      <c r="G21" s="2">
        <v>55</v>
      </c>
      <c r="H21" s="4" t="s">
        <v>45</v>
      </c>
      <c r="I21" s="2" t="s">
        <v>9</v>
      </c>
      <c r="J21" s="2">
        <f>'ptu1'!J21+'ptu2'!J21+'ptu3'!J21</f>
        <v>0</v>
      </c>
      <c r="K21" s="5">
        <v>0</v>
      </c>
      <c r="L21" s="6">
        <f t="shared" si="0"/>
        <v>0</v>
      </c>
    </row>
    <row r="22" spans="1:12" ht="13.15" customHeight="1">
      <c r="A22" s="2">
        <v>18</v>
      </c>
      <c r="B22" s="9" t="s">
        <v>46</v>
      </c>
      <c r="C22" s="8" t="s">
        <v>9</v>
      </c>
      <c r="D22" s="8">
        <f>'ptu1'!D22+'ptu2'!D22+'ptu3'!D22</f>
        <v>0</v>
      </c>
      <c r="E22" s="26">
        <v>0</v>
      </c>
      <c r="F22" s="27">
        <f t="shared" si="1"/>
        <v>0</v>
      </c>
      <c r="G22" s="2">
        <v>56</v>
      </c>
      <c r="H22" s="4" t="s">
        <v>47</v>
      </c>
      <c r="I22" s="2" t="s">
        <v>9</v>
      </c>
      <c r="J22" s="2">
        <f>'ptu1'!J22+'ptu2'!J22+'ptu3'!J22</f>
        <v>0</v>
      </c>
      <c r="K22" s="5">
        <v>20.65</v>
      </c>
      <c r="L22" s="6">
        <f t="shared" si="0"/>
        <v>0</v>
      </c>
    </row>
    <row r="23" spans="1:12" ht="13.15" customHeight="1">
      <c r="A23" s="2">
        <v>19</v>
      </c>
      <c r="B23" s="9" t="s">
        <v>48</v>
      </c>
      <c r="C23" s="8" t="s">
        <v>9</v>
      </c>
      <c r="D23" s="8">
        <f>'ptu1'!D23+'ptu2'!D23+'ptu3'!D23</f>
        <v>0</v>
      </c>
      <c r="E23" s="26">
        <v>7.75</v>
      </c>
      <c r="F23" s="27">
        <f t="shared" si="1"/>
        <v>0</v>
      </c>
      <c r="G23" s="2">
        <v>57</v>
      </c>
      <c r="H23" s="4" t="s">
        <v>132</v>
      </c>
      <c r="I23" s="2" t="s">
        <v>9</v>
      </c>
      <c r="J23" s="2">
        <f>'ptu1'!J23+'ptu2'!J23+'ptu3'!J23</f>
        <v>0</v>
      </c>
      <c r="K23" s="2">
        <v>14</v>
      </c>
      <c r="L23" s="6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>
        <f>'ptu1'!D24+'ptu2'!D24+'ptu3'!D24</f>
        <v>0</v>
      </c>
      <c r="E24" s="5">
        <v>0</v>
      </c>
      <c r="F24" s="7">
        <f t="shared" si="1"/>
        <v>0</v>
      </c>
      <c r="G24" s="2">
        <v>58</v>
      </c>
      <c r="H24" s="4" t="s">
        <v>242</v>
      </c>
      <c r="I24" s="2" t="s">
        <v>9</v>
      </c>
      <c r="J24" s="2">
        <f>'ptu1'!J24+'ptu2'!J24+'ptu3'!J24</f>
        <v>0</v>
      </c>
      <c r="K24" s="2">
        <v>0</v>
      </c>
      <c r="L24" s="6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>
        <f>'ptu1'!D25+'ptu2'!D25+'ptu3'!D25</f>
        <v>0</v>
      </c>
      <c r="E25" s="5">
        <v>7.9</v>
      </c>
      <c r="F25" s="7">
        <f t="shared" si="1"/>
        <v>0</v>
      </c>
      <c r="G25" s="2">
        <v>59</v>
      </c>
      <c r="H25" s="4" t="s">
        <v>243</v>
      </c>
      <c r="I25" s="2" t="s">
        <v>9</v>
      </c>
      <c r="J25" s="2">
        <f>'ptu1'!J25+'ptu2'!J25+'ptu3'!J25</f>
        <v>0</v>
      </c>
      <c r="K25" s="2">
        <v>0</v>
      </c>
      <c r="L25" s="6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>
        <f>'ptu1'!D26+'ptu2'!D26+'ptu3'!D26</f>
        <v>0</v>
      </c>
      <c r="E26" s="5">
        <v>0</v>
      </c>
      <c r="F26" s="7">
        <f t="shared" si="1"/>
        <v>0</v>
      </c>
      <c r="G26" s="2">
        <v>60</v>
      </c>
      <c r="H26" s="4" t="s">
        <v>55</v>
      </c>
      <c r="I26" s="2" t="s">
        <v>9</v>
      </c>
      <c r="J26" s="2">
        <f>'ptu1'!J26+'ptu2'!J26+'ptu3'!J26</f>
        <v>0</v>
      </c>
      <c r="K26" s="2">
        <v>0</v>
      </c>
      <c r="L26" s="6">
        <f t="shared" si="0"/>
        <v>0</v>
      </c>
    </row>
    <row r="27" spans="1:12" ht="13.15" customHeight="1">
      <c r="A27" s="2">
        <v>23</v>
      </c>
      <c r="B27" s="9" t="s">
        <v>56</v>
      </c>
      <c r="C27" s="8" t="s">
        <v>9</v>
      </c>
      <c r="D27" s="8">
        <f>'ptu1'!D27+'ptu2'!D27+'ptu3'!D27</f>
        <v>0</v>
      </c>
      <c r="E27" s="26">
        <v>5.75</v>
      </c>
      <c r="F27" s="27">
        <f t="shared" si="1"/>
        <v>0</v>
      </c>
      <c r="G27" s="2">
        <v>61</v>
      </c>
      <c r="H27" s="4" t="s">
        <v>244</v>
      </c>
      <c r="I27" s="2" t="s">
        <v>9</v>
      </c>
      <c r="J27" s="2">
        <f>'ptu1'!J27+'ptu2'!J27+'ptu3'!J27</f>
        <v>0</v>
      </c>
      <c r="K27" s="2">
        <v>3.7</v>
      </c>
      <c r="L27" s="6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>
        <f>'ptu1'!D28+'ptu2'!D28+'ptu3'!D28</f>
        <v>0</v>
      </c>
      <c r="E28" s="5">
        <v>0</v>
      </c>
      <c r="F28" s="7">
        <f t="shared" si="1"/>
        <v>0</v>
      </c>
      <c r="G28" s="2">
        <v>62</v>
      </c>
      <c r="H28" s="4" t="s">
        <v>245</v>
      </c>
      <c r="I28" s="2" t="s">
        <v>9</v>
      </c>
      <c r="J28" s="2">
        <f>'ptu1'!J28+'ptu2'!J28+'ptu3'!J28</f>
        <v>0</v>
      </c>
      <c r="K28" s="2">
        <v>7.35</v>
      </c>
      <c r="L28" s="6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>
        <f>'ptu1'!D29+'ptu2'!D29+'ptu3'!D29</f>
        <v>0</v>
      </c>
      <c r="E29" s="5">
        <v>0</v>
      </c>
      <c r="F29" s="7">
        <f t="shared" si="1"/>
        <v>0</v>
      </c>
      <c r="G29" s="2">
        <v>63</v>
      </c>
      <c r="H29" s="4" t="s">
        <v>63</v>
      </c>
      <c r="I29" s="2" t="s">
        <v>9</v>
      </c>
      <c r="J29" s="2">
        <f>'ptu1'!J29+'ptu2'!J29+'ptu3'!J29</f>
        <v>0</v>
      </c>
      <c r="K29" s="2">
        <v>7.65</v>
      </c>
      <c r="L29" s="6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>
        <f>'ptu1'!D30+'ptu2'!D30+'ptu3'!D30</f>
        <v>0</v>
      </c>
      <c r="E30" s="5">
        <v>0</v>
      </c>
      <c r="F30" s="6">
        <f t="shared" si="1"/>
        <v>0</v>
      </c>
      <c r="G30" s="2">
        <v>64</v>
      </c>
      <c r="H30" s="4" t="s">
        <v>25</v>
      </c>
      <c r="I30" s="2" t="s">
        <v>9</v>
      </c>
      <c r="J30" s="2">
        <f>'ptu1'!J30+'ptu2'!J30+'ptu3'!J30</f>
        <v>0</v>
      </c>
      <c r="K30" s="2">
        <v>4.2</v>
      </c>
      <c r="L30" s="6">
        <f t="shared" si="0"/>
        <v>0</v>
      </c>
    </row>
    <row r="31" spans="1:12" ht="13.15" customHeight="1">
      <c r="A31" s="2">
        <v>27</v>
      </c>
      <c r="B31" s="9" t="s">
        <v>102</v>
      </c>
      <c r="C31" s="8" t="s">
        <v>9</v>
      </c>
      <c r="D31" s="8">
        <f>'ptu1'!D31+'ptu2'!D31+'ptu3'!D31</f>
        <v>0</v>
      </c>
      <c r="E31" s="26">
        <v>6.9</v>
      </c>
      <c r="F31" s="28">
        <f t="shared" si="1"/>
        <v>0</v>
      </c>
      <c r="G31" s="2">
        <v>65</v>
      </c>
      <c r="H31" s="4"/>
      <c r="I31" s="2" t="s">
        <v>9</v>
      </c>
      <c r="J31" s="2">
        <f>'ptu1'!J31+'ptu2'!J31+'ptu3'!J31</f>
        <v>0</v>
      </c>
      <c r="K31" s="2"/>
      <c r="L31" s="6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>
        <f>'ptu1'!D32+'ptu2'!D32+'ptu3'!D32</f>
        <v>0</v>
      </c>
      <c r="E32" s="5">
        <v>8.26</v>
      </c>
      <c r="F32" s="7">
        <f t="shared" si="1"/>
        <v>0</v>
      </c>
      <c r="G32" s="2">
        <v>66</v>
      </c>
      <c r="H32" s="4"/>
      <c r="I32" s="2" t="s">
        <v>9</v>
      </c>
      <c r="J32" s="2">
        <f>'ptu1'!J32+'ptu2'!J32+'ptu3'!J32</f>
        <v>0</v>
      </c>
      <c r="K32" s="2"/>
      <c r="L32" s="6">
        <f t="shared" si="0"/>
        <v>0</v>
      </c>
    </row>
    <row r="33" spans="1:13" ht="13.15" customHeight="1">
      <c r="A33" s="2">
        <v>29</v>
      </c>
      <c r="B33" s="4" t="s">
        <v>68</v>
      </c>
      <c r="C33" s="2" t="s">
        <v>9</v>
      </c>
      <c r="D33" s="2">
        <f>'ptu1'!D33+'ptu2'!D33+'ptu3'!D33</f>
        <v>0</v>
      </c>
      <c r="E33" s="5">
        <v>6.4</v>
      </c>
      <c r="F33" s="6">
        <f t="shared" si="1"/>
        <v>0</v>
      </c>
      <c r="G33" s="2">
        <v>67</v>
      </c>
      <c r="H33" s="4"/>
      <c r="I33" s="2" t="s">
        <v>9</v>
      </c>
      <c r="J33" s="2">
        <f>'ptu1'!J33+'ptu2'!J33+'ptu3'!J33</f>
        <v>0</v>
      </c>
      <c r="K33" s="2"/>
      <c r="L33" s="6">
        <f t="shared" si="0"/>
        <v>0</v>
      </c>
    </row>
    <row r="34" spans="1:13" ht="13.15" customHeight="1">
      <c r="A34" s="2">
        <v>30</v>
      </c>
      <c r="B34" s="4" t="s">
        <v>70</v>
      </c>
      <c r="C34" s="2" t="s">
        <v>9</v>
      </c>
      <c r="D34" s="2">
        <f>'ptu1'!D34+'ptu2'!D34+'ptu3'!D34</f>
        <v>0</v>
      </c>
      <c r="E34" s="5">
        <v>0</v>
      </c>
      <c r="F34" s="6">
        <f t="shared" si="1"/>
        <v>0</v>
      </c>
      <c r="G34" s="2">
        <v>68</v>
      </c>
      <c r="H34" s="4"/>
      <c r="I34" s="2" t="s">
        <v>9</v>
      </c>
      <c r="J34" s="2">
        <f>'ptu1'!J34+'ptu2'!J34+'ptu3'!J34</f>
        <v>0</v>
      </c>
      <c r="K34" s="2"/>
      <c r="L34" s="6">
        <f t="shared" si="0"/>
        <v>0</v>
      </c>
      <c r="M34" s="10"/>
    </row>
    <row r="35" spans="1:13" ht="13.15" customHeight="1">
      <c r="A35" s="2">
        <v>31</v>
      </c>
      <c r="B35" s="4" t="s">
        <v>72</v>
      </c>
      <c r="C35" s="2" t="s">
        <v>9</v>
      </c>
      <c r="D35" s="2">
        <f>'ptu1'!D35+'ptu2'!D35+'ptu3'!D35</f>
        <v>0</v>
      </c>
      <c r="E35" s="5">
        <v>6.5</v>
      </c>
      <c r="F35" s="7">
        <f t="shared" si="1"/>
        <v>0</v>
      </c>
      <c r="G35" s="2">
        <v>69</v>
      </c>
      <c r="H35" s="4"/>
      <c r="I35" s="2" t="s">
        <v>9</v>
      </c>
      <c r="J35" s="2">
        <f>'ptu1'!J35+'ptu2'!J35+'ptu3'!J35</f>
        <v>0</v>
      </c>
      <c r="K35" s="2"/>
      <c r="L35" s="6">
        <f t="shared" si="0"/>
        <v>0</v>
      </c>
    </row>
    <row r="36" spans="1:13" ht="13.15" customHeight="1">
      <c r="A36" s="2">
        <v>32</v>
      </c>
      <c r="B36" s="4" t="s">
        <v>74</v>
      </c>
      <c r="C36" s="2" t="s">
        <v>9</v>
      </c>
      <c r="D36" s="2">
        <f>'ptu1'!D36+'ptu2'!D36+'ptu3'!D36</f>
        <v>0</v>
      </c>
      <c r="E36" s="2">
        <v>0</v>
      </c>
      <c r="F36" s="7">
        <f t="shared" si="1"/>
        <v>0</v>
      </c>
      <c r="G36" s="2">
        <v>70</v>
      </c>
      <c r="H36" s="4"/>
      <c r="I36" s="2" t="s">
        <v>9</v>
      </c>
      <c r="J36" s="2">
        <f>'ptu1'!J36+'ptu2'!J36+'ptu3'!J36</f>
        <v>0</v>
      </c>
      <c r="K36" s="2"/>
      <c r="L36" s="6">
        <f t="shared" si="0"/>
        <v>0</v>
      </c>
    </row>
    <row r="37" spans="1:13" ht="13.15" customHeight="1">
      <c r="A37" s="2">
        <v>33</v>
      </c>
      <c r="B37" s="4" t="s">
        <v>76</v>
      </c>
      <c r="C37" s="2" t="s">
        <v>9</v>
      </c>
      <c r="D37" s="2">
        <f>'ptu1'!D37+'ptu2'!D37+'ptu3'!D37</f>
        <v>0</v>
      </c>
      <c r="E37" s="2">
        <v>0</v>
      </c>
      <c r="F37" s="7">
        <f t="shared" si="1"/>
        <v>0</v>
      </c>
      <c r="G37" s="2">
        <v>71</v>
      </c>
      <c r="H37" s="4"/>
      <c r="I37" s="2" t="s">
        <v>9</v>
      </c>
      <c r="J37" s="2">
        <f>'ptu1'!J37+'ptu2'!J37+'ptu3'!J37</f>
        <v>0</v>
      </c>
      <c r="K37" s="2"/>
      <c r="L37" s="6">
        <f t="shared" si="0"/>
        <v>0</v>
      </c>
      <c r="M37" s="11"/>
    </row>
    <row r="38" spans="1:13" ht="13.15" customHeight="1">
      <c r="A38" s="2">
        <v>34</v>
      </c>
      <c r="B38" s="4" t="s">
        <v>78</v>
      </c>
      <c r="C38" s="2" t="s">
        <v>9</v>
      </c>
      <c r="D38" s="2">
        <f>'ptu1'!D38+'ptu2'!D38+'ptu3'!D38</f>
        <v>0</v>
      </c>
      <c r="E38" s="2">
        <v>0</v>
      </c>
      <c r="F38" s="7">
        <f t="shared" si="1"/>
        <v>0</v>
      </c>
      <c r="G38" s="2">
        <v>72</v>
      </c>
      <c r="H38" s="4"/>
      <c r="I38" s="2" t="s">
        <v>9</v>
      </c>
      <c r="J38" s="2">
        <f>'ptu1'!J38+'ptu2'!J38+'ptu3'!J38</f>
        <v>0</v>
      </c>
      <c r="K38" s="2"/>
      <c r="L38" s="6">
        <f t="shared" si="0"/>
        <v>0</v>
      </c>
    </row>
    <row r="39" spans="1:13" ht="13.15" customHeight="1">
      <c r="A39" s="2">
        <v>35</v>
      </c>
      <c r="B39" s="4" t="s">
        <v>80</v>
      </c>
      <c r="C39" s="2" t="s">
        <v>9</v>
      </c>
      <c r="D39" s="2">
        <f>'ptu1'!D39+'ptu2'!D39+'ptu3'!D39</f>
        <v>0</v>
      </c>
      <c r="E39" s="2">
        <v>0</v>
      </c>
      <c r="F39" s="7">
        <f t="shared" si="1"/>
        <v>0</v>
      </c>
      <c r="G39" s="2">
        <v>73</v>
      </c>
      <c r="H39" s="4"/>
      <c r="I39" s="2" t="s">
        <v>9</v>
      </c>
      <c r="J39" s="2">
        <f>'ptu1'!J39+'ptu2'!J39+'ptu3'!J39</f>
        <v>0</v>
      </c>
      <c r="K39" s="2"/>
      <c r="L39" s="6">
        <f t="shared" si="0"/>
        <v>0</v>
      </c>
    </row>
    <row r="40" spans="1:13" ht="13.15" customHeight="1">
      <c r="I40" s="33" t="s">
        <v>82</v>
      </c>
      <c r="J40" s="34"/>
      <c r="K40" s="34"/>
      <c r="L40" s="23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3191.04</v>
      </c>
    </row>
    <row r="42" spans="1:13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>
  <dimension ref="A1:M42"/>
  <sheetViews>
    <sheetView topLeftCell="A19" workbookViewId="0">
      <selection activeCell="N12" sqref="N12"/>
    </sheetView>
  </sheetViews>
  <sheetFormatPr defaultRowHeight="15"/>
  <cols>
    <col min="1" max="1" width="4.7109375" style="17" customWidth="1"/>
    <col min="2" max="2" width="28.140625" customWidth="1"/>
    <col min="3" max="3" width="6.140625" customWidth="1"/>
    <col min="6" max="6" width="8.5703125" style="17" customWidth="1"/>
    <col min="7" max="7" width="4.85546875" style="17" customWidth="1"/>
    <col min="8" max="8" width="23.7109375" customWidth="1"/>
    <col min="9" max="9" width="6" bestFit="1" customWidth="1"/>
    <col min="10" max="10" width="6" customWidth="1"/>
    <col min="12" max="12" width="8.85546875" style="17"/>
  </cols>
  <sheetData>
    <row r="1" spans="1:12" ht="15.75">
      <c r="A1" s="30"/>
      <c r="B1" s="30"/>
      <c r="C1" s="30"/>
      <c r="D1" s="30" t="str">
        <f>[1]Сводная!D1</f>
        <v>19    12    2015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>
      <c r="A2" s="32" t="s">
        <v>246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</v>
      </c>
      <c r="L2" s="5">
        <f>J2*K2</f>
        <v>0</v>
      </c>
    </row>
    <row r="3" spans="1:12">
      <c r="A3" s="32" t="s">
        <v>247</v>
      </c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2.1</v>
      </c>
      <c r="L3" s="5">
        <f t="shared" ref="L3:L39" si="0">J3*K3</f>
        <v>0</v>
      </c>
    </row>
    <row r="4" spans="1:12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2.25</v>
      </c>
      <c r="L4" s="5">
        <f t="shared" si="0"/>
        <v>0</v>
      </c>
    </row>
    <row r="5" spans="1:12">
      <c r="A5" s="2">
        <v>1</v>
      </c>
      <c r="B5" s="4" t="s">
        <v>248</v>
      </c>
      <c r="C5" s="2" t="s">
        <v>9</v>
      </c>
      <c r="D5" s="2"/>
      <c r="E5" s="5">
        <v>6.55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2</v>
      </c>
      <c r="L5" s="5">
        <f t="shared" si="0"/>
        <v>0</v>
      </c>
    </row>
    <row r="6" spans="1:12">
      <c r="A6" s="2">
        <v>2</v>
      </c>
      <c r="B6" s="4" t="s">
        <v>14</v>
      </c>
      <c r="C6" s="2" t="s">
        <v>9</v>
      </c>
      <c r="D6" s="2"/>
      <c r="E6" s="5">
        <v>4.7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7.7</v>
      </c>
      <c r="L6" s="5">
        <f>J6*K6</f>
        <v>0</v>
      </c>
    </row>
    <row r="7" spans="1:12">
      <c r="A7" s="2">
        <v>3</v>
      </c>
      <c r="B7" s="4" t="s">
        <v>156</v>
      </c>
      <c r="C7" s="2" t="s">
        <v>9</v>
      </c>
      <c r="D7" s="2"/>
      <c r="E7" s="5">
        <v>5.2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2</v>
      </c>
      <c r="L7" s="5">
        <f t="shared" si="0"/>
        <v>0</v>
      </c>
    </row>
    <row r="8" spans="1:12">
      <c r="A8" s="2">
        <v>4</v>
      </c>
      <c r="B8" s="4" t="s">
        <v>18</v>
      </c>
      <c r="C8" s="2" t="s">
        <v>9</v>
      </c>
      <c r="D8" s="2"/>
      <c r="E8" s="5">
        <v>7.05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2.25</v>
      </c>
      <c r="L8" s="5">
        <f t="shared" si="0"/>
        <v>0</v>
      </c>
    </row>
    <row r="9" spans="1:12">
      <c r="A9" s="2">
        <v>5</v>
      </c>
      <c r="B9" s="4" t="s">
        <v>20</v>
      </c>
      <c r="C9" s="2" t="s">
        <v>9</v>
      </c>
      <c r="D9" s="2"/>
      <c r="E9" s="5">
        <v>4.9000000000000004</v>
      </c>
      <c r="F9" s="20">
        <f t="shared" si="1"/>
        <v>0</v>
      </c>
      <c r="G9" s="2">
        <v>43</v>
      </c>
      <c r="H9" s="4" t="s">
        <v>21</v>
      </c>
      <c r="I9" s="2" t="s">
        <v>9</v>
      </c>
      <c r="J9" s="2"/>
      <c r="K9" s="5">
        <v>2.4</v>
      </c>
      <c r="L9" s="5">
        <f t="shared" si="0"/>
        <v>0</v>
      </c>
    </row>
    <row r="10" spans="1:12">
      <c r="A10" s="2">
        <v>6</v>
      </c>
      <c r="B10" s="4" t="s">
        <v>22</v>
      </c>
      <c r="C10" s="2" t="s">
        <v>9</v>
      </c>
      <c r="D10" s="2"/>
      <c r="E10" s="5">
        <v>5.7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>
      <c r="A11" s="2">
        <v>7</v>
      </c>
      <c r="B11" s="4" t="s">
        <v>24</v>
      </c>
      <c r="C11" s="2" t="s">
        <v>9</v>
      </c>
      <c r="D11" s="2"/>
      <c r="E11" s="5">
        <v>5.2</v>
      </c>
      <c r="F11" s="20">
        <f t="shared" si="1"/>
        <v>0</v>
      </c>
      <c r="G11" s="2">
        <v>45</v>
      </c>
      <c r="H11" s="4" t="s">
        <v>249</v>
      </c>
      <c r="I11" s="2" t="s">
        <v>9</v>
      </c>
      <c r="J11" s="2"/>
      <c r="K11" s="5">
        <v>2.4</v>
      </c>
      <c r="L11" s="5">
        <f t="shared" si="0"/>
        <v>0</v>
      </c>
    </row>
    <row r="12" spans="1:12">
      <c r="A12" s="2">
        <v>8</v>
      </c>
      <c r="B12" s="4" t="s">
        <v>250</v>
      </c>
      <c r="C12" s="2" t="s">
        <v>9</v>
      </c>
      <c r="D12" s="2"/>
      <c r="E12" s="5">
        <v>5.2</v>
      </c>
      <c r="F12" s="20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2.1</v>
      </c>
      <c r="L12" s="5">
        <f t="shared" si="0"/>
        <v>0</v>
      </c>
    </row>
    <row r="13" spans="1:12">
      <c r="A13" s="2">
        <v>9</v>
      </c>
      <c r="B13" s="4" t="s">
        <v>162</v>
      </c>
      <c r="C13" s="2" t="s">
        <v>9</v>
      </c>
      <c r="D13" s="2"/>
      <c r="E13" s="5">
        <v>5.35</v>
      </c>
      <c r="F13" s="20">
        <f t="shared" si="1"/>
        <v>0</v>
      </c>
      <c r="G13" s="2">
        <v>47</v>
      </c>
      <c r="H13" s="4" t="s">
        <v>251</v>
      </c>
      <c r="I13" s="2" t="s">
        <v>9</v>
      </c>
      <c r="J13" s="2"/>
      <c r="K13" s="5">
        <v>2.1</v>
      </c>
      <c r="L13" s="5">
        <f t="shared" si="0"/>
        <v>0</v>
      </c>
    </row>
    <row r="14" spans="1:12">
      <c r="A14" s="2">
        <v>10</v>
      </c>
      <c r="B14" s="4" t="s">
        <v>30</v>
      </c>
      <c r="C14" s="2" t="s">
        <v>9</v>
      </c>
      <c r="D14" s="2"/>
      <c r="E14" s="5">
        <v>5.85</v>
      </c>
      <c r="F14" s="20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2.1</v>
      </c>
      <c r="L14" s="5">
        <f t="shared" si="0"/>
        <v>0</v>
      </c>
    </row>
    <row r="15" spans="1:12">
      <c r="A15" s="2">
        <v>11</v>
      </c>
      <c r="B15" s="4" t="s">
        <v>128</v>
      </c>
      <c r="C15" s="2" t="s">
        <v>9</v>
      </c>
      <c r="D15" s="2"/>
      <c r="E15" s="5">
        <v>6.5</v>
      </c>
      <c r="F15" s="20">
        <f t="shared" si="1"/>
        <v>0</v>
      </c>
      <c r="G15" s="2">
        <v>49</v>
      </c>
      <c r="H15" s="4" t="s">
        <v>129</v>
      </c>
      <c r="I15" s="2" t="s">
        <v>9</v>
      </c>
      <c r="J15" s="2"/>
      <c r="K15" s="5">
        <v>7.95</v>
      </c>
      <c r="L15" s="5">
        <f t="shared" si="0"/>
        <v>0</v>
      </c>
    </row>
    <row r="16" spans="1:12">
      <c r="A16" s="2">
        <v>12</v>
      </c>
      <c r="B16" s="4" t="s">
        <v>34</v>
      </c>
      <c r="C16" s="2" t="s">
        <v>9</v>
      </c>
      <c r="D16" s="2"/>
      <c r="E16" s="5">
        <v>6</v>
      </c>
      <c r="F16" s="20">
        <f t="shared" si="1"/>
        <v>0</v>
      </c>
      <c r="G16" s="2">
        <v>50</v>
      </c>
      <c r="H16" s="4" t="s">
        <v>35</v>
      </c>
      <c r="I16" s="2" t="s">
        <v>9</v>
      </c>
      <c r="J16" s="2"/>
      <c r="K16" s="5">
        <v>6.45</v>
      </c>
      <c r="L16" s="5">
        <f t="shared" si="0"/>
        <v>0</v>
      </c>
    </row>
    <row r="17" spans="1:12">
      <c r="A17" s="2">
        <v>13</v>
      </c>
      <c r="B17" s="4" t="s">
        <v>36</v>
      </c>
      <c r="C17" s="2" t="s">
        <v>9</v>
      </c>
      <c r="D17" s="2"/>
      <c r="E17" s="5">
        <v>6.5</v>
      </c>
      <c r="F17" s="20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6.35</v>
      </c>
      <c r="L17" s="5">
        <f t="shared" si="0"/>
        <v>0</v>
      </c>
    </row>
    <row r="18" spans="1:12">
      <c r="A18" s="2">
        <v>14</v>
      </c>
      <c r="B18" s="4" t="s">
        <v>38</v>
      </c>
      <c r="C18" s="2" t="s">
        <v>9</v>
      </c>
      <c r="D18" s="2"/>
      <c r="E18" s="5">
        <v>4.8</v>
      </c>
      <c r="F18" s="20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2.9</v>
      </c>
      <c r="L18" s="5">
        <f t="shared" si="0"/>
        <v>0</v>
      </c>
    </row>
    <row r="19" spans="1:12">
      <c r="A19" s="2">
        <v>15</v>
      </c>
      <c r="B19" s="4" t="s">
        <v>40</v>
      </c>
      <c r="C19" s="2" t="s">
        <v>9</v>
      </c>
      <c r="D19" s="2"/>
      <c r="E19" s="5">
        <v>5.3</v>
      </c>
      <c r="F19" s="20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11</v>
      </c>
      <c r="L19" s="5">
        <f t="shared" si="0"/>
        <v>0</v>
      </c>
    </row>
    <row r="20" spans="1:12">
      <c r="A20" s="2">
        <v>16</v>
      </c>
      <c r="B20" s="4" t="s">
        <v>42</v>
      </c>
      <c r="C20" s="2" t="s">
        <v>9</v>
      </c>
      <c r="D20" s="2"/>
      <c r="E20" s="5">
        <v>2.35</v>
      </c>
      <c r="F20" s="20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22</v>
      </c>
      <c r="L20" s="5">
        <f t="shared" si="0"/>
        <v>0</v>
      </c>
    </row>
    <row r="21" spans="1:12">
      <c r="A21" s="2">
        <v>17</v>
      </c>
      <c r="B21" s="4" t="s">
        <v>44</v>
      </c>
      <c r="C21" s="2" t="s">
        <v>9</v>
      </c>
      <c r="D21" s="2"/>
      <c r="E21" s="5">
        <v>1.3</v>
      </c>
      <c r="F21" s="20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34.5</v>
      </c>
      <c r="L21" s="5">
        <f t="shared" si="0"/>
        <v>0</v>
      </c>
    </row>
    <row r="22" spans="1:12">
      <c r="A22" s="2">
        <v>18</v>
      </c>
      <c r="B22" s="4" t="s">
        <v>46</v>
      </c>
      <c r="C22" s="2" t="s">
        <v>9</v>
      </c>
      <c r="D22" s="2"/>
      <c r="E22" s="5">
        <v>5.7</v>
      </c>
      <c r="F22" s="20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18.5</v>
      </c>
      <c r="L22" s="5">
        <f t="shared" si="0"/>
        <v>0</v>
      </c>
    </row>
    <row r="23" spans="1:12">
      <c r="A23" s="2">
        <v>19</v>
      </c>
      <c r="B23" s="4" t="s">
        <v>48</v>
      </c>
      <c r="C23" s="2" t="s">
        <v>9</v>
      </c>
      <c r="D23" s="2"/>
      <c r="E23" s="5">
        <v>6.45</v>
      </c>
      <c r="F23" s="20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12.5</v>
      </c>
      <c r="L23" s="5">
        <f t="shared" si="0"/>
        <v>0</v>
      </c>
    </row>
    <row r="24" spans="1:12">
      <c r="A24" s="2">
        <v>20</v>
      </c>
      <c r="B24" s="4" t="s">
        <v>50</v>
      </c>
      <c r="C24" s="2" t="s">
        <v>9</v>
      </c>
      <c r="D24" s="2"/>
      <c r="E24" s="5">
        <v>6</v>
      </c>
      <c r="F24" s="20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9</v>
      </c>
      <c r="L24" s="5">
        <f t="shared" si="0"/>
        <v>0</v>
      </c>
    </row>
    <row r="25" spans="1:12">
      <c r="A25" s="2">
        <v>21</v>
      </c>
      <c r="B25" s="4" t="s">
        <v>96</v>
      </c>
      <c r="C25" s="2" t="s">
        <v>9</v>
      </c>
      <c r="D25" s="2"/>
      <c r="E25" s="5">
        <v>6.8</v>
      </c>
      <c r="F25" s="20">
        <f t="shared" si="1"/>
        <v>0</v>
      </c>
      <c r="G25" s="2">
        <v>59</v>
      </c>
      <c r="H25" s="4" t="s">
        <v>252</v>
      </c>
      <c r="I25" s="2" t="s">
        <v>9</v>
      </c>
      <c r="J25" s="4"/>
      <c r="K25" s="2">
        <v>9</v>
      </c>
      <c r="L25" s="5">
        <f t="shared" si="0"/>
        <v>0</v>
      </c>
    </row>
    <row r="26" spans="1:12">
      <c r="A26" s="2">
        <v>22</v>
      </c>
      <c r="B26" s="4" t="s">
        <v>54</v>
      </c>
      <c r="C26" s="2" t="s">
        <v>9</v>
      </c>
      <c r="D26" s="2"/>
      <c r="E26" s="5">
        <v>5.4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5.95</v>
      </c>
      <c r="L26" s="5">
        <f t="shared" si="0"/>
        <v>0</v>
      </c>
    </row>
    <row r="27" spans="1:12">
      <c r="A27" s="2">
        <v>23</v>
      </c>
      <c r="B27" s="4" t="s">
        <v>56</v>
      </c>
      <c r="C27" s="2" t="s">
        <v>9</v>
      </c>
      <c r="D27" s="2"/>
      <c r="E27" s="5">
        <v>4.45</v>
      </c>
      <c r="F27" s="20">
        <f t="shared" si="1"/>
        <v>0</v>
      </c>
      <c r="G27" s="2">
        <v>61</v>
      </c>
      <c r="H27" s="4" t="s">
        <v>253</v>
      </c>
      <c r="I27" s="2" t="s">
        <v>9</v>
      </c>
      <c r="J27" s="4"/>
      <c r="K27" s="2">
        <v>3.5</v>
      </c>
      <c r="L27" s="5">
        <f t="shared" si="0"/>
        <v>0</v>
      </c>
    </row>
    <row r="28" spans="1:12">
      <c r="A28" s="2">
        <v>24</v>
      </c>
      <c r="B28" s="4" t="s">
        <v>58</v>
      </c>
      <c r="C28" s="2" t="s">
        <v>9</v>
      </c>
      <c r="D28" s="2"/>
      <c r="E28" s="5">
        <v>4.95</v>
      </c>
      <c r="F28" s="20">
        <f t="shared" si="1"/>
        <v>0</v>
      </c>
      <c r="G28" s="2">
        <v>62</v>
      </c>
      <c r="H28" s="4" t="s">
        <v>254</v>
      </c>
      <c r="I28" s="2" t="s">
        <v>9</v>
      </c>
      <c r="J28" s="4"/>
      <c r="K28" s="2">
        <v>7.7</v>
      </c>
      <c r="L28" s="5">
        <f t="shared" si="0"/>
        <v>0</v>
      </c>
    </row>
    <row r="29" spans="1:12">
      <c r="A29" s="2">
        <v>25</v>
      </c>
      <c r="B29" s="4" t="s">
        <v>60</v>
      </c>
      <c r="C29" s="2" t="s">
        <v>9</v>
      </c>
      <c r="D29" s="2"/>
      <c r="E29" s="5">
        <v>5.7</v>
      </c>
      <c r="F29" s="20">
        <f t="shared" si="1"/>
        <v>0</v>
      </c>
      <c r="G29" s="2">
        <v>63</v>
      </c>
      <c r="H29" s="4" t="s">
        <v>255</v>
      </c>
      <c r="I29" s="2" t="s">
        <v>9</v>
      </c>
      <c r="J29" s="4"/>
      <c r="K29" s="2">
        <v>5.9</v>
      </c>
      <c r="L29" s="5">
        <f t="shared" si="0"/>
        <v>0</v>
      </c>
    </row>
    <row r="30" spans="1:12">
      <c r="A30" s="2">
        <v>26</v>
      </c>
      <c r="B30" s="4" t="s">
        <v>62</v>
      </c>
      <c r="C30" s="2" t="s">
        <v>9</v>
      </c>
      <c r="D30" s="2"/>
      <c r="E30" s="5">
        <v>4.5999999999999996</v>
      </c>
      <c r="F30" s="5">
        <f t="shared" si="1"/>
        <v>0</v>
      </c>
      <c r="G30" s="2">
        <v>64</v>
      </c>
      <c r="H30" s="4" t="s">
        <v>256</v>
      </c>
      <c r="I30" s="2" t="s">
        <v>9</v>
      </c>
      <c r="J30" s="4"/>
      <c r="K30" s="2">
        <v>3.5</v>
      </c>
      <c r="L30" s="5">
        <f t="shared" si="0"/>
        <v>0</v>
      </c>
    </row>
    <row r="31" spans="1:12">
      <c r="A31" s="2">
        <v>27</v>
      </c>
      <c r="B31" s="4" t="s">
        <v>102</v>
      </c>
      <c r="C31" s="2" t="s">
        <v>9</v>
      </c>
      <c r="D31" s="2"/>
      <c r="E31" s="5">
        <v>5.95</v>
      </c>
      <c r="F31" s="5">
        <f t="shared" si="1"/>
        <v>0</v>
      </c>
      <c r="G31" s="2">
        <v>65</v>
      </c>
      <c r="H31" s="4" t="s">
        <v>257</v>
      </c>
      <c r="I31" s="2" t="s">
        <v>9</v>
      </c>
      <c r="J31" s="4"/>
      <c r="K31" s="2">
        <v>6.35</v>
      </c>
      <c r="L31" s="5">
        <f t="shared" si="0"/>
        <v>0</v>
      </c>
    </row>
    <row r="32" spans="1:12">
      <c r="A32" s="2">
        <v>28</v>
      </c>
      <c r="B32" s="4" t="s">
        <v>104</v>
      </c>
      <c r="C32" s="2" t="s">
        <v>9</v>
      </c>
      <c r="D32" s="2"/>
      <c r="E32" s="5">
        <v>7.7</v>
      </c>
      <c r="F32" s="20">
        <f t="shared" si="1"/>
        <v>0</v>
      </c>
      <c r="G32" s="2">
        <v>66</v>
      </c>
      <c r="H32" s="4" t="s">
        <v>258</v>
      </c>
      <c r="I32" s="2" t="s">
        <v>9</v>
      </c>
      <c r="J32" s="4"/>
      <c r="K32" s="2">
        <v>7.7</v>
      </c>
      <c r="L32" s="5">
        <f t="shared" si="0"/>
        <v>0</v>
      </c>
    </row>
    <row r="33" spans="1:13">
      <c r="A33" s="2">
        <v>29</v>
      </c>
      <c r="B33" s="4" t="s">
        <v>68</v>
      </c>
      <c r="C33" s="2" t="s">
        <v>9</v>
      </c>
      <c r="D33" s="2"/>
      <c r="E33" s="5">
        <v>5.5</v>
      </c>
      <c r="F33" s="5">
        <f t="shared" si="1"/>
        <v>0</v>
      </c>
      <c r="G33" s="2">
        <v>67</v>
      </c>
      <c r="H33" s="4" t="s">
        <v>259</v>
      </c>
      <c r="I33" s="2" t="s">
        <v>9</v>
      </c>
      <c r="J33" s="4"/>
      <c r="K33" s="2">
        <v>3.65</v>
      </c>
      <c r="L33" s="5">
        <f t="shared" si="0"/>
        <v>0</v>
      </c>
    </row>
    <row r="34" spans="1:13">
      <c r="A34" s="2">
        <v>30</v>
      </c>
      <c r="B34" s="4" t="s">
        <v>70</v>
      </c>
      <c r="C34" s="2" t="s">
        <v>9</v>
      </c>
      <c r="D34" s="2"/>
      <c r="E34" s="5">
        <v>6</v>
      </c>
      <c r="F34" s="5">
        <f t="shared" si="1"/>
        <v>0</v>
      </c>
      <c r="G34" s="2">
        <v>68</v>
      </c>
      <c r="H34" s="4"/>
      <c r="I34" s="2" t="s">
        <v>9</v>
      </c>
      <c r="J34" s="4"/>
      <c r="K34" s="2"/>
      <c r="L34" s="5">
        <f t="shared" si="0"/>
        <v>0</v>
      </c>
      <c r="M34" s="10"/>
    </row>
    <row r="35" spans="1:13">
      <c r="A35" s="2">
        <v>31</v>
      </c>
      <c r="B35" s="4" t="s">
        <v>72</v>
      </c>
      <c r="C35" s="2" t="s">
        <v>9</v>
      </c>
      <c r="D35" s="2"/>
      <c r="E35" s="5">
        <v>5.5</v>
      </c>
      <c r="F35" s="20">
        <f t="shared" si="1"/>
        <v>0</v>
      </c>
      <c r="G35" s="2">
        <v>69</v>
      </c>
      <c r="H35" s="4"/>
      <c r="I35" s="2" t="s">
        <v>9</v>
      </c>
      <c r="J35" s="4"/>
      <c r="K35" s="2"/>
      <c r="L35" s="5">
        <f t="shared" si="0"/>
        <v>0</v>
      </c>
    </row>
    <row r="36" spans="1:13">
      <c r="A36" s="2">
        <v>32</v>
      </c>
      <c r="B36" s="4" t="s">
        <v>74</v>
      </c>
      <c r="C36" s="2" t="s">
        <v>9</v>
      </c>
      <c r="D36" s="2"/>
      <c r="E36" s="2">
        <v>2.35</v>
      </c>
      <c r="F36" s="20">
        <f t="shared" si="1"/>
        <v>0</v>
      </c>
      <c r="G36" s="2">
        <v>70</v>
      </c>
      <c r="H36" s="4"/>
      <c r="I36" s="2" t="s">
        <v>9</v>
      </c>
      <c r="J36" s="4"/>
      <c r="K36" s="2"/>
      <c r="L36" s="5">
        <f t="shared" si="0"/>
        <v>0</v>
      </c>
    </row>
    <row r="37" spans="1:13">
      <c r="A37" s="2">
        <v>33</v>
      </c>
      <c r="B37" s="4" t="s">
        <v>76</v>
      </c>
      <c r="C37" s="2" t="s">
        <v>9</v>
      </c>
      <c r="D37" s="2"/>
      <c r="E37" s="2">
        <v>3.4</v>
      </c>
      <c r="F37" s="20">
        <f t="shared" si="1"/>
        <v>0</v>
      </c>
      <c r="G37" s="2">
        <v>71</v>
      </c>
      <c r="H37" s="4"/>
      <c r="I37" s="2" t="s">
        <v>9</v>
      </c>
      <c r="J37" s="4"/>
      <c r="K37" s="2"/>
      <c r="L37" s="5">
        <f t="shared" si="0"/>
        <v>0</v>
      </c>
      <c r="M37" s="11"/>
    </row>
    <row r="38" spans="1:13">
      <c r="A38" s="2">
        <v>34</v>
      </c>
      <c r="B38" s="4" t="s">
        <v>78</v>
      </c>
      <c r="C38" s="2" t="s">
        <v>9</v>
      </c>
      <c r="D38" s="2"/>
      <c r="E38" s="2">
        <v>6.45</v>
      </c>
      <c r="F38" s="20">
        <f t="shared" si="1"/>
        <v>0</v>
      </c>
      <c r="G38" s="2">
        <v>72</v>
      </c>
      <c r="H38" s="4"/>
      <c r="I38" s="2" t="s">
        <v>9</v>
      </c>
      <c r="J38" s="4"/>
      <c r="K38" s="2"/>
      <c r="L38" s="5">
        <f t="shared" si="0"/>
        <v>0</v>
      </c>
    </row>
    <row r="39" spans="1:13">
      <c r="A39" s="2">
        <v>35</v>
      </c>
      <c r="B39" s="4" t="s">
        <v>80</v>
      </c>
      <c r="C39" s="2" t="s">
        <v>9</v>
      </c>
      <c r="D39" s="2"/>
      <c r="E39" s="2">
        <v>3.95</v>
      </c>
      <c r="F39" s="20">
        <f t="shared" si="1"/>
        <v>0</v>
      </c>
      <c r="G39" s="2">
        <v>73</v>
      </c>
      <c r="H39" s="4"/>
      <c r="I39" s="2" t="s">
        <v>9</v>
      </c>
      <c r="J39" s="4"/>
      <c r="K39" s="2"/>
      <c r="L39" s="5">
        <f t="shared" si="0"/>
        <v>0</v>
      </c>
    </row>
    <row r="40" spans="1:13" ht="15.75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5+F6+F7+F8+F9+F10+F11+F12+L2+L3+L4++L5+L6+L7+L8+L9</f>
        <v>0</v>
      </c>
    </row>
    <row r="42" spans="1:13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>
  <dimension ref="A1:M42"/>
  <sheetViews>
    <sheetView topLeftCell="A19" workbookViewId="0">
      <selection activeCell="P47" sqref="P47"/>
    </sheetView>
  </sheetViews>
  <sheetFormatPr defaultRowHeight="15"/>
  <cols>
    <col min="1" max="1" width="4.7109375" style="17" customWidth="1"/>
    <col min="2" max="2" width="28.140625" customWidth="1"/>
    <col min="3" max="3" width="6.140625" customWidth="1"/>
    <col min="6" max="6" width="8.5703125" style="17" customWidth="1"/>
    <col min="7" max="7" width="4.85546875" style="17" customWidth="1"/>
    <col min="8" max="8" width="23.7109375" customWidth="1"/>
    <col min="9" max="9" width="6" bestFit="1" customWidth="1"/>
    <col min="10" max="10" width="6" customWidth="1"/>
    <col min="12" max="12" width="8.85546875" style="17"/>
  </cols>
  <sheetData>
    <row r="1" spans="1:12" ht="15.75">
      <c r="A1" s="30"/>
      <c r="B1" s="30"/>
      <c r="C1" s="30"/>
      <c r="D1" s="30" t="str">
        <f>[1]Сводная!D1</f>
        <v>19    12    2015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>
      <c r="A2" s="32" t="s">
        <v>246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</v>
      </c>
      <c r="L2" s="5">
        <f>J2*K2</f>
        <v>0</v>
      </c>
    </row>
    <row r="3" spans="1:12">
      <c r="A3" s="32" t="s">
        <v>247</v>
      </c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2.1</v>
      </c>
      <c r="L3" s="5">
        <f t="shared" ref="L3:L39" si="0">J3*K3</f>
        <v>0</v>
      </c>
    </row>
    <row r="4" spans="1:12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2.25</v>
      </c>
      <c r="L4" s="5">
        <f t="shared" si="0"/>
        <v>0</v>
      </c>
    </row>
    <row r="5" spans="1:12">
      <c r="A5" s="2">
        <v>1</v>
      </c>
      <c r="B5" s="4" t="s">
        <v>248</v>
      </c>
      <c r="C5" s="2" t="s">
        <v>9</v>
      </c>
      <c r="D5" s="2"/>
      <c r="E5" s="5">
        <v>6.55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2</v>
      </c>
      <c r="L5" s="5">
        <f t="shared" si="0"/>
        <v>0</v>
      </c>
    </row>
    <row r="6" spans="1:12">
      <c r="A6" s="2">
        <v>2</v>
      </c>
      <c r="B6" s="4" t="s">
        <v>14</v>
      </c>
      <c r="C6" s="2" t="s">
        <v>9</v>
      </c>
      <c r="D6" s="2"/>
      <c r="E6" s="5">
        <v>4.7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7.7</v>
      </c>
      <c r="L6" s="5">
        <f>J6*K6</f>
        <v>0</v>
      </c>
    </row>
    <row r="7" spans="1:12">
      <c r="A7" s="2">
        <v>3</v>
      </c>
      <c r="B7" s="4" t="s">
        <v>156</v>
      </c>
      <c r="C7" s="2" t="s">
        <v>9</v>
      </c>
      <c r="D7" s="2"/>
      <c r="E7" s="5">
        <v>5.2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2</v>
      </c>
      <c r="L7" s="5">
        <f t="shared" si="0"/>
        <v>0</v>
      </c>
    </row>
    <row r="8" spans="1:12">
      <c r="A8" s="2">
        <v>4</v>
      </c>
      <c r="B8" s="4" t="s">
        <v>18</v>
      </c>
      <c r="C8" s="2" t="s">
        <v>9</v>
      </c>
      <c r="D8" s="2"/>
      <c r="E8" s="5">
        <v>7.05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2.25</v>
      </c>
      <c r="L8" s="5">
        <f t="shared" si="0"/>
        <v>0</v>
      </c>
    </row>
    <row r="9" spans="1:12">
      <c r="A9" s="2">
        <v>5</v>
      </c>
      <c r="B9" s="4" t="s">
        <v>20</v>
      </c>
      <c r="C9" s="2" t="s">
        <v>9</v>
      </c>
      <c r="D9" s="2"/>
      <c r="E9" s="5">
        <v>4.9000000000000004</v>
      </c>
      <c r="F9" s="20">
        <f t="shared" si="1"/>
        <v>0</v>
      </c>
      <c r="G9" s="2">
        <v>43</v>
      </c>
      <c r="H9" s="4" t="s">
        <v>21</v>
      </c>
      <c r="I9" s="2" t="s">
        <v>9</v>
      </c>
      <c r="J9" s="2"/>
      <c r="K9" s="5">
        <v>2.4</v>
      </c>
      <c r="L9" s="5">
        <f t="shared" si="0"/>
        <v>0</v>
      </c>
    </row>
    <row r="10" spans="1:12">
      <c r="A10" s="2">
        <v>6</v>
      </c>
      <c r="B10" s="4" t="s">
        <v>22</v>
      </c>
      <c r="C10" s="2" t="s">
        <v>9</v>
      </c>
      <c r="D10" s="2"/>
      <c r="E10" s="5">
        <v>5.7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>
      <c r="A11" s="2">
        <v>7</v>
      </c>
      <c r="B11" s="4" t="s">
        <v>24</v>
      </c>
      <c r="C11" s="2" t="s">
        <v>9</v>
      </c>
      <c r="D11" s="2"/>
      <c r="E11" s="5">
        <v>5.2</v>
      </c>
      <c r="F11" s="20">
        <f t="shared" si="1"/>
        <v>0</v>
      </c>
      <c r="G11" s="2">
        <v>45</v>
      </c>
      <c r="H11" s="4" t="s">
        <v>249</v>
      </c>
      <c r="I11" s="2" t="s">
        <v>9</v>
      </c>
      <c r="J11" s="2"/>
      <c r="K11" s="5">
        <v>2.4</v>
      </c>
      <c r="L11" s="5">
        <f t="shared" si="0"/>
        <v>0</v>
      </c>
    </row>
    <row r="12" spans="1:12">
      <c r="A12" s="2">
        <v>8</v>
      </c>
      <c r="B12" s="4" t="s">
        <v>250</v>
      </c>
      <c r="C12" s="2" t="s">
        <v>9</v>
      </c>
      <c r="D12" s="2"/>
      <c r="E12" s="5">
        <v>5.2</v>
      </c>
      <c r="F12" s="20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2.1</v>
      </c>
      <c r="L12" s="5">
        <f t="shared" si="0"/>
        <v>0</v>
      </c>
    </row>
    <row r="13" spans="1:12">
      <c r="A13" s="2">
        <v>9</v>
      </c>
      <c r="B13" s="4" t="s">
        <v>162</v>
      </c>
      <c r="C13" s="2" t="s">
        <v>9</v>
      </c>
      <c r="D13" s="2"/>
      <c r="E13" s="5">
        <v>5.35</v>
      </c>
      <c r="F13" s="20">
        <f t="shared" si="1"/>
        <v>0</v>
      </c>
      <c r="G13" s="2">
        <v>47</v>
      </c>
      <c r="H13" s="4" t="s">
        <v>251</v>
      </c>
      <c r="I13" s="2" t="s">
        <v>9</v>
      </c>
      <c r="J13" s="2"/>
      <c r="K13" s="5">
        <v>2.1</v>
      </c>
      <c r="L13" s="5">
        <f t="shared" si="0"/>
        <v>0</v>
      </c>
    </row>
    <row r="14" spans="1:12">
      <c r="A14" s="2">
        <v>10</v>
      </c>
      <c r="B14" s="4" t="s">
        <v>30</v>
      </c>
      <c r="C14" s="2" t="s">
        <v>9</v>
      </c>
      <c r="D14" s="2"/>
      <c r="E14" s="5">
        <v>5.85</v>
      </c>
      <c r="F14" s="20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2.1</v>
      </c>
      <c r="L14" s="5">
        <f t="shared" si="0"/>
        <v>0</v>
      </c>
    </row>
    <row r="15" spans="1:12">
      <c r="A15" s="2">
        <v>11</v>
      </c>
      <c r="B15" s="4" t="s">
        <v>128</v>
      </c>
      <c r="C15" s="2" t="s">
        <v>9</v>
      </c>
      <c r="D15" s="2"/>
      <c r="E15" s="5">
        <v>6.5</v>
      </c>
      <c r="F15" s="20">
        <f t="shared" si="1"/>
        <v>0</v>
      </c>
      <c r="G15" s="2">
        <v>49</v>
      </c>
      <c r="H15" s="4" t="s">
        <v>129</v>
      </c>
      <c r="I15" s="2" t="s">
        <v>9</v>
      </c>
      <c r="J15" s="2"/>
      <c r="K15" s="5">
        <v>7.95</v>
      </c>
      <c r="L15" s="5">
        <f t="shared" si="0"/>
        <v>0</v>
      </c>
    </row>
    <row r="16" spans="1:12">
      <c r="A16" s="2">
        <v>12</v>
      </c>
      <c r="B16" s="4" t="s">
        <v>34</v>
      </c>
      <c r="C16" s="2" t="s">
        <v>9</v>
      </c>
      <c r="D16" s="2"/>
      <c r="E16" s="5">
        <v>6</v>
      </c>
      <c r="F16" s="20">
        <f t="shared" si="1"/>
        <v>0</v>
      </c>
      <c r="G16" s="2">
        <v>50</v>
      </c>
      <c r="H16" s="4" t="s">
        <v>35</v>
      </c>
      <c r="I16" s="2" t="s">
        <v>9</v>
      </c>
      <c r="J16" s="2"/>
      <c r="K16" s="5">
        <v>6.45</v>
      </c>
      <c r="L16" s="5">
        <f t="shared" si="0"/>
        <v>0</v>
      </c>
    </row>
    <row r="17" spans="1:12">
      <c r="A17" s="2">
        <v>13</v>
      </c>
      <c r="B17" s="4" t="s">
        <v>36</v>
      </c>
      <c r="C17" s="2" t="s">
        <v>9</v>
      </c>
      <c r="D17" s="2"/>
      <c r="E17" s="5">
        <v>6.5</v>
      </c>
      <c r="F17" s="20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6.35</v>
      </c>
      <c r="L17" s="5">
        <f t="shared" si="0"/>
        <v>0</v>
      </c>
    </row>
    <row r="18" spans="1:12">
      <c r="A18" s="2">
        <v>14</v>
      </c>
      <c r="B18" s="4" t="s">
        <v>38</v>
      </c>
      <c r="C18" s="2" t="s">
        <v>9</v>
      </c>
      <c r="D18" s="2"/>
      <c r="E18" s="5">
        <v>4.8</v>
      </c>
      <c r="F18" s="20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2.9</v>
      </c>
      <c r="L18" s="5">
        <f t="shared" si="0"/>
        <v>0</v>
      </c>
    </row>
    <row r="19" spans="1:12">
      <c r="A19" s="2">
        <v>15</v>
      </c>
      <c r="B19" s="4" t="s">
        <v>40</v>
      </c>
      <c r="C19" s="2" t="s">
        <v>9</v>
      </c>
      <c r="D19" s="2"/>
      <c r="E19" s="5">
        <v>5.3</v>
      </c>
      <c r="F19" s="20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11</v>
      </c>
      <c r="L19" s="5">
        <f t="shared" si="0"/>
        <v>0</v>
      </c>
    </row>
    <row r="20" spans="1:12">
      <c r="A20" s="2">
        <v>16</v>
      </c>
      <c r="B20" s="4" t="s">
        <v>42</v>
      </c>
      <c r="C20" s="2" t="s">
        <v>9</v>
      </c>
      <c r="D20" s="2"/>
      <c r="E20" s="5">
        <v>2.35</v>
      </c>
      <c r="F20" s="20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22</v>
      </c>
      <c r="L20" s="5">
        <f t="shared" si="0"/>
        <v>0</v>
      </c>
    </row>
    <row r="21" spans="1:12">
      <c r="A21" s="2">
        <v>17</v>
      </c>
      <c r="B21" s="4" t="s">
        <v>44</v>
      </c>
      <c r="C21" s="2" t="s">
        <v>9</v>
      </c>
      <c r="D21" s="2"/>
      <c r="E21" s="5">
        <v>1.3</v>
      </c>
      <c r="F21" s="20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34.5</v>
      </c>
      <c r="L21" s="5">
        <f t="shared" si="0"/>
        <v>0</v>
      </c>
    </row>
    <row r="22" spans="1:12">
      <c r="A22" s="2">
        <v>18</v>
      </c>
      <c r="B22" s="4" t="s">
        <v>46</v>
      </c>
      <c r="C22" s="2" t="s">
        <v>9</v>
      </c>
      <c r="D22" s="2"/>
      <c r="E22" s="5">
        <v>5.7</v>
      </c>
      <c r="F22" s="20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18.5</v>
      </c>
      <c r="L22" s="5">
        <f t="shared" si="0"/>
        <v>0</v>
      </c>
    </row>
    <row r="23" spans="1:12">
      <c r="A23" s="2">
        <v>19</v>
      </c>
      <c r="B23" s="4" t="s">
        <v>48</v>
      </c>
      <c r="C23" s="2" t="s">
        <v>9</v>
      </c>
      <c r="D23" s="2"/>
      <c r="E23" s="5">
        <v>6.45</v>
      </c>
      <c r="F23" s="20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12.5</v>
      </c>
      <c r="L23" s="5">
        <f t="shared" si="0"/>
        <v>0</v>
      </c>
    </row>
    <row r="24" spans="1:12">
      <c r="A24" s="2">
        <v>20</v>
      </c>
      <c r="B24" s="4" t="s">
        <v>50</v>
      </c>
      <c r="C24" s="2" t="s">
        <v>9</v>
      </c>
      <c r="D24" s="2"/>
      <c r="E24" s="5">
        <v>6</v>
      </c>
      <c r="F24" s="20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9</v>
      </c>
      <c r="L24" s="5">
        <f t="shared" si="0"/>
        <v>0</v>
      </c>
    </row>
    <row r="25" spans="1:12">
      <c r="A25" s="2">
        <v>21</v>
      </c>
      <c r="B25" s="4" t="s">
        <v>96</v>
      </c>
      <c r="C25" s="2" t="s">
        <v>9</v>
      </c>
      <c r="D25" s="2"/>
      <c r="E25" s="5">
        <v>6.8</v>
      </c>
      <c r="F25" s="20">
        <f t="shared" si="1"/>
        <v>0</v>
      </c>
      <c r="G25" s="2">
        <v>59</v>
      </c>
      <c r="H25" s="4" t="s">
        <v>252</v>
      </c>
      <c r="I25" s="2" t="s">
        <v>9</v>
      </c>
      <c r="J25" s="4"/>
      <c r="K25" s="2">
        <v>9</v>
      </c>
      <c r="L25" s="5">
        <f t="shared" si="0"/>
        <v>0</v>
      </c>
    </row>
    <row r="26" spans="1:12">
      <c r="A26" s="2">
        <v>22</v>
      </c>
      <c r="B26" s="4" t="s">
        <v>54</v>
      </c>
      <c r="C26" s="2" t="s">
        <v>9</v>
      </c>
      <c r="D26" s="2"/>
      <c r="E26" s="5">
        <v>5.4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5.95</v>
      </c>
      <c r="L26" s="5">
        <f t="shared" si="0"/>
        <v>0</v>
      </c>
    </row>
    <row r="27" spans="1:12">
      <c r="A27" s="2">
        <v>23</v>
      </c>
      <c r="B27" s="4" t="s">
        <v>56</v>
      </c>
      <c r="C27" s="2" t="s">
        <v>9</v>
      </c>
      <c r="D27" s="2"/>
      <c r="E27" s="5">
        <v>4.45</v>
      </c>
      <c r="F27" s="20">
        <f t="shared" si="1"/>
        <v>0</v>
      </c>
      <c r="G27" s="2">
        <v>61</v>
      </c>
      <c r="H27" s="4" t="s">
        <v>253</v>
      </c>
      <c r="I27" s="2" t="s">
        <v>9</v>
      </c>
      <c r="J27" s="4"/>
      <c r="K27" s="2">
        <v>3.5</v>
      </c>
      <c r="L27" s="5">
        <f t="shared" si="0"/>
        <v>0</v>
      </c>
    </row>
    <row r="28" spans="1:12">
      <c r="A28" s="2">
        <v>24</v>
      </c>
      <c r="B28" s="4" t="s">
        <v>58</v>
      </c>
      <c r="C28" s="2" t="s">
        <v>9</v>
      </c>
      <c r="D28" s="2"/>
      <c r="E28" s="5">
        <v>4.95</v>
      </c>
      <c r="F28" s="20">
        <f t="shared" si="1"/>
        <v>0</v>
      </c>
      <c r="G28" s="2">
        <v>62</v>
      </c>
      <c r="H28" s="4" t="s">
        <v>254</v>
      </c>
      <c r="I28" s="2" t="s">
        <v>9</v>
      </c>
      <c r="J28" s="4"/>
      <c r="K28" s="2">
        <v>7.7</v>
      </c>
      <c r="L28" s="5">
        <f t="shared" si="0"/>
        <v>0</v>
      </c>
    </row>
    <row r="29" spans="1:12">
      <c r="A29" s="2">
        <v>25</v>
      </c>
      <c r="B29" s="4" t="s">
        <v>60</v>
      </c>
      <c r="C29" s="2" t="s">
        <v>9</v>
      </c>
      <c r="D29" s="2"/>
      <c r="E29" s="5">
        <v>5.7</v>
      </c>
      <c r="F29" s="20">
        <f t="shared" si="1"/>
        <v>0</v>
      </c>
      <c r="G29" s="2">
        <v>63</v>
      </c>
      <c r="H29" s="4" t="s">
        <v>255</v>
      </c>
      <c r="I29" s="2" t="s">
        <v>9</v>
      </c>
      <c r="J29" s="4"/>
      <c r="K29" s="2">
        <v>5.9</v>
      </c>
      <c r="L29" s="5">
        <f t="shared" si="0"/>
        <v>0</v>
      </c>
    </row>
    <row r="30" spans="1:12">
      <c r="A30" s="2">
        <v>26</v>
      </c>
      <c r="B30" s="4" t="s">
        <v>62</v>
      </c>
      <c r="C30" s="2" t="s">
        <v>9</v>
      </c>
      <c r="D30" s="2"/>
      <c r="E30" s="5">
        <v>4.5999999999999996</v>
      </c>
      <c r="F30" s="5">
        <f t="shared" si="1"/>
        <v>0</v>
      </c>
      <c r="G30" s="2">
        <v>64</v>
      </c>
      <c r="H30" s="4" t="s">
        <v>256</v>
      </c>
      <c r="I30" s="2" t="s">
        <v>9</v>
      </c>
      <c r="J30" s="4"/>
      <c r="K30" s="2">
        <v>3.5</v>
      </c>
      <c r="L30" s="5">
        <f t="shared" si="0"/>
        <v>0</v>
      </c>
    </row>
    <row r="31" spans="1:12">
      <c r="A31" s="2">
        <v>27</v>
      </c>
      <c r="B31" s="4" t="s">
        <v>102</v>
      </c>
      <c r="C31" s="2" t="s">
        <v>9</v>
      </c>
      <c r="D31" s="2"/>
      <c r="E31" s="5">
        <v>5.95</v>
      </c>
      <c r="F31" s="5">
        <f t="shared" si="1"/>
        <v>0</v>
      </c>
      <c r="G31" s="2">
        <v>65</v>
      </c>
      <c r="H31" s="4" t="s">
        <v>257</v>
      </c>
      <c r="I31" s="2" t="s">
        <v>9</v>
      </c>
      <c r="J31" s="4"/>
      <c r="K31" s="2">
        <v>6.35</v>
      </c>
      <c r="L31" s="5">
        <f t="shared" si="0"/>
        <v>0</v>
      </c>
    </row>
    <row r="32" spans="1:12">
      <c r="A32" s="2">
        <v>28</v>
      </c>
      <c r="B32" s="4" t="s">
        <v>104</v>
      </c>
      <c r="C32" s="2" t="s">
        <v>9</v>
      </c>
      <c r="D32" s="2"/>
      <c r="E32" s="5">
        <v>7.7</v>
      </c>
      <c r="F32" s="20">
        <f t="shared" si="1"/>
        <v>0</v>
      </c>
      <c r="G32" s="2">
        <v>66</v>
      </c>
      <c r="H32" s="4" t="s">
        <v>258</v>
      </c>
      <c r="I32" s="2" t="s">
        <v>9</v>
      </c>
      <c r="J32" s="4"/>
      <c r="K32" s="2">
        <v>7.7</v>
      </c>
      <c r="L32" s="5">
        <f t="shared" si="0"/>
        <v>0</v>
      </c>
    </row>
    <row r="33" spans="1:13">
      <c r="A33" s="2">
        <v>29</v>
      </c>
      <c r="B33" s="4" t="s">
        <v>68</v>
      </c>
      <c r="C33" s="2" t="s">
        <v>9</v>
      </c>
      <c r="D33" s="2"/>
      <c r="E33" s="5">
        <v>5.5</v>
      </c>
      <c r="F33" s="5">
        <f t="shared" si="1"/>
        <v>0</v>
      </c>
      <c r="G33" s="2">
        <v>67</v>
      </c>
      <c r="H33" s="4" t="s">
        <v>259</v>
      </c>
      <c r="I33" s="2" t="s">
        <v>9</v>
      </c>
      <c r="J33" s="4"/>
      <c r="K33" s="2">
        <v>3.65</v>
      </c>
      <c r="L33" s="5">
        <f t="shared" si="0"/>
        <v>0</v>
      </c>
    </row>
    <row r="34" spans="1:13">
      <c r="A34" s="2">
        <v>30</v>
      </c>
      <c r="B34" s="4" t="s">
        <v>70</v>
      </c>
      <c r="C34" s="2" t="s">
        <v>9</v>
      </c>
      <c r="D34" s="2"/>
      <c r="E34" s="5">
        <v>6</v>
      </c>
      <c r="F34" s="5">
        <f t="shared" si="1"/>
        <v>0</v>
      </c>
      <c r="G34" s="2">
        <v>68</v>
      </c>
      <c r="H34" s="4"/>
      <c r="I34" s="2" t="s">
        <v>9</v>
      </c>
      <c r="J34" s="4"/>
      <c r="K34" s="2"/>
      <c r="L34" s="5">
        <f t="shared" si="0"/>
        <v>0</v>
      </c>
      <c r="M34" s="10"/>
    </row>
    <row r="35" spans="1:13">
      <c r="A35" s="2">
        <v>31</v>
      </c>
      <c r="B35" s="4" t="s">
        <v>72</v>
      </c>
      <c r="C35" s="2" t="s">
        <v>9</v>
      </c>
      <c r="D35" s="2"/>
      <c r="E35" s="5">
        <v>5.5</v>
      </c>
      <c r="F35" s="20">
        <f t="shared" si="1"/>
        <v>0</v>
      </c>
      <c r="G35" s="2">
        <v>69</v>
      </c>
      <c r="H35" s="4"/>
      <c r="I35" s="2" t="s">
        <v>9</v>
      </c>
      <c r="J35" s="4"/>
      <c r="K35" s="2"/>
      <c r="L35" s="5">
        <f t="shared" si="0"/>
        <v>0</v>
      </c>
    </row>
    <row r="36" spans="1:13">
      <c r="A36" s="2">
        <v>32</v>
      </c>
      <c r="B36" s="4" t="s">
        <v>74</v>
      </c>
      <c r="C36" s="2" t="s">
        <v>9</v>
      </c>
      <c r="D36" s="2"/>
      <c r="E36" s="2">
        <v>2.35</v>
      </c>
      <c r="F36" s="20">
        <f t="shared" si="1"/>
        <v>0</v>
      </c>
      <c r="G36" s="2">
        <v>70</v>
      </c>
      <c r="H36" s="4"/>
      <c r="I36" s="2" t="s">
        <v>9</v>
      </c>
      <c r="J36" s="4"/>
      <c r="K36" s="2"/>
      <c r="L36" s="5">
        <f t="shared" si="0"/>
        <v>0</v>
      </c>
    </row>
    <row r="37" spans="1:13">
      <c r="A37" s="2">
        <v>33</v>
      </c>
      <c r="B37" s="4" t="s">
        <v>76</v>
      </c>
      <c r="C37" s="2" t="s">
        <v>9</v>
      </c>
      <c r="D37" s="2"/>
      <c r="E37" s="2">
        <v>3.4</v>
      </c>
      <c r="F37" s="20">
        <f t="shared" si="1"/>
        <v>0</v>
      </c>
      <c r="G37" s="2">
        <v>71</v>
      </c>
      <c r="H37" s="4"/>
      <c r="I37" s="2" t="s">
        <v>9</v>
      </c>
      <c r="J37" s="4"/>
      <c r="K37" s="2"/>
      <c r="L37" s="5">
        <f t="shared" si="0"/>
        <v>0</v>
      </c>
      <c r="M37" s="11"/>
    </row>
    <row r="38" spans="1:13">
      <c r="A38" s="2">
        <v>34</v>
      </c>
      <c r="B38" s="4" t="s">
        <v>78</v>
      </c>
      <c r="C38" s="2" t="s">
        <v>9</v>
      </c>
      <c r="D38" s="2"/>
      <c r="E38" s="2">
        <v>6.45</v>
      </c>
      <c r="F38" s="20">
        <f t="shared" si="1"/>
        <v>0</v>
      </c>
      <c r="G38" s="2">
        <v>72</v>
      </c>
      <c r="H38" s="4"/>
      <c r="I38" s="2" t="s">
        <v>9</v>
      </c>
      <c r="J38" s="4"/>
      <c r="K38" s="2"/>
      <c r="L38" s="5">
        <f t="shared" si="0"/>
        <v>0</v>
      </c>
    </row>
    <row r="39" spans="1:13">
      <c r="A39" s="2">
        <v>35</v>
      </c>
      <c r="B39" s="4" t="s">
        <v>80</v>
      </c>
      <c r="C39" s="2" t="s">
        <v>9</v>
      </c>
      <c r="D39" s="2"/>
      <c r="E39" s="2">
        <v>3.95</v>
      </c>
      <c r="F39" s="20">
        <f t="shared" si="1"/>
        <v>0</v>
      </c>
      <c r="G39" s="2">
        <v>73</v>
      </c>
      <c r="H39" s="4"/>
      <c r="I39" s="2" t="s">
        <v>9</v>
      </c>
      <c r="J39" s="4"/>
      <c r="K39" s="2"/>
      <c r="L39" s="5">
        <f t="shared" si="0"/>
        <v>0</v>
      </c>
    </row>
    <row r="40" spans="1:13" ht="15.75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5+F6+F7+F8+F9+F10+F11+F12+L2+L3+L4++L5+L6+L7+L8+L9</f>
        <v>0</v>
      </c>
    </row>
    <row r="42" spans="1:13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>
  <dimension ref="A1:M42"/>
  <sheetViews>
    <sheetView topLeftCell="A19" workbookViewId="0">
      <selection activeCell="P47" sqref="P47"/>
    </sheetView>
  </sheetViews>
  <sheetFormatPr defaultRowHeight="15"/>
  <cols>
    <col min="1" max="1" width="4.7109375" style="17" customWidth="1"/>
    <col min="2" max="2" width="28.140625" customWidth="1"/>
    <col min="3" max="3" width="6.140625" customWidth="1"/>
    <col min="6" max="6" width="8.5703125" style="17" customWidth="1"/>
    <col min="7" max="7" width="4.85546875" style="17" customWidth="1"/>
    <col min="8" max="8" width="23.7109375" customWidth="1"/>
    <col min="9" max="9" width="6" bestFit="1" customWidth="1"/>
    <col min="10" max="10" width="6" customWidth="1"/>
    <col min="12" max="12" width="8.85546875" style="17"/>
  </cols>
  <sheetData>
    <row r="1" spans="1:12" ht="15.75">
      <c r="A1" s="30"/>
      <c r="B1" s="30"/>
      <c r="C1" s="30"/>
      <c r="D1" s="30" t="str">
        <f>[1]Сводная!D1</f>
        <v>19    12    2015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>
      <c r="A2" s="32" t="s">
        <v>246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</v>
      </c>
      <c r="L2" s="5">
        <f>J2*K2</f>
        <v>0</v>
      </c>
    </row>
    <row r="3" spans="1:12">
      <c r="A3" s="32" t="s">
        <v>247</v>
      </c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2.1</v>
      </c>
      <c r="L3" s="5">
        <f t="shared" ref="L3:L39" si="0">J3*K3</f>
        <v>0</v>
      </c>
    </row>
    <row r="4" spans="1:12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2.25</v>
      </c>
      <c r="L4" s="5">
        <f t="shared" si="0"/>
        <v>0</v>
      </c>
    </row>
    <row r="5" spans="1:12">
      <c r="A5" s="2">
        <v>1</v>
      </c>
      <c r="B5" s="4" t="s">
        <v>248</v>
      </c>
      <c r="C5" s="2" t="s">
        <v>9</v>
      </c>
      <c r="D5" s="2"/>
      <c r="E5" s="5">
        <v>6.55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2</v>
      </c>
      <c r="L5" s="5">
        <f t="shared" si="0"/>
        <v>0</v>
      </c>
    </row>
    <row r="6" spans="1:12">
      <c r="A6" s="2">
        <v>2</v>
      </c>
      <c r="B6" s="4" t="s">
        <v>14</v>
      </c>
      <c r="C6" s="2" t="s">
        <v>9</v>
      </c>
      <c r="D6" s="2"/>
      <c r="E6" s="5">
        <v>4.7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7.7</v>
      </c>
      <c r="L6" s="5">
        <f>J6*K6</f>
        <v>0</v>
      </c>
    </row>
    <row r="7" spans="1:12">
      <c r="A7" s="2">
        <v>3</v>
      </c>
      <c r="B7" s="4" t="s">
        <v>156</v>
      </c>
      <c r="C7" s="2" t="s">
        <v>9</v>
      </c>
      <c r="D7" s="2"/>
      <c r="E7" s="5">
        <v>5.2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2</v>
      </c>
      <c r="L7" s="5">
        <f t="shared" si="0"/>
        <v>0</v>
      </c>
    </row>
    <row r="8" spans="1:12">
      <c r="A8" s="2">
        <v>4</v>
      </c>
      <c r="B8" s="4" t="s">
        <v>18</v>
      </c>
      <c r="C8" s="2" t="s">
        <v>9</v>
      </c>
      <c r="D8" s="2"/>
      <c r="E8" s="5">
        <v>7.05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2.25</v>
      </c>
      <c r="L8" s="5">
        <f t="shared" si="0"/>
        <v>0</v>
      </c>
    </row>
    <row r="9" spans="1:12">
      <c r="A9" s="2">
        <v>5</v>
      </c>
      <c r="B9" s="4" t="s">
        <v>20</v>
      </c>
      <c r="C9" s="2" t="s">
        <v>9</v>
      </c>
      <c r="D9" s="2"/>
      <c r="E9" s="5">
        <v>4.9000000000000004</v>
      </c>
      <c r="F9" s="20">
        <f t="shared" si="1"/>
        <v>0</v>
      </c>
      <c r="G9" s="2">
        <v>43</v>
      </c>
      <c r="H9" s="4" t="s">
        <v>21</v>
      </c>
      <c r="I9" s="2" t="s">
        <v>9</v>
      </c>
      <c r="J9" s="2"/>
      <c r="K9" s="5">
        <v>2.4</v>
      </c>
      <c r="L9" s="5">
        <f t="shared" si="0"/>
        <v>0</v>
      </c>
    </row>
    <row r="10" spans="1:12">
      <c r="A10" s="2">
        <v>6</v>
      </c>
      <c r="B10" s="4" t="s">
        <v>22</v>
      </c>
      <c r="C10" s="2" t="s">
        <v>9</v>
      </c>
      <c r="D10" s="2"/>
      <c r="E10" s="5">
        <v>5.7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>
      <c r="A11" s="2">
        <v>7</v>
      </c>
      <c r="B11" s="4" t="s">
        <v>24</v>
      </c>
      <c r="C11" s="2" t="s">
        <v>9</v>
      </c>
      <c r="D11" s="2"/>
      <c r="E11" s="5">
        <v>5.2</v>
      </c>
      <c r="F11" s="20">
        <f t="shared" si="1"/>
        <v>0</v>
      </c>
      <c r="G11" s="2">
        <v>45</v>
      </c>
      <c r="H11" s="4" t="s">
        <v>249</v>
      </c>
      <c r="I11" s="2" t="s">
        <v>9</v>
      </c>
      <c r="J11" s="2"/>
      <c r="K11" s="5">
        <v>2.4</v>
      </c>
      <c r="L11" s="5">
        <f t="shared" si="0"/>
        <v>0</v>
      </c>
    </row>
    <row r="12" spans="1:12">
      <c r="A12" s="2">
        <v>8</v>
      </c>
      <c r="B12" s="4" t="s">
        <v>250</v>
      </c>
      <c r="C12" s="2" t="s">
        <v>9</v>
      </c>
      <c r="D12" s="2"/>
      <c r="E12" s="5">
        <v>5.2</v>
      </c>
      <c r="F12" s="20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2.1</v>
      </c>
      <c r="L12" s="5">
        <f t="shared" si="0"/>
        <v>0</v>
      </c>
    </row>
    <row r="13" spans="1:12">
      <c r="A13" s="2">
        <v>9</v>
      </c>
      <c r="B13" s="4" t="s">
        <v>162</v>
      </c>
      <c r="C13" s="2" t="s">
        <v>9</v>
      </c>
      <c r="D13" s="2"/>
      <c r="E13" s="5">
        <v>5.35</v>
      </c>
      <c r="F13" s="20">
        <f t="shared" si="1"/>
        <v>0</v>
      </c>
      <c r="G13" s="2">
        <v>47</v>
      </c>
      <c r="H13" s="4" t="s">
        <v>251</v>
      </c>
      <c r="I13" s="2" t="s">
        <v>9</v>
      </c>
      <c r="J13" s="2"/>
      <c r="K13" s="5">
        <v>2.1</v>
      </c>
      <c r="L13" s="5">
        <f t="shared" si="0"/>
        <v>0</v>
      </c>
    </row>
    <row r="14" spans="1:12">
      <c r="A14" s="2">
        <v>10</v>
      </c>
      <c r="B14" s="4" t="s">
        <v>30</v>
      </c>
      <c r="C14" s="2" t="s">
        <v>9</v>
      </c>
      <c r="D14" s="2"/>
      <c r="E14" s="5">
        <v>5.85</v>
      </c>
      <c r="F14" s="20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2.1</v>
      </c>
      <c r="L14" s="5">
        <f t="shared" si="0"/>
        <v>0</v>
      </c>
    </row>
    <row r="15" spans="1:12">
      <c r="A15" s="2">
        <v>11</v>
      </c>
      <c r="B15" s="4" t="s">
        <v>128</v>
      </c>
      <c r="C15" s="2" t="s">
        <v>9</v>
      </c>
      <c r="D15" s="2"/>
      <c r="E15" s="5">
        <v>6.5</v>
      </c>
      <c r="F15" s="20">
        <f t="shared" si="1"/>
        <v>0</v>
      </c>
      <c r="G15" s="2">
        <v>49</v>
      </c>
      <c r="H15" s="4" t="s">
        <v>129</v>
      </c>
      <c r="I15" s="2" t="s">
        <v>9</v>
      </c>
      <c r="J15" s="2"/>
      <c r="K15" s="5">
        <v>7.95</v>
      </c>
      <c r="L15" s="5">
        <f t="shared" si="0"/>
        <v>0</v>
      </c>
    </row>
    <row r="16" spans="1:12">
      <c r="A16" s="2">
        <v>12</v>
      </c>
      <c r="B16" s="4" t="s">
        <v>34</v>
      </c>
      <c r="C16" s="2" t="s">
        <v>9</v>
      </c>
      <c r="D16" s="2"/>
      <c r="E16" s="5">
        <v>6</v>
      </c>
      <c r="F16" s="20">
        <f t="shared" si="1"/>
        <v>0</v>
      </c>
      <c r="G16" s="2">
        <v>50</v>
      </c>
      <c r="H16" s="4" t="s">
        <v>35</v>
      </c>
      <c r="I16" s="2" t="s">
        <v>9</v>
      </c>
      <c r="J16" s="2"/>
      <c r="K16" s="5">
        <v>6.45</v>
      </c>
      <c r="L16" s="5">
        <f t="shared" si="0"/>
        <v>0</v>
      </c>
    </row>
    <row r="17" spans="1:12">
      <c r="A17" s="2">
        <v>13</v>
      </c>
      <c r="B17" s="4" t="s">
        <v>36</v>
      </c>
      <c r="C17" s="2" t="s">
        <v>9</v>
      </c>
      <c r="D17" s="2"/>
      <c r="E17" s="5">
        <v>6.5</v>
      </c>
      <c r="F17" s="20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6.35</v>
      </c>
      <c r="L17" s="5">
        <f t="shared" si="0"/>
        <v>0</v>
      </c>
    </row>
    <row r="18" spans="1:12">
      <c r="A18" s="2">
        <v>14</v>
      </c>
      <c r="B18" s="4" t="s">
        <v>38</v>
      </c>
      <c r="C18" s="2" t="s">
        <v>9</v>
      </c>
      <c r="D18" s="2"/>
      <c r="E18" s="5">
        <v>4.8</v>
      </c>
      <c r="F18" s="20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2.9</v>
      </c>
      <c r="L18" s="5">
        <f t="shared" si="0"/>
        <v>0</v>
      </c>
    </row>
    <row r="19" spans="1:12">
      <c r="A19" s="2">
        <v>15</v>
      </c>
      <c r="B19" s="4" t="s">
        <v>40</v>
      </c>
      <c r="C19" s="2" t="s">
        <v>9</v>
      </c>
      <c r="D19" s="2"/>
      <c r="E19" s="5">
        <v>5.3</v>
      </c>
      <c r="F19" s="20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11</v>
      </c>
      <c r="L19" s="5">
        <f t="shared" si="0"/>
        <v>0</v>
      </c>
    </row>
    <row r="20" spans="1:12">
      <c r="A20" s="2">
        <v>16</v>
      </c>
      <c r="B20" s="4" t="s">
        <v>42</v>
      </c>
      <c r="C20" s="2" t="s">
        <v>9</v>
      </c>
      <c r="D20" s="2"/>
      <c r="E20" s="5">
        <v>2.35</v>
      </c>
      <c r="F20" s="20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22</v>
      </c>
      <c r="L20" s="5">
        <f t="shared" si="0"/>
        <v>0</v>
      </c>
    </row>
    <row r="21" spans="1:12">
      <c r="A21" s="2">
        <v>17</v>
      </c>
      <c r="B21" s="4" t="s">
        <v>44</v>
      </c>
      <c r="C21" s="2" t="s">
        <v>9</v>
      </c>
      <c r="D21" s="2"/>
      <c r="E21" s="5">
        <v>1.3</v>
      </c>
      <c r="F21" s="20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34.5</v>
      </c>
      <c r="L21" s="5">
        <f t="shared" si="0"/>
        <v>0</v>
      </c>
    </row>
    <row r="22" spans="1:12">
      <c r="A22" s="2">
        <v>18</v>
      </c>
      <c r="B22" s="4" t="s">
        <v>46</v>
      </c>
      <c r="C22" s="2" t="s">
        <v>9</v>
      </c>
      <c r="D22" s="2"/>
      <c r="E22" s="5">
        <v>5.7</v>
      </c>
      <c r="F22" s="20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18.5</v>
      </c>
      <c r="L22" s="5">
        <f t="shared" si="0"/>
        <v>0</v>
      </c>
    </row>
    <row r="23" spans="1:12">
      <c r="A23" s="2">
        <v>19</v>
      </c>
      <c r="B23" s="4" t="s">
        <v>48</v>
      </c>
      <c r="C23" s="2" t="s">
        <v>9</v>
      </c>
      <c r="D23" s="2"/>
      <c r="E23" s="5">
        <v>6.45</v>
      </c>
      <c r="F23" s="20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12.5</v>
      </c>
      <c r="L23" s="5">
        <f t="shared" si="0"/>
        <v>0</v>
      </c>
    </row>
    <row r="24" spans="1:12">
      <c r="A24" s="2">
        <v>20</v>
      </c>
      <c r="B24" s="4" t="s">
        <v>50</v>
      </c>
      <c r="C24" s="2" t="s">
        <v>9</v>
      </c>
      <c r="D24" s="2"/>
      <c r="E24" s="5">
        <v>6</v>
      </c>
      <c r="F24" s="20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9</v>
      </c>
      <c r="L24" s="5">
        <f t="shared" si="0"/>
        <v>0</v>
      </c>
    </row>
    <row r="25" spans="1:12">
      <c r="A25" s="2">
        <v>21</v>
      </c>
      <c r="B25" s="4" t="s">
        <v>96</v>
      </c>
      <c r="C25" s="2" t="s">
        <v>9</v>
      </c>
      <c r="D25" s="2"/>
      <c r="E25" s="5">
        <v>6.8</v>
      </c>
      <c r="F25" s="20">
        <f t="shared" si="1"/>
        <v>0</v>
      </c>
      <c r="G25" s="2">
        <v>59</v>
      </c>
      <c r="H25" s="4" t="s">
        <v>252</v>
      </c>
      <c r="I25" s="2" t="s">
        <v>9</v>
      </c>
      <c r="J25" s="4"/>
      <c r="K25" s="2">
        <v>9</v>
      </c>
      <c r="L25" s="5">
        <f t="shared" si="0"/>
        <v>0</v>
      </c>
    </row>
    <row r="26" spans="1:12">
      <c r="A26" s="2">
        <v>22</v>
      </c>
      <c r="B26" s="4" t="s">
        <v>54</v>
      </c>
      <c r="C26" s="2" t="s">
        <v>9</v>
      </c>
      <c r="D26" s="2"/>
      <c r="E26" s="5">
        <v>5.4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5.95</v>
      </c>
      <c r="L26" s="5">
        <f t="shared" si="0"/>
        <v>0</v>
      </c>
    </row>
    <row r="27" spans="1:12">
      <c r="A27" s="2">
        <v>23</v>
      </c>
      <c r="B27" s="4" t="s">
        <v>56</v>
      </c>
      <c r="C27" s="2" t="s">
        <v>9</v>
      </c>
      <c r="D27" s="2"/>
      <c r="E27" s="5">
        <v>4.45</v>
      </c>
      <c r="F27" s="20">
        <f t="shared" si="1"/>
        <v>0</v>
      </c>
      <c r="G27" s="2">
        <v>61</v>
      </c>
      <c r="H27" s="4" t="s">
        <v>253</v>
      </c>
      <c r="I27" s="2" t="s">
        <v>9</v>
      </c>
      <c r="J27" s="4"/>
      <c r="K27" s="2">
        <v>3.5</v>
      </c>
      <c r="L27" s="5">
        <f t="shared" si="0"/>
        <v>0</v>
      </c>
    </row>
    <row r="28" spans="1:12">
      <c r="A28" s="2">
        <v>24</v>
      </c>
      <c r="B28" s="4" t="s">
        <v>58</v>
      </c>
      <c r="C28" s="2" t="s">
        <v>9</v>
      </c>
      <c r="D28" s="2"/>
      <c r="E28" s="5">
        <v>4.95</v>
      </c>
      <c r="F28" s="20">
        <f t="shared" si="1"/>
        <v>0</v>
      </c>
      <c r="G28" s="2">
        <v>62</v>
      </c>
      <c r="H28" s="4" t="s">
        <v>254</v>
      </c>
      <c r="I28" s="2" t="s">
        <v>9</v>
      </c>
      <c r="J28" s="4"/>
      <c r="K28" s="2">
        <v>7.7</v>
      </c>
      <c r="L28" s="5">
        <f t="shared" si="0"/>
        <v>0</v>
      </c>
    </row>
    <row r="29" spans="1:12">
      <c r="A29" s="2">
        <v>25</v>
      </c>
      <c r="B29" s="4" t="s">
        <v>60</v>
      </c>
      <c r="C29" s="2" t="s">
        <v>9</v>
      </c>
      <c r="D29" s="2"/>
      <c r="E29" s="5">
        <v>5.7</v>
      </c>
      <c r="F29" s="20">
        <f t="shared" si="1"/>
        <v>0</v>
      </c>
      <c r="G29" s="2">
        <v>63</v>
      </c>
      <c r="H29" s="4" t="s">
        <v>255</v>
      </c>
      <c r="I29" s="2" t="s">
        <v>9</v>
      </c>
      <c r="J29" s="4"/>
      <c r="K29" s="2">
        <v>5.9</v>
      </c>
      <c r="L29" s="5">
        <f t="shared" si="0"/>
        <v>0</v>
      </c>
    </row>
    <row r="30" spans="1:12">
      <c r="A30" s="2">
        <v>26</v>
      </c>
      <c r="B30" s="4" t="s">
        <v>62</v>
      </c>
      <c r="C30" s="2" t="s">
        <v>9</v>
      </c>
      <c r="D30" s="2"/>
      <c r="E30" s="5">
        <v>4.5999999999999996</v>
      </c>
      <c r="F30" s="5">
        <f t="shared" si="1"/>
        <v>0</v>
      </c>
      <c r="G30" s="2">
        <v>64</v>
      </c>
      <c r="H30" s="4" t="s">
        <v>256</v>
      </c>
      <c r="I30" s="2" t="s">
        <v>9</v>
      </c>
      <c r="J30" s="4"/>
      <c r="K30" s="2">
        <v>3.5</v>
      </c>
      <c r="L30" s="5">
        <f t="shared" si="0"/>
        <v>0</v>
      </c>
    </row>
    <row r="31" spans="1:12">
      <c r="A31" s="2">
        <v>27</v>
      </c>
      <c r="B31" s="4" t="s">
        <v>102</v>
      </c>
      <c r="C31" s="2" t="s">
        <v>9</v>
      </c>
      <c r="D31" s="2"/>
      <c r="E31" s="5">
        <v>5.95</v>
      </c>
      <c r="F31" s="5">
        <f t="shared" si="1"/>
        <v>0</v>
      </c>
      <c r="G31" s="2">
        <v>65</v>
      </c>
      <c r="H31" s="4" t="s">
        <v>257</v>
      </c>
      <c r="I31" s="2" t="s">
        <v>9</v>
      </c>
      <c r="J31" s="4"/>
      <c r="K31" s="2">
        <v>6.35</v>
      </c>
      <c r="L31" s="5">
        <f t="shared" si="0"/>
        <v>0</v>
      </c>
    </row>
    <row r="32" spans="1:12">
      <c r="A32" s="2">
        <v>28</v>
      </c>
      <c r="B32" s="4" t="s">
        <v>104</v>
      </c>
      <c r="C32" s="2" t="s">
        <v>9</v>
      </c>
      <c r="D32" s="2"/>
      <c r="E32" s="5">
        <v>7.7</v>
      </c>
      <c r="F32" s="20">
        <f t="shared" si="1"/>
        <v>0</v>
      </c>
      <c r="G32" s="2">
        <v>66</v>
      </c>
      <c r="H32" s="4" t="s">
        <v>258</v>
      </c>
      <c r="I32" s="2" t="s">
        <v>9</v>
      </c>
      <c r="J32" s="4"/>
      <c r="K32" s="2">
        <v>7.7</v>
      </c>
      <c r="L32" s="5">
        <f t="shared" si="0"/>
        <v>0</v>
      </c>
    </row>
    <row r="33" spans="1:13">
      <c r="A33" s="2">
        <v>29</v>
      </c>
      <c r="B33" s="4" t="s">
        <v>68</v>
      </c>
      <c r="C33" s="2" t="s">
        <v>9</v>
      </c>
      <c r="D33" s="2"/>
      <c r="E33" s="5">
        <v>5.5</v>
      </c>
      <c r="F33" s="5">
        <f t="shared" si="1"/>
        <v>0</v>
      </c>
      <c r="G33" s="2">
        <v>67</v>
      </c>
      <c r="H33" s="4" t="s">
        <v>259</v>
      </c>
      <c r="I33" s="2" t="s">
        <v>9</v>
      </c>
      <c r="J33" s="4"/>
      <c r="K33" s="2">
        <v>3.65</v>
      </c>
      <c r="L33" s="5">
        <f t="shared" si="0"/>
        <v>0</v>
      </c>
    </row>
    <row r="34" spans="1:13">
      <c r="A34" s="2">
        <v>30</v>
      </c>
      <c r="B34" s="4" t="s">
        <v>70</v>
      </c>
      <c r="C34" s="2" t="s">
        <v>9</v>
      </c>
      <c r="D34" s="2"/>
      <c r="E34" s="5">
        <v>6</v>
      </c>
      <c r="F34" s="5">
        <f t="shared" si="1"/>
        <v>0</v>
      </c>
      <c r="G34" s="2">
        <v>68</v>
      </c>
      <c r="H34" s="4"/>
      <c r="I34" s="2" t="s">
        <v>9</v>
      </c>
      <c r="J34" s="4"/>
      <c r="K34" s="2"/>
      <c r="L34" s="5">
        <f t="shared" si="0"/>
        <v>0</v>
      </c>
      <c r="M34" s="10"/>
    </row>
    <row r="35" spans="1:13">
      <c r="A35" s="2">
        <v>31</v>
      </c>
      <c r="B35" s="4" t="s">
        <v>72</v>
      </c>
      <c r="C35" s="2" t="s">
        <v>9</v>
      </c>
      <c r="D35" s="2"/>
      <c r="E35" s="5">
        <v>5.5</v>
      </c>
      <c r="F35" s="20">
        <f t="shared" si="1"/>
        <v>0</v>
      </c>
      <c r="G35" s="2">
        <v>69</v>
      </c>
      <c r="H35" s="4"/>
      <c r="I35" s="2" t="s">
        <v>9</v>
      </c>
      <c r="J35" s="4"/>
      <c r="K35" s="2"/>
      <c r="L35" s="5">
        <f t="shared" si="0"/>
        <v>0</v>
      </c>
    </row>
    <row r="36" spans="1:13">
      <c r="A36" s="2">
        <v>32</v>
      </c>
      <c r="B36" s="4" t="s">
        <v>74</v>
      </c>
      <c r="C36" s="2" t="s">
        <v>9</v>
      </c>
      <c r="D36" s="2"/>
      <c r="E36" s="2">
        <v>2.35</v>
      </c>
      <c r="F36" s="20">
        <f t="shared" si="1"/>
        <v>0</v>
      </c>
      <c r="G36" s="2">
        <v>70</v>
      </c>
      <c r="H36" s="4"/>
      <c r="I36" s="2" t="s">
        <v>9</v>
      </c>
      <c r="J36" s="4"/>
      <c r="K36" s="2"/>
      <c r="L36" s="5">
        <f t="shared" si="0"/>
        <v>0</v>
      </c>
    </row>
    <row r="37" spans="1:13">
      <c r="A37" s="2">
        <v>33</v>
      </c>
      <c r="B37" s="4" t="s">
        <v>76</v>
      </c>
      <c r="C37" s="2" t="s">
        <v>9</v>
      </c>
      <c r="D37" s="2"/>
      <c r="E37" s="2">
        <v>3.4</v>
      </c>
      <c r="F37" s="20">
        <f t="shared" si="1"/>
        <v>0</v>
      </c>
      <c r="G37" s="2">
        <v>71</v>
      </c>
      <c r="H37" s="4"/>
      <c r="I37" s="2" t="s">
        <v>9</v>
      </c>
      <c r="J37" s="4"/>
      <c r="K37" s="2"/>
      <c r="L37" s="5">
        <f t="shared" si="0"/>
        <v>0</v>
      </c>
      <c r="M37" s="11"/>
    </row>
    <row r="38" spans="1:13">
      <c r="A38" s="2">
        <v>34</v>
      </c>
      <c r="B38" s="4" t="s">
        <v>78</v>
      </c>
      <c r="C38" s="2" t="s">
        <v>9</v>
      </c>
      <c r="D38" s="2"/>
      <c r="E38" s="2">
        <v>6.45</v>
      </c>
      <c r="F38" s="20">
        <f t="shared" si="1"/>
        <v>0</v>
      </c>
      <c r="G38" s="2">
        <v>72</v>
      </c>
      <c r="H38" s="4"/>
      <c r="I38" s="2" t="s">
        <v>9</v>
      </c>
      <c r="J38" s="4"/>
      <c r="K38" s="2"/>
      <c r="L38" s="5">
        <f t="shared" si="0"/>
        <v>0</v>
      </c>
    </row>
    <row r="39" spans="1:13">
      <c r="A39" s="2">
        <v>35</v>
      </c>
      <c r="B39" s="4" t="s">
        <v>80</v>
      </c>
      <c r="C39" s="2" t="s">
        <v>9</v>
      </c>
      <c r="D39" s="2"/>
      <c r="E39" s="2">
        <v>3.95</v>
      </c>
      <c r="F39" s="20">
        <f t="shared" si="1"/>
        <v>0</v>
      </c>
      <c r="G39" s="2">
        <v>73</v>
      </c>
      <c r="H39" s="4"/>
      <c r="I39" s="2" t="s">
        <v>9</v>
      </c>
      <c r="J39" s="4"/>
      <c r="K39" s="2"/>
      <c r="L39" s="5">
        <f t="shared" si="0"/>
        <v>0</v>
      </c>
    </row>
    <row r="40" spans="1:13" ht="15.75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5+F6+F7+F8+F9+F10+F11+F12+L2+L3+L4++L5+L6+L7+L8+L9</f>
        <v>0</v>
      </c>
    </row>
    <row r="42" spans="1:13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>
  <dimension ref="A1:M42"/>
  <sheetViews>
    <sheetView topLeftCell="A19" workbookViewId="0">
      <selection activeCell="P47" sqref="P47"/>
    </sheetView>
  </sheetViews>
  <sheetFormatPr defaultRowHeight="15"/>
  <cols>
    <col min="1" max="1" width="4.7109375" style="17" customWidth="1"/>
    <col min="2" max="2" width="28.140625" customWidth="1"/>
    <col min="3" max="3" width="6.140625" customWidth="1"/>
    <col min="6" max="6" width="8.5703125" style="17" customWidth="1"/>
    <col min="7" max="7" width="4.85546875" style="17" customWidth="1"/>
    <col min="8" max="8" width="23.7109375" customWidth="1"/>
    <col min="9" max="9" width="6" bestFit="1" customWidth="1"/>
    <col min="10" max="10" width="6" customWidth="1"/>
    <col min="12" max="12" width="8.85546875" style="17"/>
  </cols>
  <sheetData>
    <row r="1" spans="1:12" ht="15.75">
      <c r="A1" s="30"/>
      <c r="B1" s="30"/>
      <c r="C1" s="30"/>
      <c r="D1" s="30" t="str">
        <f>[1]Сводная!D1</f>
        <v>19    12    2015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>
      <c r="A2" s="32" t="s">
        <v>246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</v>
      </c>
      <c r="L2" s="5">
        <f>J2*K2</f>
        <v>0</v>
      </c>
    </row>
    <row r="3" spans="1:12">
      <c r="A3" s="32" t="s">
        <v>247</v>
      </c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2.1</v>
      </c>
      <c r="L3" s="5">
        <f t="shared" ref="L3:L39" si="0">J3*K3</f>
        <v>0</v>
      </c>
    </row>
    <row r="4" spans="1:12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2.25</v>
      </c>
      <c r="L4" s="5">
        <f t="shared" si="0"/>
        <v>0</v>
      </c>
    </row>
    <row r="5" spans="1:12">
      <c r="A5" s="2">
        <v>1</v>
      </c>
      <c r="B5" s="4" t="s">
        <v>248</v>
      </c>
      <c r="C5" s="2" t="s">
        <v>9</v>
      </c>
      <c r="D5" s="2"/>
      <c r="E5" s="5">
        <v>6.55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2</v>
      </c>
      <c r="L5" s="5">
        <f t="shared" si="0"/>
        <v>0</v>
      </c>
    </row>
    <row r="6" spans="1:12">
      <c r="A6" s="2">
        <v>2</v>
      </c>
      <c r="B6" s="4" t="s">
        <v>14</v>
      </c>
      <c r="C6" s="2" t="s">
        <v>9</v>
      </c>
      <c r="D6" s="2"/>
      <c r="E6" s="5">
        <v>4.7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7.7</v>
      </c>
      <c r="L6" s="5">
        <f>J6*K6</f>
        <v>0</v>
      </c>
    </row>
    <row r="7" spans="1:12">
      <c r="A7" s="2">
        <v>3</v>
      </c>
      <c r="B7" s="4" t="s">
        <v>156</v>
      </c>
      <c r="C7" s="2" t="s">
        <v>9</v>
      </c>
      <c r="D7" s="2"/>
      <c r="E7" s="5">
        <v>5.2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2</v>
      </c>
      <c r="L7" s="5">
        <f t="shared" si="0"/>
        <v>0</v>
      </c>
    </row>
    <row r="8" spans="1:12">
      <c r="A8" s="2">
        <v>4</v>
      </c>
      <c r="B8" s="4" t="s">
        <v>18</v>
      </c>
      <c r="C8" s="2" t="s">
        <v>9</v>
      </c>
      <c r="D8" s="2"/>
      <c r="E8" s="5">
        <v>7.05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2.25</v>
      </c>
      <c r="L8" s="5">
        <f t="shared" si="0"/>
        <v>0</v>
      </c>
    </row>
    <row r="9" spans="1:12">
      <c r="A9" s="2">
        <v>5</v>
      </c>
      <c r="B9" s="4" t="s">
        <v>20</v>
      </c>
      <c r="C9" s="2" t="s">
        <v>9</v>
      </c>
      <c r="D9" s="2"/>
      <c r="E9" s="5">
        <v>4.9000000000000004</v>
      </c>
      <c r="F9" s="20">
        <f t="shared" si="1"/>
        <v>0</v>
      </c>
      <c r="G9" s="2">
        <v>43</v>
      </c>
      <c r="H9" s="4" t="s">
        <v>21</v>
      </c>
      <c r="I9" s="2" t="s">
        <v>9</v>
      </c>
      <c r="J9" s="2"/>
      <c r="K9" s="5">
        <v>2.4</v>
      </c>
      <c r="L9" s="5">
        <f t="shared" si="0"/>
        <v>0</v>
      </c>
    </row>
    <row r="10" spans="1:12">
      <c r="A10" s="2">
        <v>6</v>
      </c>
      <c r="B10" s="4" t="s">
        <v>22</v>
      </c>
      <c r="C10" s="2" t="s">
        <v>9</v>
      </c>
      <c r="D10" s="2"/>
      <c r="E10" s="5">
        <v>5.7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>
      <c r="A11" s="2">
        <v>7</v>
      </c>
      <c r="B11" s="4" t="s">
        <v>24</v>
      </c>
      <c r="C11" s="2" t="s">
        <v>9</v>
      </c>
      <c r="D11" s="2"/>
      <c r="E11" s="5">
        <v>5.2</v>
      </c>
      <c r="F11" s="20">
        <f t="shared" si="1"/>
        <v>0</v>
      </c>
      <c r="G11" s="2">
        <v>45</v>
      </c>
      <c r="H11" s="4" t="s">
        <v>249</v>
      </c>
      <c r="I11" s="2" t="s">
        <v>9</v>
      </c>
      <c r="J11" s="2"/>
      <c r="K11" s="5">
        <v>2.4</v>
      </c>
      <c r="L11" s="5">
        <f t="shared" si="0"/>
        <v>0</v>
      </c>
    </row>
    <row r="12" spans="1:12">
      <c r="A12" s="2">
        <v>8</v>
      </c>
      <c r="B12" s="4" t="s">
        <v>250</v>
      </c>
      <c r="C12" s="2" t="s">
        <v>9</v>
      </c>
      <c r="D12" s="2"/>
      <c r="E12" s="5">
        <v>5.2</v>
      </c>
      <c r="F12" s="20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2.1</v>
      </c>
      <c r="L12" s="5">
        <f t="shared" si="0"/>
        <v>0</v>
      </c>
    </row>
    <row r="13" spans="1:12">
      <c r="A13" s="2">
        <v>9</v>
      </c>
      <c r="B13" s="4" t="s">
        <v>162</v>
      </c>
      <c r="C13" s="2" t="s">
        <v>9</v>
      </c>
      <c r="D13" s="2"/>
      <c r="E13" s="5">
        <v>5.35</v>
      </c>
      <c r="F13" s="20">
        <f t="shared" si="1"/>
        <v>0</v>
      </c>
      <c r="G13" s="2">
        <v>47</v>
      </c>
      <c r="H13" s="4" t="s">
        <v>251</v>
      </c>
      <c r="I13" s="2" t="s">
        <v>9</v>
      </c>
      <c r="J13" s="2"/>
      <c r="K13" s="5">
        <v>2.1</v>
      </c>
      <c r="L13" s="5">
        <f t="shared" si="0"/>
        <v>0</v>
      </c>
    </row>
    <row r="14" spans="1:12">
      <c r="A14" s="2">
        <v>10</v>
      </c>
      <c r="B14" s="4" t="s">
        <v>30</v>
      </c>
      <c r="C14" s="2" t="s">
        <v>9</v>
      </c>
      <c r="D14" s="2"/>
      <c r="E14" s="5">
        <v>5.85</v>
      </c>
      <c r="F14" s="20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2.1</v>
      </c>
      <c r="L14" s="5">
        <f t="shared" si="0"/>
        <v>0</v>
      </c>
    </row>
    <row r="15" spans="1:12">
      <c r="A15" s="2">
        <v>11</v>
      </c>
      <c r="B15" s="4" t="s">
        <v>128</v>
      </c>
      <c r="C15" s="2" t="s">
        <v>9</v>
      </c>
      <c r="D15" s="2"/>
      <c r="E15" s="5">
        <v>6.5</v>
      </c>
      <c r="F15" s="20">
        <f t="shared" si="1"/>
        <v>0</v>
      </c>
      <c r="G15" s="2">
        <v>49</v>
      </c>
      <c r="H15" s="4" t="s">
        <v>129</v>
      </c>
      <c r="I15" s="2" t="s">
        <v>9</v>
      </c>
      <c r="J15" s="2"/>
      <c r="K15" s="5">
        <v>7.95</v>
      </c>
      <c r="L15" s="5">
        <f t="shared" si="0"/>
        <v>0</v>
      </c>
    </row>
    <row r="16" spans="1:12">
      <c r="A16" s="2">
        <v>12</v>
      </c>
      <c r="B16" s="4" t="s">
        <v>34</v>
      </c>
      <c r="C16" s="2" t="s">
        <v>9</v>
      </c>
      <c r="D16" s="2"/>
      <c r="E16" s="5">
        <v>6</v>
      </c>
      <c r="F16" s="20">
        <f t="shared" si="1"/>
        <v>0</v>
      </c>
      <c r="G16" s="2">
        <v>50</v>
      </c>
      <c r="H16" s="4" t="s">
        <v>35</v>
      </c>
      <c r="I16" s="2" t="s">
        <v>9</v>
      </c>
      <c r="J16" s="2"/>
      <c r="K16" s="5">
        <v>6.45</v>
      </c>
      <c r="L16" s="5">
        <f t="shared" si="0"/>
        <v>0</v>
      </c>
    </row>
    <row r="17" spans="1:12">
      <c r="A17" s="2">
        <v>13</v>
      </c>
      <c r="B17" s="4" t="s">
        <v>36</v>
      </c>
      <c r="C17" s="2" t="s">
        <v>9</v>
      </c>
      <c r="D17" s="2"/>
      <c r="E17" s="5">
        <v>6.5</v>
      </c>
      <c r="F17" s="20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6.35</v>
      </c>
      <c r="L17" s="5">
        <f t="shared" si="0"/>
        <v>0</v>
      </c>
    </row>
    <row r="18" spans="1:12">
      <c r="A18" s="2">
        <v>14</v>
      </c>
      <c r="B18" s="4" t="s">
        <v>38</v>
      </c>
      <c r="C18" s="2" t="s">
        <v>9</v>
      </c>
      <c r="D18" s="2"/>
      <c r="E18" s="5">
        <v>4.8</v>
      </c>
      <c r="F18" s="20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2.9</v>
      </c>
      <c r="L18" s="5">
        <f t="shared" si="0"/>
        <v>0</v>
      </c>
    </row>
    <row r="19" spans="1:12">
      <c r="A19" s="2">
        <v>15</v>
      </c>
      <c r="B19" s="4" t="s">
        <v>40</v>
      </c>
      <c r="C19" s="2" t="s">
        <v>9</v>
      </c>
      <c r="D19" s="2"/>
      <c r="E19" s="5">
        <v>5.3</v>
      </c>
      <c r="F19" s="20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11</v>
      </c>
      <c r="L19" s="5">
        <f t="shared" si="0"/>
        <v>0</v>
      </c>
    </row>
    <row r="20" spans="1:12">
      <c r="A20" s="2">
        <v>16</v>
      </c>
      <c r="B20" s="4" t="s">
        <v>42</v>
      </c>
      <c r="C20" s="2" t="s">
        <v>9</v>
      </c>
      <c r="D20" s="2"/>
      <c r="E20" s="5">
        <v>2.35</v>
      </c>
      <c r="F20" s="20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22</v>
      </c>
      <c r="L20" s="5">
        <f t="shared" si="0"/>
        <v>0</v>
      </c>
    </row>
    <row r="21" spans="1:12">
      <c r="A21" s="2">
        <v>17</v>
      </c>
      <c r="B21" s="4" t="s">
        <v>44</v>
      </c>
      <c r="C21" s="2" t="s">
        <v>9</v>
      </c>
      <c r="D21" s="2"/>
      <c r="E21" s="5">
        <v>1.3</v>
      </c>
      <c r="F21" s="20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34.5</v>
      </c>
      <c r="L21" s="5">
        <f t="shared" si="0"/>
        <v>0</v>
      </c>
    </row>
    <row r="22" spans="1:12">
      <c r="A22" s="2">
        <v>18</v>
      </c>
      <c r="B22" s="4" t="s">
        <v>46</v>
      </c>
      <c r="C22" s="2" t="s">
        <v>9</v>
      </c>
      <c r="D22" s="2"/>
      <c r="E22" s="5">
        <v>5.7</v>
      </c>
      <c r="F22" s="20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18.5</v>
      </c>
      <c r="L22" s="5">
        <f t="shared" si="0"/>
        <v>0</v>
      </c>
    </row>
    <row r="23" spans="1:12">
      <c r="A23" s="2">
        <v>19</v>
      </c>
      <c r="B23" s="4" t="s">
        <v>48</v>
      </c>
      <c r="C23" s="2" t="s">
        <v>9</v>
      </c>
      <c r="D23" s="2"/>
      <c r="E23" s="5">
        <v>6.45</v>
      </c>
      <c r="F23" s="20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12.5</v>
      </c>
      <c r="L23" s="5">
        <f t="shared" si="0"/>
        <v>0</v>
      </c>
    </row>
    <row r="24" spans="1:12">
      <c r="A24" s="2">
        <v>20</v>
      </c>
      <c r="B24" s="4" t="s">
        <v>50</v>
      </c>
      <c r="C24" s="2" t="s">
        <v>9</v>
      </c>
      <c r="D24" s="2"/>
      <c r="E24" s="5">
        <v>6</v>
      </c>
      <c r="F24" s="20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9</v>
      </c>
      <c r="L24" s="5">
        <f t="shared" si="0"/>
        <v>0</v>
      </c>
    </row>
    <row r="25" spans="1:12">
      <c r="A25" s="2">
        <v>21</v>
      </c>
      <c r="B25" s="4" t="s">
        <v>96</v>
      </c>
      <c r="C25" s="2" t="s">
        <v>9</v>
      </c>
      <c r="D25" s="2"/>
      <c r="E25" s="5">
        <v>6.8</v>
      </c>
      <c r="F25" s="20">
        <f t="shared" si="1"/>
        <v>0</v>
      </c>
      <c r="G25" s="2">
        <v>59</v>
      </c>
      <c r="H25" s="4" t="s">
        <v>252</v>
      </c>
      <c r="I25" s="2" t="s">
        <v>9</v>
      </c>
      <c r="J25" s="4"/>
      <c r="K25" s="2">
        <v>9</v>
      </c>
      <c r="L25" s="5">
        <f t="shared" si="0"/>
        <v>0</v>
      </c>
    </row>
    <row r="26" spans="1:12">
      <c r="A26" s="2">
        <v>22</v>
      </c>
      <c r="B26" s="4" t="s">
        <v>54</v>
      </c>
      <c r="C26" s="2" t="s">
        <v>9</v>
      </c>
      <c r="D26" s="2"/>
      <c r="E26" s="5">
        <v>5.4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5.95</v>
      </c>
      <c r="L26" s="5">
        <f t="shared" si="0"/>
        <v>0</v>
      </c>
    </row>
    <row r="27" spans="1:12">
      <c r="A27" s="2">
        <v>23</v>
      </c>
      <c r="B27" s="4" t="s">
        <v>56</v>
      </c>
      <c r="C27" s="2" t="s">
        <v>9</v>
      </c>
      <c r="D27" s="2"/>
      <c r="E27" s="5">
        <v>4.45</v>
      </c>
      <c r="F27" s="20">
        <f t="shared" si="1"/>
        <v>0</v>
      </c>
      <c r="G27" s="2">
        <v>61</v>
      </c>
      <c r="H27" s="4" t="s">
        <v>253</v>
      </c>
      <c r="I27" s="2" t="s">
        <v>9</v>
      </c>
      <c r="J27" s="4"/>
      <c r="K27" s="2">
        <v>3.5</v>
      </c>
      <c r="L27" s="5">
        <f t="shared" si="0"/>
        <v>0</v>
      </c>
    </row>
    <row r="28" spans="1:12">
      <c r="A28" s="2">
        <v>24</v>
      </c>
      <c r="B28" s="4" t="s">
        <v>58</v>
      </c>
      <c r="C28" s="2" t="s">
        <v>9</v>
      </c>
      <c r="D28" s="2"/>
      <c r="E28" s="5">
        <v>4.95</v>
      </c>
      <c r="F28" s="20">
        <f t="shared" si="1"/>
        <v>0</v>
      </c>
      <c r="G28" s="2">
        <v>62</v>
      </c>
      <c r="H28" s="4" t="s">
        <v>254</v>
      </c>
      <c r="I28" s="2" t="s">
        <v>9</v>
      </c>
      <c r="J28" s="4"/>
      <c r="K28" s="2">
        <v>7.7</v>
      </c>
      <c r="L28" s="5">
        <f t="shared" si="0"/>
        <v>0</v>
      </c>
    </row>
    <row r="29" spans="1:12">
      <c r="A29" s="2">
        <v>25</v>
      </c>
      <c r="B29" s="4" t="s">
        <v>60</v>
      </c>
      <c r="C29" s="2" t="s">
        <v>9</v>
      </c>
      <c r="D29" s="2"/>
      <c r="E29" s="5">
        <v>5.7</v>
      </c>
      <c r="F29" s="20">
        <f t="shared" si="1"/>
        <v>0</v>
      </c>
      <c r="G29" s="2">
        <v>63</v>
      </c>
      <c r="H29" s="4" t="s">
        <v>255</v>
      </c>
      <c r="I29" s="2" t="s">
        <v>9</v>
      </c>
      <c r="J29" s="4"/>
      <c r="K29" s="2">
        <v>5.9</v>
      </c>
      <c r="L29" s="5">
        <f t="shared" si="0"/>
        <v>0</v>
      </c>
    </row>
    <row r="30" spans="1:12">
      <c r="A30" s="2">
        <v>26</v>
      </c>
      <c r="B30" s="4" t="s">
        <v>62</v>
      </c>
      <c r="C30" s="2" t="s">
        <v>9</v>
      </c>
      <c r="D30" s="2"/>
      <c r="E30" s="5">
        <v>4.5999999999999996</v>
      </c>
      <c r="F30" s="5">
        <f t="shared" si="1"/>
        <v>0</v>
      </c>
      <c r="G30" s="2">
        <v>64</v>
      </c>
      <c r="H30" s="4" t="s">
        <v>256</v>
      </c>
      <c r="I30" s="2" t="s">
        <v>9</v>
      </c>
      <c r="J30" s="4"/>
      <c r="K30" s="2">
        <v>3.5</v>
      </c>
      <c r="L30" s="5">
        <f t="shared" si="0"/>
        <v>0</v>
      </c>
    </row>
    <row r="31" spans="1:12">
      <c r="A31" s="2">
        <v>27</v>
      </c>
      <c r="B31" s="4" t="s">
        <v>102</v>
      </c>
      <c r="C31" s="2" t="s">
        <v>9</v>
      </c>
      <c r="D31" s="2"/>
      <c r="E31" s="5">
        <v>5.95</v>
      </c>
      <c r="F31" s="5">
        <f t="shared" si="1"/>
        <v>0</v>
      </c>
      <c r="G31" s="2">
        <v>65</v>
      </c>
      <c r="H31" s="4" t="s">
        <v>257</v>
      </c>
      <c r="I31" s="2" t="s">
        <v>9</v>
      </c>
      <c r="J31" s="4"/>
      <c r="K31" s="2">
        <v>6.35</v>
      </c>
      <c r="L31" s="5">
        <f t="shared" si="0"/>
        <v>0</v>
      </c>
    </row>
    <row r="32" spans="1:12">
      <c r="A32" s="2">
        <v>28</v>
      </c>
      <c r="B32" s="4" t="s">
        <v>104</v>
      </c>
      <c r="C32" s="2" t="s">
        <v>9</v>
      </c>
      <c r="D32" s="2"/>
      <c r="E32" s="5">
        <v>7.7</v>
      </c>
      <c r="F32" s="20">
        <f t="shared" si="1"/>
        <v>0</v>
      </c>
      <c r="G32" s="2">
        <v>66</v>
      </c>
      <c r="H32" s="4" t="s">
        <v>258</v>
      </c>
      <c r="I32" s="2" t="s">
        <v>9</v>
      </c>
      <c r="J32" s="4"/>
      <c r="K32" s="2">
        <v>7.7</v>
      </c>
      <c r="L32" s="5">
        <f t="shared" si="0"/>
        <v>0</v>
      </c>
    </row>
    <row r="33" spans="1:13">
      <c r="A33" s="2">
        <v>29</v>
      </c>
      <c r="B33" s="4" t="s">
        <v>68</v>
      </c>
      <c r="C33" s="2" t="s">
        <v>9</v>
      </c>
      <c r="D33" s="2"/>
      <c r="E33" s="5">
        <v>5.5</v>
      </c>
      <c r="F33" s="5">
        <f t="shared" si="1"/>
        <v>0</v>
      </c>
      <c r="G33" s="2">
        <v>67</v>
      </c>
      <c r="H33" s="4" t="s">
        <v>259</v>
      </c>
      <c r="I33" s="2" t="s">
        <v>9</v>
      </c>
      <c r="J33" s="4"/>
      <c r="K33" s="2">
        <v>3.65</v>
      </c>
      <c r="L33" s="5">
        <f t="shared" si="0"/>
        <v>0</v>
      </c>
    </row>
    <row r="34" spans="1:13">
      <c r="A34" s="2">
        <v>30</v>
      </c>
      <c r="B34" s="4" t="s">
        <v>70</v>
      </c>
      <c r="C34" s="2" t="s">
        <v>9</v>
      </c>
      <c r="D34" s="2"/>
      <c r="E34" s="5">
        <v>6</v>
      </c>
      <c r="F34" s="5">
        <f t="shared" si="1"/>
        <v>0</v>
      </c>
      <c r="G34" s="2">
        <v>68</v>
      </c>
      <c r="H34" s="4"/>
      <c r="I34" s="2" t="s">
        <v>9</v>
      </c>
      <c r="J34" s="4"/>
      <c r="K34" s="2"/>
      <c r="L34" s="5">
        <f t="shared" si="0"/>
        <v>0</v>
      </c>
      <c r="M34" s="10"/>
    </row>
    <row r="35" spans="1:13">
      <c r="A35" s="2">
        <v>31</v>
      </c>
      <c r="B35" s="4" t="s">
        <v>72</v>
      </c>
      <c r="C35" s="2" t="s">
        <v>9</v>
      </c>
      <c r="D35" s="2"/>
      <c r="E35" s="5">
        <v>5.5</v>
      </c>
      <c r="F35" s="20">
        <f t="shared" si="1"/>
        <v>0</v>
      </c>
      <c r="G35" s="2">
        <v>69</v>
      </c>
      <c r="H35" s="4"/>
      <c r="I35" s="2" t="s">
        <v>9</v>
      </c>
      <c r="J35" s="4"/>
      <c r="K35" s="2"/>
      <c r="L35" s="5">
        <f t="shared" si="0"/>
        <v>0</v>
      </c>
    </row>
    <row r="36" spans="1:13">
      <c r="A36" s="2">
        <v>32</v>
      </c>
      <c r="B36" s="4" t="s">
        <v>74</v>
      </c>
      <c r="C36" s="2" t="s">
        <v>9</v>
      </c>
      <c r="D36" s="2"/>
      <c r="E36" s="2">
        <v>2.35</v>
      </c>
      <c r="F36" s="20">
        <f t="shared" si="1"/>
        <v>0</v>
      </c>
      <c r="G36" s="2">
        <v>70</v>
      </c>
      <c r="H36" s="4"/>
      <c r="I36" s="2" t="s">
        <v>9</v>
      </c>
      <c r="J36" s="4"/>
      <c r="K36" s="2"/>
      <c r="L36" s="5">
        <f t="shared" si="0"/>
        <v>0</v>
      </c>
    </row>
    <row r="37" spans="1:13">
      <c r="A37" s="2">
        <v>33</v>
      </c>
      <c r="B37" s="4" t="s">
        <v>76</v>
      </c>
      <c r="C37" s="2" t="s">
        <v>9</v>
      </c>
      <c r="D37" s="2"/>
      <c r="E37" s="2">
        <v>3.4</v>
      </c>
      <c r="F37" s="20">
        <f t="shared" si="1"/>
        <v>0</v>
      </c>
      <c r="G37" s="2">
        <v>71</v>
      </c>
      <c r="H37" s="4"/>
      <c r="I37" s="2" t="s">
        <v>9</v>
      </c>
      <c r="J37" s="4"/>
      <c r="K37" s="2"/>
      <c r="L37" s="5">
        <f t="shared" si="0"/>
        <v>0</v>
      </c>
      <c r="M37" s="11"/>
    </row>
    <row r="38" spans="1:13">
      <c r="A38" s="2">
        <v>34</v>
      </c>
      <c r="B38" s="4" t="s">
        <v>78</v>
      </c>
      <c r="C38" s="2" t="s">
        <v>9</v>
      </c>
      <c r="D38" s="2"/>
      <c r="E38" s="2">
        <v>6.45</v>
      </c>
      <c r="F38" s="20">
        <f t="shared" si="1"/>
        <v>0</v>
      </c>
      <c r="G38" s="2">
        <v>72</v>
      </c>
      <c r="H38" s="4"/>
      <c r="I38" s="2" t="s">
        <v>9</v>
      </c>
      <c r="J38" s="4"/>
      <c r="K38" s="2"/>
      <c r="L38" s="5">
        <f t="shared" si="0"/>
        <v>0</v>
      </c>
    </row>
    <row r="39" spans="1:13">
      <c r="A39" s="2">
        <v>35</v>
      </c>
      <c r="B39" s="4" t="s">
        <v>80</v>
      </c>
      <c r="C39" s="2" t="s">
        <v>9</v>
      </c>
      <c r="D39" s="2"/>
      <c r="E39" s="2">
        <v>3.95</v>
      </c>
      <c r="F39" s="20">
        <f t="shared" si="1"/>
        <v>0</v>
      </c>
      <c r="G39" s="2">
        <v>73</v>
      </c>
      <c r="H39" s="4"/>
      <c r="I39" s="2" t="s">
        <v>9</v>
      </c>
      <c r="J39" s="4"/>
      <c r="K39" s="2"/>
      <c r="L39" s="5">
        <f t="shared" si="0"/>
        <v>0</v>
      </c>
    </row>
    <row r="40" spans="1:13" ht="15.75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5+F6+F7+F8+F9+F10+F11+F12+L2+L3+L4++L5+L6+L7+L8+L9</f>
        <v>0</v>
      </c>
    </row>
    <row r="42" spans="1:13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>
  <dimension ref="A1:M42"/>
  <sheetViews>
    <sheetView topLeftCell="A19" workbookViewId="0">
      <selection activeCell="N12" sqref="N12"/>
    </sheetView>
  </sheetViews>
  <sheetFormatPr defaultRowHeight="15"/>
  <cols>
    <col min="1" max="1" width="4.7109375" style="17" customWidth="1"/>
    <col min="2" max="2" width="28.140625" customWidth="1"/>
    <col min="3" max="3" width="6.140625" customWidth="1"/>
    <col min="6" max="6" width="8.5703125" style="17" customWidth="1"/>
    <col min="7" max="7" width="4.85546875" style="17" customWidth="1"/>
    <col min="8" max="8" width="23.7109375" customWidth="1"/>
    <col min="9" max="9" width="6" bestFit="1" customWidth="1"/>
    <col min="10" max="10" width="6" customWidth="1"/>
    <col min="12" max="12" width="8.85546875" style="17"/>
  </cols>
  <sheetData>
    <row r="1" spans="1:12" ht="15.75">
      <c r="A1" s="30"/>
      <c r="B1" s="30"/>
      <c r="C1" s="30"/>
      <c r="D1" s="30" t="str">
        <f>[1]Сводная!D1</f>
        <v>19    12    2015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>
      <c r="A2" s="32" t="s">
        <v>246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</v>
      </c>
      <c r="L2" s="5">
        <f>J2*K2</f>
        <v>0</v>
      </c>
    </row>
    <row r="3" spans="1:12">
      <c r="A3" s="32" t="s">
        <v>247</v>
      </c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2.1</v>
      </c>
      <c r="L3" s="5">
        <f t="shared" ref="L3:L39" si="0">J3*K3</f>
        <v>0</v>
      </c>
    </row>
    <row r="4" spans="1:12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2.25</v>
      </c>
      <c r="L4" s="5">
        <f t="shared" si="0"/>
        <v>0</v>
      </c>
    </row>
    <row r="5" spans="1:12">
      <c r="A5" s="2">
        <v>1</v>
      </c>
      <c r="B5" s="4" t="s">
        <v>248</v>
      </c>
      <c r="C5" s="2" t="s">
        <v>9</v>
      </c>
      <c r="D5" s="2"/>
      <c r="E5" s="5">
        <v>6.55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2</v>
      </c>
      <c r="L5" s="5">
        <f t="shared" si="0"/>
        <v>0</v>
      </c>
    </row>
    <row r="6" spans="1:12">
      <c r="A6" s="2">
        <v>2</v>
      </c>
      <c r="B6" s="4" t="s">
        <v>14</v>
      </c>
      <c r="C6" s="2" t="s">
        <v>9</v>
      </c>
      <c r="D6" s="2"/>
      <c r="E6" s="5">
        <v>4.7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7.7</v>
      </c>
      <c r="L6" s="5">
        <f>J6*K6</f>
        <v>0</v>
      </c>
    </row>
    <row r="7" spans="1:12">
      <c r="A7" s="2">
        <v>3</v>
      </c>
      <c r="B7" s="4" t="s">
        <v>156</v>
      </c>
      <c r="C7" s="2" t="s">
        <v>9</v>
      </c>
      <c r="D7" s="2"/>
      <c r="E7" s="5">
        <v>5.2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2</v>
      </c>
      <c r="L7" s="5">
        <f t="shared" si="0"/>
        <v>0</v>
      </c>
    </row>
    <row r="8" spans="1:12">
      <c r="A8" s="2">
        <v>4</v>
      </c>
      <c r="B8" s="4" t="s">
        <v>18</v>
      </c>
      <c r="C8" s="2" t="s">
        <v>9</v>
      </c>
      <c r="D8" s="2"/>
      <c r="E8" s="5">
        <v>7.05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2.25</v>
      </c>
      <c r="L8" s="5">
        <f t="shared" si="0"/>
        <v>0</v>
      </c>
    </row>
    <row r="9" spans="1:12">
      <c r="A9" s="2">
        <v>5</v>
      </c>
      <c r="B9" s="4" t="s">
        <v>20</v>
      </c>
      <c r="C9" s="2" t="s">
        <v>9</v>
      </c>
      <c r="D9" s="2"/>
      <c r="E9" s="5">
        <v>4.9000000000000004</v>
      </c>
      <c r="F9" s="20">
        <f t="shared" si="1"/>
        <v>0</v>
      </c>
      <c r="G9" s="2">
        <v>43</v>
      </c>
      <c r="H9" s="4" t="s">
        <v>21</v>
      </c>
      <c r="I9" s="2" t="s">
        <v>9</v>
      </c>
      <c r="J9" s="2"/>
      <c r="K9" s="5">
        <v>2.4</v>
      </c>
      <c r="L9" s="5">
        <f t="shared" si="0"/>
        <v>0</v>
      </c>
    </row>
    <row r="10" spans="1:12">
      <c r="A10" s="2">
        <v>6</v>
      </c>
      <c r="B10" s="4" t="s">
        <v>22</v>
      </c>
      <c r="C10" s="2" t="s">
        <v>9</v>
      </c>
      <c r="D10" s="2"/>
      <c r="E10" s="5">
        <v>5.7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>
      <c r="A11" s="2">
        <v>7</v>
      </c>
      <c r="B11" s="4" t="s">
        <v>24</v>
      </c>
      <c r="C11" s="2" t="s">
        <v>9</v>
      </c>
      <c r="D11" s="2"/>
      <c r="E11" s="5">
        <v>5.2</v>
      </c>
      <c r="F11" s="20">
        <f t="shared" si="1"/>
        <v>0</v>
      </c>
      <c r="G11" s="2">
        <v>45</v>
      </c>
      <c r="H11" s="4" t="s">
        <v>249</v>
      </c>
      <c r="I11" s="2" t="s">
        <v>9</v>
      </c>
      <c r="J11" s="2"/>
      <c r="K11" s="5">
        <v>2.4</v>
      </c>
      <c r="L11" s="5">
        <f t="shared" si="0"/>
        <v>0</v>
      </c>
    </row>
    <row r="12" spans="1:12">
      <c r="A12" s="2">
        <v>8</v>
      </c>
      <c r="B12" s="4" t="s">
        <v>250</v>
      </c>
      <c r="C12" s="2" t="s">
        <v>9</v>
      </c>
      <c r="D12" s="2"/>
      <c r="E12" s="5">
        <v>5.2</v>
      </c>
      <c r="F12" s="20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2.1</v>
      </c>
      <c r="L12" s="5">
        <f t="shared" si="0"/>
        <v>0</v>
      </c>
    </row>
    <row r="13" spans="1:12">
      <c r="A13" s="2">
        <v>9</v>
      </c>
      <c r="B13" s="4" t="s">
        <v>162</v>
      </c>
      <c r="C13" s="2" t="s">
        <v>9</v>
      </c>
      <c r="D13" s="2"/>
      <c r="E13" s="5">
        <v>5.35</v>
      </c>
      <c r="F13" s="20">
        <f t="shared" si="1"/>
        <v>0</v>
      </c>
      <c r="G13" s="2">
        <v>47</v>
      </c>
      <c r="H13" s="4" t="s">
        <v>251</v>
      </c>
      <c r="I13" s="2" t="s">
        <v>9</v>
      </c>
      <c r="J13" s="2"/>
      <c r="K13" s="5">
        <v>2.1</v>
      </c>
      <c r="L13" s="5">
        <f t="shared" si="0"/>
        <v>0</v>
      </c>
    </row>
    <row r="14" spans="1:12">
      <c r="A14" s="2">
        <v>10</v>
      </c>
      <c r="B14" s="4" t="s">
        <v>30</v>
      </c>
      <c r="C14" s="2" t="s">
        <v>9</v>
      </c>
      <c r="D14" s="2"/>
      <c r="E14" s="5">
        <v>5.85</v>
      </c>
      <c r="F14" s="20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2.1</v>
      </c>
      <c r="L14" s="5">
        <f t="shared" si="0"/>
        <v>0</v>
      </c>
    </row>
    <row r="15" spans="1:12">
      <c r="A15" s="2">
        <v>11</v>
      </c>
      <c r="B15" s="4" t="s">
        <v>128</v>
      </c>
      <c r="C15" s="2" t="s">
        <v>9</v>
      </c>
      <c r="D15" s="2"/>
      <c r="E15" s="5">
        <v>6.5</v>
      </c>
      <c r="F15" s="20">
        <f t="shared" si="1"/>
        <v>0</v>
      </c>
      <c r="G15" s="2">
        <v>49</v>
      </c>
      <c r="H15" s="4" t="s">
        <v>129</v>
      </c>
      <c r="I15" s="2" t="s">
        <v>9</v>
      </c>
      <c r="J15" s="2"/>
      <c r="K15" s="5">
        <v>7.95</v>
      </c>
      <c r="L15" s="5">
        <f t="shared" si="0"/>
        <v>0</v>
      </c>
    </row>
    <row r="16" spans="1:12">
      <c r="A16" s="2">
        <v>12</v>
      </c>
      <c r="B16" s="4" t="s">
        <v>34</v>
      </c>
      <c r="C16" s="2" t="s">
        <v>9</v>
      </c>
      <c r="D16" s="2"/>
      <c r="E16" s="5">
        <v>6</v>
      </c>
      <c r="F16" s="20">
        <f t="shared" si="1"/>
        <v>0</v>
      </c>
      <c r="G16" s="2">
        <v>50</v>
      </c>
      <c r="H16" s="4" t="s">
        <v>35</v>
      </c>
      <c r="I16" s="2" t="s">
        <v>9</v>
      </c>
      <c r="J16" s="2"/>
      <c r="K16" s="5">
        <v>6.45</v>
      </c>
      <c r="L16" s="5">
        <f t="shared" si="0"/>
        <v>0</v>
      </c>
    </row>
    <row r="17" spans="1:12">
      <c r="A17" s="2">
        <v>13</v>
      </c>
      <c r="B17" s="4" t="s">
        <v>36</v>
      </c>
      <c r="C17" s="2" t="s">
        <v>9</v>
      </c>
      <c r="D17" s="2"/>
      <c r="E17" s="5">
        <v>6.5</v>
      </c>
      <c r="F17" s="20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6.35</v>
      </c>
      <c r="L17" s="5">
        <f t="shared" si="0"/>
        <v>0</v>
      </c>
    </row>
    <row r="18" spans="1:12">
      <c r="A18" s="2">
        <v>14</v>
      </c>
      <c r="B18" s="4" t="s">
        <v>38</v>
      </c>
      <c r="C18" s="2" t="s">
        <v>9</v>
      </c>
      <c r="D18" s="2"/>
      <c r="E18" s="5">
        <v>4.8</v>
      </c>
      <c r="F18" s="20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2.9</v>
      </c>
      <c r="L18" s="5">
        <f t="shared" si="0"/>
        <v>0</v>
      </c>
    </row>
    <row r="19" spans="1:12">
      <c r="A19" s="2">
        <v>15</v>
      </c>
      <c r="B19" s="4" t="s">
        <v>40</v>
      </c>
      <c r="C19" s="2" t="s">
        <v>9</v>
      </c>
      <c r="D19" s="2"/>
      <c r="E19" s="5">
        <v>5.3</v>
      </c>
      <c r="F19" s="20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11</v>
      </c>
      <c r="L19" s="5">
        <f t="shared" si="0"/>
        <v>0</v>
      </c>
    </row>
    <row r="20" spans="1:12">
      <c r="A20" s="2">
        <v>16</v>
      </c>
      <c r="B20" s="4" t="s">
        <v>42</v>
      </c>
      <c r="C20" s="2" t="s">
        <v>9</v>
      </c>
      <c r="D20" s="2"/>
      <c r="E20" s="5">
        <v>2.35</v>
      </c>
      <c r="F20" s="20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22</v>
      </c>
      <c r="L20" s="5">
        <f t="shared" si="0"/>
        <v>0</v>
      </c>
    </row>
    <row r="21" spans="1:12">
      <c r="A21" s="2">
        <v>17</v>
      </c>
      <c r="B21" s="4" t="s">
        <v>44</v>
      </c>
      <c r="C21" s="2" t="s">
        <v>9</v>
      </c>
      <c r="D21" s="2"/>
      <c r="E21" s="5">
        <v>1.3</v>
      </c>
      <c r="F21" s="20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34.5</v>
      </c>
      <c r="L21" s="5">
        <f t="shared" si="0"/>
        <v>0</v>
      </c>
    </row>
    <row r="22" spans="1:12">
      <c r="A22" s="2">
        <v>18</v>
      </c>
      <c r="B22" s="4" t="s">
        <v>46</v>
      </c>
      <c r="C22" s="2" t="s">
        <v>9</v>
      </c>
      <c r="D22" s="2"/>
      <c r="E22" s="5">
        <v>5.7</v>
      </c>
      <c r="F22" s="20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18.5</v>
      </c>
      <c r="L22" s="5">
        <f t="shared" si="0"/>
        <v>0</v>
      </c>
    </row>
    <row r="23" spans="1:12">
      <c r="A23" s="2">
        <v>19</v>
      </c>
      <c r="B23" s="4" t="s">
        <v>48</v>
      </c>
      <c r="C23" s="2" t="s">
        <v>9</v>
      </c>
      <c r="D23" s="2"/>
      <c r="E23" s="5">
        <v>6.45</v>
      </c>
      <c r="F23" s="20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12.5</v>
      </c>
      <c r="L23" s="5">
        <f t="shared" si="0"/>
        <v>0</v>
      </c>
    </row>
    <row r="24" spans="1:12">
      <c r="A24" s="2">
        <v>20</v>
      </c>
      <c r="B24" s="4" t="s">
        <v>50</v>
      </c>
      <c r="C24" s="2" t="s">
        <v>9</v>
      </c>
      <c r="D24" s="2"/>
      <c r="E24" s="5">
        <v>6</v>
      </c>
      <c r="F24" s="20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9</v>
      </c>
      <c r="L24" s="5">
        <f t="shared" si="0"/>
        <v>0</v>
      </c>
    </row>
    <row r="25" spans="1:12">
      <c r="A25" s="2">
        <v>21</v>
      </c>
      <c r="B25" s="4" t="s">
        <v>96</v>
      </c>
      <c r="C25" s="2" t="s">
        <v>9</v>
      </c>
      <c r="D25" s="2"/>
      <c r="E25" s="5">
        <v>6.8</v>
      </c>
      <c r="F25" s="20">
        <f t="shared" si="1"/>
        <v>0</v>
      </c>
      <c r="G25" s="2">
        <v>59</v>
      </c>
      <c r="H25" s="4" t="s">
        <v>252</v>
      </c>
      <c r="I25" s="2" t="s">
        <v>9</v>
      </c>
      <c r="J25" s="4"/>
      <c r="K25" s="2">
        <v>9</v>
      </c>
      <c r="L25" s="5">
        <f t="shared" si="0"/>
        <v>0</v>
      </c>
    </row>
    <row r="26" spans="1:12">
      <c r="A26" s="2">
        <v>22</v>
      </c>
      <c r="B26" s="4" t="s">
        <v>54</v>
      </c>
      <c r="C26" s="2" t="s">
        <v>9</v>
      </c>
      <c r="D26" s="2"/>
      <c r="E26" s="5">
        <v>5.4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5.95</v>
      </c>
      <c r="L26" s="5">
        <f t="shared" si="0"/>
        <v>0</v>
      </c>
    </row>
    <row r="27" spans="1:12">
      <c r="A27" s="2">
        <v>23</v>
      </c>
      <c r="B27" s="4" t="s">
        <v>56</v>
      </c>
      <c r="C27" s="2" t="s">
        <v>9</v>
      </c>
      <c r="D27" s="2"/>
      <c r="E27" s="5">
        <v>4.45</v>
      </c>
      <c r="F27" s="20">
        <f t="shared" si="1"/>
        <v>0</v>
      </c>
      <c r="G27" s="2">
        <v>61</v>
      </c>
      <c r="H27" s="4" t="s">
        <v>253</v>
      </c>
      <c r="I27" s="2" t="s">
        <v>9</v>
      </c>
      <c r="J27" s="4"/>
      <c r="K27" s="2">
        <v>3.5</v>
      </c>
      <c r="L27" s="5">
        <f t="shared" si="0"/>
        <v>0</v>
      </c>
    </row>
    <row r="28" spans="1:12">
      <c r="A28" s="2">
        <v>24</v>
      </c>
      <c r="B28" s="4" t="s">
        <v>58</v>
      </c>
      <c r="C28" s="2" t="s">
        <v>9</v>
      </c>
      <c r="D28" s="2"/>
      <c r="E28" s="5">
        <v>4.95</v>
      </c>
      <c r="F28" s="20">
        <f t="shared" si="1"/>
        <v>0</v>
      </c>
      <c r="G28" s="2">
        <v>62</v>
      </c>
      <c r="H28" s="4" t="s">
        <v>254</v>
      </c>
      <c r="I28" s="2" t="s">
        <v>9</v>
      </c>
      <c r="J28" s="4"/>
      <c r="K28" s="2">
        <v>7.7</v>
      </c>
      <c r="L28" s="5">
        <f t="shared" si="0"/>
        <v>0</v>
      </c>
    </row>
    <row r="29" spans="1:12">
      <c r="A29" s="2">
        <v>25</v>
      </c>
      <c r="B29" s="4" t="s">
        <v>60</v>
      </c>
      <c r="C29" s="2" t="s">
        <v>9</v>
      </c>
      <c r="D29" s="2"/>
      <c r="E29" s="5">
        <v>5.7</v>
      </c>
      <c r="F29" s="20">
        <f t="shared" si="1"/>
        <v>0</v>
      </c>
      <c r="G29" s="2">
        <v>63</v>
      </c>
      <c r="H29" s="4" t="s">
        <v>255</v>
      </c>
      <c r="I29" s="2" t="s">
        <v>9</v>
      </c>
      <c r="J29" s="4"/>
      <c r="K29" s="2">
        <v>5.9</v>
      </c>
      <c r="L29" s="5">
        <f t="shared" si="0"/>
        <v>0</v>
      </c>
    </row>
    <row r="30" spans="1:12">
      <c r="A30" s="2">
        <v>26</v>
      </c>
      <c r="B30" s="4" t="s">
        <v>62</v>
      </c>
      <c r="C30" s="2" t="s">
        <v>9</v>
      </c>
      <c r="D30" s="2"/>
      <c r="E30" s="5">
        <v>4.5999999999999996</v>
      </c>
      <c r="F30" s="5">
        <f t="shared" si="1"/>
        <v>0</v>
      </c>
      <c r="G30" s="2">
        <v>64</v>
      </c>
      <c r="H30" s="4" t="s">
        <v>256</v>
      </c>
      <c r="I30" s="2" t="s">
        <v>9</v>
      </c>
      <c r="J30" s="4"/>
      <c r="K30" s="2">
        <v>3.5</v>
      </c>
      <c r="L30" s="5">
        <f t="shared" si="0"/>
        <v>0</v>
      </c>
    </row>
    <row r="31" spans="1:12">
      <c r="A31" s="2">
        <v>27</v>
      </c>
      <c r="B31" s="4" t="s">
        <v>102</v>
      </c>
      <c r="C31" s="2" t="s">
        <v>9</v>
      </c>
      <c r="D31" s="2"/>
      <c r="E31" s="5">
        <v>5.95</v>
      </c>
      <c r="F31" s="5">
        <f t="shared" si="1"/>
        <v>0</v>
      </c>
      <c r="G31" s="2">
        <v>65</v>
      </c>
      <c r="H31" s="4" t="s">
        <v>257</v>
      </c>
      <c r="I31" s="2" t="s">
        <v>9</v>
      </c>
      <c r="J31" s="4"/>
      <c r="K31" s="2">
        <v>6.35</v>
      </c>
      <c r="L31" s="5">
        <f t="shared" si="0"/>
        <v>0</v>
      </c>
    </row>
    <row r="32" spans="1:12">
      <c r="A32" s="2">
        <v>28</v>
      </c>
      <c r="B32" s="4" t="s">
        <v>104</v>
      </c>
      <c r="C32" s="2" t="s">
        <v>9</v>
      </c>
      <c r="D32" s="2"/>
      <c r="E32" s="5">
        <v>7.7</v>
      </c>
      <c r="F32" s="20">
        <f t="shared" si="1"/>
        <v>0</v>
      </c>
      <c r="G32" s="2">
        <v>66</v>
      </c>
      <c r="H32" s="4" t="s">
        <v>258</v>
      </c>
      <c r="I32" s="2" t="s">
        <v>9</v>
      </c>
      <c r="J32" s="4"/>
      <c r="K32" s="2">
        <v>7.7</v>
      </c>
      <c r="L32" s="5">
        <f t="shared" si="0"/>
        <v>0</v>
      </c>
    </row>
    <row r="33" spans="1:13">
      <c r="A33" s="2">
        <v>29</v>
      </c>
      <c r="B33" s="4" t="s">
        <v>68</v>
      </c>
      <c r="C33" s="2" t="s">
        <v>9</v>
      </c>
      <c r="D33" s="2"/>
      <c r="E33" s="5">
        <v>5.5</v>
      </c>
      <c r="F33" s="5">
        <f t="shared" si="1"/>
        <v>0</v>
      </c>
      <c r="G33" s="2">
        <v>67</v>
      </c>
      <c r="H33" s="4" t="s">
        <v>259</v>
      </c>
      <c r="I33" s="2" t="s">
        <v>9</v>
      </c>
      <c r="J33" s="4"/>
      <c r="K33" s="2">
        <v>3.65</v>
      </c>
      <c r="L33" s="5">
        <f t="shared" si="0"/>
        <v>0</v>
      </c>
    </row>
    <row r="34" spans="1:13">
      <c r="A34" s="2">
        <v>30</v>
      </c>
      <c r="B34" s="4" t="s">
        <v>70</v>
      </c>
      <c r="C34" s="2" t="s">
        <v>9</v>
      </c>
      <c r="D34" s="2"/>
      <c r="E34" s="5">
        <v>6</v>
      </c>
      <c r="F34" s="5">
        <f t="shared" si="1"/>
        <v>0</v>
      </c>
      <c r="G34" s="2">
        <v>68</v>
      </c>
      <c r="H34" s="4"/>
      <c r="I34" s="2" t="s">
        <v>9</v>
      </c>
      <c r="J34" s="4"/>
      <c r="K34" s="2"/>
      <c r="L34" s="5">
        <f t="shared" si="0"/>
        <v>0</v>
      </c>
      <c r="M34" s="10"/>
    </row>
    <row r="35" spans="1:13">
      <c r="A35" s="2">
        <v>31</v>
      </c>
      <c r="B35" s="4" t="s">
        <v>72</v>
      </c>
      <c r="C35" s="2" t="s">
        <v>9</v>
      </c>
      <c r="D35" s="2"/>
      <c r="E35" s="5">
        <v>5.5</v>
      </c>
      <c r="F35" s="20">
        <f t="shared" si="1"/>
        <v>0</v>
      </c>
      <c r="G35" s="2">
        <v>69</v>
      </c>
      <c r="H35" s="4"/>
      <c r="I35" s="2" t="s">
        <v>9</v>
      </c>
      <c r="J35" s="4"/>
      <c r="K35" s="2"/>
      <c r="L35" s="5">
        <f t="shared" si="0"/>
        <v>0</v>
      </c>
    </row>
    <row r="36" spans="1:13">
      <c r="A36" s="2">
        <v>32</v>
      </c>
      <c r="B36" s="4" t="s">
        <v>74</v>
      </c>
      <c r="C36" s="2" t="s">
        <v>9</v>
      </c>
      <c r="D36" s="2"/>
      <c r="E36" s="2">
        <v>2.35</v>
      </c>
      <c r="F36" s="20">
        <f t="shared" si="1"/>
        <v>0</v>
      </c>
      <c r="G36" s="2">
        <v>70</v>
      </c>
      <c r="H36" s="4"/>
      <c r="I36" s="2" t="s">
        <v>9</v>
      </c>
      <c r="J36" s="4"/>
      <c r="K36" s="2"/>
      <c r="L36" s="5">
        <f t="shared" si="0"/>
        <v>0</v>
      </c>
    </row>
    <row r="37" spans="1:13">
      <c r="A37" s="2">
        <v>33</v>
      </c>
      <c r="B37" s="4" t="s">
        <v>76</v>
      </c>
      <c r="C37" s="2" t="s">
        <v>9</v>
      </c>
      <c r="D37" s="2"/>
      <c r="E37" s="2">
        <v>3.4</v>
      </c>
      <c r="F37" s="20">
        <f t="shared" si="1"/>
        <v>0</v>
      </c>
      <c r="G37" s="2">
        <v>71</v>
      </c>
      <c r="H37" s="4"/>
      <c r="I37" s="2" t="s">
        <v>9</v>
      </c>
      <c r="J37" s="4"/>
      <c r="K37" s="2"/>
      <c r="L37" s="5">
        <f t="shared" si="0"/>
        <v>0</v>
      </c>
      <c r="M37" s="11"/>
    </row>
    <row r="38" spans="1:13">
      <c r="A38" s="2">
        <v>34</v>
      </c>
      <c r="B38" s="4" t="s">
        <v>78</v>
      </c>
      <c r="C38" s="2" t="s">
        <v>9</v>
      </c>
      <c r="D38" s="2"/>
      <c r="E38" s="2">
        <v>6.45</v>
      </c>
      <c r="F38" s="20">
        <f t="shared" si="1"/>
        <v>0</v>
      </c>
      <c r="G38" s="2">
        <v>72</v>
      </c>
      <c r="H38" s="4"/>
      <c r="I38" s="2" t="s">
        <v>9</v>
      </c>
      <c r="J38" s="4"/>
      <c r="K38" s="2"/>
      <c r="L38" s="5">
        <f t="shared" si="0"/>
        <v>0</v>
      </c>
    </row>
    <row r="39" spans="1:13">
      <c r="A39" s="2">
        <v>35</v>
      </c>
      <c r="B39" s="4" t="s">
        <v>80</v>
      </c>
      <c r="C39" s="2" t="s">
        <v>9</v>
      </c>
      <c r="D39" s="2"/>
      <c r="E39" s="2">
        <v>3.95</v>
      </c>
      <c r="F39" s="20">
        <f t="shared" si="1"/>
        <v>0</v>
      </c>
      <c r="G39" s="2">
        <v>73</v>
      </c>
      <c r="H39" s="4"/>
      <c r="I39" s="2" t="s">
        <v>9</v>
      </c>
      <c r="J39" s="4"/>
      <c r="K39" s="2"/>
      <c r="L39" s="5">
        <f t="shared" si="0"/>
        <v>0</v>
      </c>
    </row>
    <row r="40" spans="1:13" ht="15.75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5+F6+F7+F8+F9+F10+F11+F12+L2+L3+L4++L5+L6+L7+L8+L9</f>
        <v>0</v>
      </c>
    </row>
    <row r="42" spans="1:13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>
  <dimension ref="A1:M42"/>
  <sheetViews>
    <sheetView topLeftCell="A19" workbookViewId="0">
      <selection activeCell="N12" sqref="N12"/>
    </sheetView>
  </sheetViews>
  <sheetFormatPr defaultRowHeight="15"/>
  <cols>
    <col min="1" max="1" width="4.7109375" style="17" customWidth="1"/>
    <col min="2" max="2" width="28.140625" customWidth="1"/>
    <col min="3" max="3" width="6.140625" customWidth="1"/>
    <col min="6" max="6" width="8.5703125" style="17" customWidth="1"/>
    <col min="7" max="7" width="4.85546875" style="17" customWidth="1"/>
    <col min="8" max="8" width="23.7109375" customWidth="1"/>
    <col min="9" max="9" width="6" bestFit="1" customWidth="1"/>
    <col min="10" max="10" width="6" customWidth="1"/>
    <col min="12" max="12" width="8.85546875" style="17"/>
  </cols>
  <sheetData>
    <row r="1" spans="1:12" ht="15.75">
      <c r="A1" s="30"/>
      <c r="B1" s="30"/>
      <c r="C1" s="30"/>
      <c r="D1" s="30" t="str">
        <f>[1]Сводная!D1</f>
        <v>19    12    2015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>
      <c r="A2" s="32" t="s">
        <v>246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</v>
      </c>
      <c r="L2" s="5">
        <f>J2*K2</f>
        <v>0</v>
      </c>
    </row>
    <row r="3" spans="1:12">
      <c r="A3" s="32" t="s">
        <v>247</v>
      </c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2.1</v>
      </c>
      <c r="L3" s="5">
        <f t="shared" ref="L3:L39" si="0">J3*K3</f>
        <v>0</v>
      </c>
    </row>
    <row r="4" spans="1:12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2.25</v>
      </c>
      <c r="L4" s="5">
        <f t="shared" si="0"/>
        <v>0</v>
      </c>
    </row>
    <row r="5" spans="1:12">
      <c r="A5" s="2">
        <v>1</v>
      </c>
      <c r="B5" s="4" t="s">
        <v>248</v>
      </c>
      <c r="C5" s="2" t="s">
        <v>9</v>
      </c>
      <c r="D5" s="2"/>
      <c r="E5" s="5">
        <v>6.55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2</v>
      </c>
      <c r="L5" s="5">
        <f t="shared" si="0"/>
        <v>0</v>
      </c>
    </row>
    <row r="6" spans="1:12">
      <c r="A6" s="2">
        <v>2</v>
      </c>
      <c r="B6" s="4" t="s">
        <v>14</v>
      </c>
      <c r="C6" s="2" t="s">
        <v>9</v>
      </c>
      <c r="D6" s="2"/>
      <c r="E6" s="5">
        <v>4.7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7.7</v>
      </c>
      <c r="L6" s="5">
        <f>J6*K6</f>
        <v>0</v>
      </c>
    </row>
    <row r="7" spans="1:12">
      <c r="A7" s="2">
        <v>3</v>
      </c>
      <c r="B7" s="4" t="s">
        <v>156</v>
      </c>
      <c r="C7" s="2" t="s">
        <v>9</v>
      </c>
      <c r="D7" s="2"/>
      <c r="E7" s="5">
        <v>5.2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2</v>
      </c>
      <c r="L7" s="5">
        <f t="shared" si="0"/>
        <v>0</v>
      </c>
    </row>
    <row r="8" spans="1:12">
      <c r="A8" s="2">
        <v>4</v>
      </c>
      <c r="B8" s="4" t="s">
        <v>18</v>
      </c>
      <c r="C8" s="2" t="s">
        <v>9</v>
      </c>
      <c r="D8" s="2"/>
      <c r="E8" s="5">
        <v>7.05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2.25</v>
      </c>
      <c r="L8" s="5">
        <f t="shared" si="0"/>
        <v>0</v>
      </c>
    </row>
    <row r="9" spans="1:12">
      <c r="A9" s="2">
        <v>5</v>
      </c>
      <c r="B9" s="4" t="s">
        <v>20</v>
      </c>
      <c r="C9" s="2" t="s">
        <v>9</v>
      </c>
      <c r="D9" s="2"/>
      <c r="E9" s="5">
        <v>4.9000000000000004</v>
      </c>
      <c r="F9" s="20">
        <f t="shared" si="1"/>
        <v>0</v>
      </c>
      <c r="G9" s="2">
        <v>43</v>
      </c>
      <c r="H9" s="4" t="s">
        <v>21</v>
      </c>
      <c r="I9" s="2" t="s">
        <v>9</v>
      </c>
      <c r="J9" s="2"/>
      <c r="K9" s="5">
        <v>2.4</v>
      </c>
      <c r="L9" s="5">
        <f t="shared" si="0"/>
        <v>0</v>
      </c>
    </row>
    <row r="10" spans="1:12">
      <c r="A10" s="2">
        <v>6</v>
      </c>
      <c r="B10" s="4" t="s">
        <v>22</v>
      </c>
      <c r="C10" s="2" t="s">
        <v>9</v>
      </c>
      <c r="D10" s="2"/>
      <c r="E10" s="5">
        <v>5.7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>
      <c r="A11" s="2">
        <v>7</v>
      </c>
      <c r="B11" s="4" t="s">
        <v>24</v>
      </c>
      <c r="C11" s="2" t="s">
        <v>9</v>
      </c>
      <c r="D11" s="2"/>
      <c r="E11" s="5">
        <v>5.2</v>
      </c>
      <c r="F11" s="20">
        <f t="shared" si="1"/>
        <v>0</v>
      </c>
      <c r="G11" s="2">
        <v>45</v>
      </c>
      <c r="H11" s="4" t="s">
        <v>249</v>
      </c>
      <c r="I11" s="2" t="s">
        <v>9</v>
      </c>
      <c r="J11" s="2"/>
      <c r="K11" s="5">
        <v>2.4</v>
      </c>
      <c r="L11" s="5">
        <f t="shared" si="0"/>
        <v>0</v>
      </c>
    </row>
    <row r="12" spans="1:12">
      <c r="A12" s="2">
        <v>8</v>
      </c>
      <c r="B12" s="4" t="s">
        <v>250</v>
      </c>
      <c r="C12" s="2" t="s">
        <v>9</v>
      </c>
      <c r="D12" s="2"/>
      <c r="E12" s="5">
        <v>5.2</v>
      </c>
      <c r="F12" s="20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2.1</v>
      </c>
      <c r="L12" s="5">
        <f t="shared" si="0"/>
        <v>0</v>
      </c>
    </row>
    <row r="13" spans="1:12">
      <c r="A13" s="2">
        <v>9</v>
      </c>
      <c r="B13" s="4" t="s">
        <v>162</v>
      </c>
      <c r="C13" s="2" t="s">
        <v>9</v>
      </c>
      <c r="D13" s="2"/>
      <c r="E13" s="5">
        <v>5.35</v>
      </c>
      <c r="F13" s="20">
        <f t="shared" si="1"/>
        <v>0</v>
      </c>
      <c r="G13" s="2">
        <v>47</v>
      </c>
      <c r="H13" s="4" t="s">
        <v>251</v>
      </c>
      <c r="I13" s="2" t="s">
        <v>9</v>
      </c>
      <c r="J13" s="2"/>
      <c r="K13" s="5">
        <v>2.1</v>
      </c>
      <c r="L13" s="5">
        <f t="shared" si="0"/>
        <v>0</v>
      </c>
    </row>
    <row r="14" spans="1:12">
      <c r="A14" s="2">
        <v>10</v>
      </c>
      <c r="B14" s="4" t="s">
        <v>30</v>
      </c>
      <c r="C14" s="2" t="s">
        <v>9</v>
      </c>
      <c r="D14" s="2"/>
      <c r="E14" s="5">
        <v>5.85</v>
      </c>
      <c r="F14" s="20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2.1</v>
      </c>
      <c r="L14" s="5">
        <f t="shared" si="0"/>
        <v>0</v>
      </c>
    </row>
    <row r="15" spans="1:12">
      <c r="A15" s="2">
        <v>11</v>
      </c>
      <c r="B15" s="4" t="s">
        <v>128</v>
      </c>
      <c r="C15" s="2" t="s">
        <v>9</v>
      </c>
      <c r="D15" s="2"/>
      <c r="E15" s="5">
        <v>6.5</v>
      </c>
      <c r="F15" s="20">
        <f t="shared" si="1"/>
        <v>0</v>
      </c>
      <c r="G15" s="2">
        <v>49</v>
      </c>
      <c r="H15" s="4" t="s">
        <v>129</v>
      </c>
      <c r="I15" s="2" t="s">
        <v>9</v>
      </c>
      <c r="J15" s="2"/>
      <c r="K15" s="5">
        <v>7.95</v>
      </c>
      <c r="L15" s="5">
        <f t="shared" si="0"/>
        <v>0</v>
      </c>
    </row>
    <row r="16" spans="1:12">
      <c r="A16" s="2">
        <v>12</v>
      </c>
      <c r="B16" s="4" t="s">
        <v>34</v>
      </c>
      <c r="C16" s="2" t="s">
        <v>9</v>
      </c>
      <c r="D16" s="2"/>
      <c r="E16" s="5">
        <v>6</v>
      </c>
      <c r="F16" s="20">
        <f t="shared" si="1"/>
        <v>0</v>
      </c>
      <c r="G16" s="2">
        <v>50</v>
      </c>
      <c r="H16" s="4" t="s">
        <v>35</v>
      </c>
      <c r="I16" s="2" t="s">
        <v>9</v>
      </c>
      <c r="J16" s="2"/>
      <c r="K16" s="5">
        <v>6.45</v>
      </c>
      <c r="L16" s="5">
        <f t="shared" si="0"/>
        <v>0</v>
      </c>
    </row>
    <row r="17" spans="1:12">
      <c r="A17" s="2">
        <v>13</v>
      </c>
      <c r="B17" s="4" t="s">
        <v>36</v>
      </c>
      <c r="C17" s="2" t="s">
        <v>9</v>
      </c>
      <c r="D17" s="2"/>
      <c r="E17" s="5">
        <v>6.5</v>
      </c>
      <c r="F17" s="20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6.35</v>
      </c>
      <c r="L17" s="5">
        <f t="shared" si="0"/>
        <v>0</v>
      </c>
    </row>
    <row r="18" spans="1:12">
      <c r="A18" s="2">
        <v>14</v>
      </c>
      <c r="B18" s="4" t="s">
        <v>38</v>
      </c>
      <c r="C18" s="2" t="s">
        <v>9</v>
      </c>
      <c r="D18" s="2"/>
      <c r="E18" s="5">
        <v>4.8</v>
      </c>
      <c r="F18" s="20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2.9</v>
      </c>
      <c r="L18" s="5">
        <f t="shared" si="0"/>
        <v>0</v>
      </c>
    </row>
    <row r="19" spans="1:12">
      <c r="A19" s="2">
        <v>15</v>
      </c>
      <c r="B19" s="4" t="s">
        <v>40</v>
      </c>
      <c r="C19" s="2" t="s">
        <v>9</v>
      </c>
      <c r="D19" s="2"/>
      <c r="E19" s="5">
        <v>5.3</v>
      </c>
      <c r="F19" s="20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11</v>
      </c>
      <c r="L19" s="5">
        <f t="shared" si="0"/>
        <v>0</v>
      </c>
    </row>
    <row r="20" spans="1:12">
      <c r="A20" s="2">
        <v>16</v>
      </c>
      <c r="B20" s="4" t="s">
        <v>42</v>
      </c>
      <c r="C20" s="2" t="s">
        <v>9</v>
      </c>
      <c r="D20" s="2"/>
      <c r="E20" s="5">
        <v>2.35</v>
      </c>
      <c r="F20" s="20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22</v>
      </c>
      <c r="L20" s="5">
        <f t="shared" si="0"/>
        <v>0</v>
      </c>
    </row>
    <row r="21" spans="1:12">
      <c r="A21" s="2">
        <v>17</v>
      </c>
      <c r="B21" s="4" t="s">
        <v>44</v>
      </c>
      <c r="C21" s="2" t="s">
        <v>9</v>
      </c>
      <c r="D21" s="2"/>
      <c r="E21" s="5">
        <v>1.3</v>
      </c>
      <c r="F21" s="20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34.5</v>
      </c>
      <c r="L21" s="5">
        <f t="shared" si="0"/>
        <v>0</v>
      </c>
    </row>
    <row r="22" spans="1:12">
      <c r="A22" s="2">
        <v>18</v>
      </c>
      <c r="B22" s="4" t="s">
        <v>46</v>
      </c>
      <c r="C22" s="2" t="s">
        <v>9</v>
      </c>
      <c r="D22" s="2"/>
      <c r="E22" s="5">
        <v>5.7</v>
      </c>
      <c r="F22" s="20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18.5</v>
      </c>
      <c r="L22" s="5">
        <f t="shared" si="0"/>
        <v>0</v>
      </c>
    </row>
    <row r="23" spans="1:12">
      <c r="A23" s="2">
        <v>19</v>
      </c>
      <c r="B23" s="4" t="s">
        <v>48</v>
      </c>
      <c r="C23" s="2" t="s">
        <v>9</v>
      </c>
      <c r="D23" s="2"/>
      <c r="E23" s="5">
        <v>6.45</v>
      </c>
      <c r="F23" s="20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12.5</v>
      </c>
      <c r="L23" s="5">
        <f t="shared" si="0"/>
        <v>0</v>
      </c>
    </row>
    <row r="24" spans="1:12">
      <c r="A24" s="2">
        <v>20</v>
      </c>
      <c r="B24" s="4" t="s">
        <v>50</v>
      </c>
      <c r="C24" s="2" t="s">
        <v>9</v>
      </c>
      <c r="D24" s="2"/>
      <c r="E24" s="5">
        <v>6</v>
      </c>
      <c r="F24" s="20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9</v>
      </c>
      <c r="L24" s="5">
        <f t="shared" si="0"/>
        <v>0</v>
      </c>
    </row>
    <row r="25" spans="1:12">
      <c r="A25" s="2">
        <v>21</v>
      </c>
      <c r="B25" s="4" t="s">
        <v>96</v>
      </c>
      <c r="C25" s="2" t="s">
        <v>9</v>
      </c>
      <c r="D25" s="2"/>
      <c r="E25" s="5">
        <v>6.8</v>
      </c>
      <c r="F25" s="20">
        <f t="shared" si="1"/>
        <v>0</v>
      </c>
      <c r="G25" s="2">
        <v>59</v>
      </c>
      <c r="H25" s="4" t="s">
        <v>252</v>
      </c>
      <c r="I25" s="2" t="s">
        <v>9</v>
      </c>
      <c r="J25" s="4"/>
      <c r="K25" s="2">
        <v>9</v>
      </c>
      <c r="L25" s="5">
        <f t="shared" si="0"/>
        <v>0</v>
      </c>
    </row>
    <row r="26" spans="1:12">
      <c r="A26" s="2">
        <v>22</v>
      </c>
      <c r="B26" s="4" t="s">
        <v>54</v>
      </c>
      <c r="C26" s="2" t="s">
        <v>9</v>
      </c>
      <c r="D26" s="2"/>
      <c r="E26" s="5">
        <v>5.4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5.95</v>
      </c>
      <c r="L26" s="5">
        <f t="shared" si="0"/>
        <v>0</v>
      </c>
    </row>
    <row r="27" spans="1:12">
      <c r="A27" s="2">
        <v>23</v>
      </c>
      <c r="B27" s="4" t="s">
        <v>56</v>
      </c>
      <c r="C27" s="2" t="s">
        <v>9</v>
      </c>
      <c r="D27" s="2"/>
      <c r="E27" s="5">
        <v>4.45</v>
      </c>
      <c r="F27" s="20">
        <f t="shared" si="1"/>
        <v>0</v>
      </c>
      <c r="G27" s="2">
        <v>61</v>
      </c>
      <c r="H27" s="4" t="s">
        <v>253</v>
      </c>
      <c r="I27" s="2" t="s">
        <v>9</v>
      </c>
      <c r="J27" s="4"/>
      <c r="K27" s="2">
        <v>3.5</v>
      </c>
      <c r="L27" s="5">
        <f t="shared" si="0"/>
        <v>0</v>
      </c>
    </row>
    <row r="28" spans="1:12">
      <c r="A28" s="2">
        <v>24</v>
      </c>
      <c r="B28" s="4" t="s">
        <v>58</v>
      </c>
      <c r="C28" s="2" t="s">
        <v>9</v>
      </c>
      <c r="D28" s="2"/>
      <c r="E28" s="5">
        <v>4.95</v>
      </c>
      <c r="F28" s="20">
        <f t="shared" si="1"/>
        <v>0</v>
      </c>
      <c r="G28" s="2">
        <v>62</v>
      </c>
      <c r="H28" s="4" t="s">
        <v>254</v>
      </c>
      <c r="I28" s="2" t="s">
        <v>9</v>
      </c>
      <c r="J28" s="4"/>
      <c r="K28" s="2">
        <v>7.7</v>
      </c>
      <c r="L28" s="5">
        <f t="shared" si="0"/>
        <v>0</v>
      </c>
    </row>
    <row r="29" spans="1:12">
      <c r="A29" s="2">
        <v>25</v>
      </c>
      <c r="B29" s="4" t="s">
        <v>60</v>
      </c>
      <c r="C29" s="2" t="s">
        <v>9</v>
      </c>
      <c r="D29" s="2"/>
      <c r="E29" s="5">
        <v>5.7</v>
      </c>
      <c r="F29" s="20">
        <f t="shared" si="1"/>
        <v>0</v>
      </c>
      <c r="G29" s="2">
        <v>63</v>
      </c>
      <c r="H29" s="4" t="s">
        <v>255</v>
      </c>
      <c r="I29" s="2" t="s">
        <v>9</v>
      </c>
      <c r="J29" s="4"/>
      <c r="K29" s="2">
        <v>5.9</v>
      </c>
      <c r="L29" s="5">
        <f t="shared" si="0"/>
        <v>0</v>
      </c>
    </row>
    <row r="30" spans="1:12">
      <c r="A30" s="2">
        <v>26</v>
      </c>
      <c r="B30" s="4" t="s">
        <v>62</v>
      </c>
      <c r="C30" s="2" t="s">
        <v>9</v>
      </c>
      <c r="D30" s="2"/>
      <c r="E30" s="5">
        <v>4.5999999999999996</v>
      </c>
      <c r="F30" s="5">
        <f t="shared" si="1"/>
        <v>0</v>
      </c>
      <c r="G30" s="2">
        <v>64</v>
      </c>
      <c r="H30" s="4" t="s">
        <v>256</v>
      </c>
      <c r="I30" s="2" t="s">
        <v>9</v>
      </c>
      <c r="J30" s="4"/>
      <c r="K30" s="2">
        <v>3.5</v>
      </c>
      <c r="L30" s="5">
        <f t="shared" si="0"/>
        <v>0</v>
      </c>
    </row>
    <row r="31" spans="1:12">
      <c r="A31" s="2">
        <v>27</v>
      </c>
      <c r="B31" s="4" t="s">
        <v>102</v>
      </c>
      <c r="C31" s="2" t="s">
        <v>9</v>
      </c>
      <c r="D31" s="2"/>
      <c r="E31" s="5">
        <v>5.95</v>
      </c>
      <c r="F31" s="5">
        <f t="shared" si="1"/>
        <v>0</v>
      </c>
      <c r="G31" s="2">
        <v>65</v>
      </c>
      <c r="H31" s="4" t="s">
        <v>257</v>
      </c>
      <c r="I31" s="2" t="s">
        <v>9</v>
      </c>
      <c r="J31" s="4"/>
      <c r="K31" s="2">
        <v>6.35</v>
      </c>
      <c r="L31" s="5">
        <f t="shared" si="0"/>
        <v>0</v>
      </c>
    </row>
    <row r="32" spans="1:12">
      <c r="A32" s="2">
        <v>28</v>
      </c>
      <c r="B32" s="4" t="s">
        <v>104</v>
      </c>
      <c r="C32" s="2" t="s">
        <v>9</v>
      </c>
      <c r="D32" s="2"/>
      <c r="E32" s="5">
        <v>7.7</v>
      </c>
      <c r="F32" s="20">
        <f t="shared" si="1"/>
        <v>0</v>
      </c>
      <c r="G32" s="2">
        <v>66</v>
      </c>
      <c r="H32" s="4" t="s">
        <v>258</v>
      </c>
      <c r="I32" s="2" t="s">
        <v>9</v>
      </c>
      <c r="J32" s="4"/>
      <c r="K32" s="2">
        <v>7.7</v>
      </c>
      <c r="L32" s="5">
        <f t="shared" si="0"/>
        <v>0</v>
      </c>
    </row>
    <row r="33" spans="1:13">
      <c r="A33" s="2">
        <v>29</v>
      </c>
      <c r="B33" s="4" t="s">
        <v>68</v>
      </c>
      <c r="C33" s="2" t="s">
        <v>9</v>
      </c>
      <c r="D33" s="2"/>
      <c r="E33" s="5">
        <v>5.5</v>
      </c>
      <c r="F33" s="5">
        <f t="shared" si="1"/>
        <v>0</v>
      </c>
      <c r="G33" s="2">
        <v>67</v>
      </c>
      <c r="H33" s="4" t="s">
        <v>259</v>
      </c>
      <c r="I33" s="2" t="s">
        <v>9</v>
      </c>
      <c r="J33" s="4"/>
      <c r="K33" s="2">
        <v>3.65</v>
      </c>
      <c r="L33" s="5">
        <f t="shared" si="0"/>
        <v>0</v>
      </c>
    </row>
    <row r="34" spans="1:13">
      <c r="A34" s="2">
        <v>30</v>
      </c>
      <c r="B34" s="4" t="s">
        <v>70</v>
      </c>
      <c r="C34" s="2" t="s">
        <v>9</v>
      </c>
      <c r="D34" s="2"/>
      <c r="E34" s="5">
        <v>6</v>
      </c>
      <c r="F34" s="5">
        <f t="shared" si="1"/>
        <v>0</v>
      </c>
      <c r="G34" s="2">
        <v>68</v>
      </c>
      <c r="H34" s="4"/>
      <c r="I34" s="2" t="s">
        <v>9</v>
      </c>
      <c r="J34" s="4"/>
      <c r="K34" s="2"/>
      <c r="L34" s="5">
        <f t="shared" si="0"/>
        <v>0</v>
      </c>
      <c r="M34" s="10"/>
    </row>
    <row r="35" spans="1:13">
      <c r="A35" s="2">
        <v>31</v>
      </c>
      <c r="B35" s="4" t="s">
        <v>72</v>
      </c>
      <c r="C35" s="2" t="s">
        <v>9</v>
      </c>
      <c r="D35" s="2"/>
      <c r="E35" s="5">
        <v>5.5</v>
      </c>
      <c r="F35" s="20">
        <f t="shared" si="1"/>
        <v>0</v>
      </c>
      <c r="G35" s="2">
        <v>69</v>
      </c>
      <c r="H35" s="4"/>
      <c r="I35" s="2" t="s">
        <v>9</v>
      </c>
      <c r="J35" s="4"/>
      <c r="K35" s="2"/>
      <c r="L35" s="5">
        <f t="shared" si="0"/>
        <v>0</v>
      </c>
    </row>
    <row r="36" spans="1:13">
      <c r="A36" s="2">
        <v>32</v>
      </c>
      <c r="B36" s="4" t="s">
        <v>74</v>
      </c>
      <c r="C36" s="2" t="s">
        <v>9</v>
      </c>
      <c r="D36" s="2"/>
      <c r="E36" s="2">
        <v>2.35</v>
      </c>
      <c r="F36" s="20">
        <f t="shared" si="1"/>
        <v>0</v>
      </c>
      <c r="G36" s="2">
        <v>70</v>
      </c>
      <c r="H36" s="4"/>
      <c r="I36" s="2" t="s">
        <v>9</v>
      </c>
      <c r="J36" s="4"/>
      <c r="K36" s="2"/>
      <c r="L36" s="5">
        <f t="shared" si="0"/>
        <v>0</v>
      </c>
    </row>
    <row r="37" spans="1:13">
      <c r="A37" s="2">
        <v>33</v>
      </c>
      <c r="B37" s="4" t="s">
        <v>76</v>
      </c>
      <c r="C37" s="2" t="s">
        <v>9</v>
      </c>
      <c r="D37" s="2"/>
      <c r="E37" s="2">
        <v>3.4</v>
      </c>
      <c r="F37" s="20">
        <f t="shared" si="1"/>
        <v>0</v>
      </c>
      <c r="G37" s="2">
        <v>71</v>
      </c>
      <c r="H37" s="4"/>
      <c r="I37" s="2" t="s">
        <v>9</v>
      </c>
      <c r="J37" s="4"/>
      <c r="K37" s="2"/>
      <c r="L37" s="5">
        <f t="shared" si="0"/>
        <v>0</v>
      </c>
      <c r="M37" s="11"/>
    </row>
    <row r="38" spans="1:13">
      <c r="A38" s="2">
        <v>34</v>
      </c>
      <c r="B38" s="4" t="s">
        <v>78</v>
      </c>
      <c r="C38" s="2" t="s">
        <v>9</v>
      </c>
      <c r="D38" s="2"/>
      <c r="E38" s="2">
        <v>6.45</v>
      </c>
      <c r="F38" s="20">
        <f t="shared" si="1"/>
        <v>0</v>
      </c>
      <c r="G38" s="2">
        <v>72</v>
      </c>
      <c r="H38" s="4"/>
      <c r="I38" s="2" t="s">
        <v>9</v>
      </c>
      <c r="J38" s="4"/>
      <c r="K38" s="2"/>
      <c r="L38" s="5">
        <f t="shared" si="0"/>
        <v>0</v>
      </c>
    </row>
    <row r="39" spans="1:13">
      <c r="A39" s="2">
        <v>35</v>
      </c>
      <c r="B39" s="4" t="s">
        <v>80</v>
      </c>
      <c r="C39" s="2" t="s">
        <v>9</v>
      </c>
      <c r="D39" s="2"/>
      <c r="E39" s="2">
        <v>3.95</v>
      </c>
      <c r="F39" s="20">
        <f t="shared" si="1"/>
        <v>0</v>
      </c>
      <c r="G39" s="2">
        <v>73</v>
      </c>
      <c r="H39" s="4"/>
      <c r="I39" s="2" t="s">
        <v>9</v>
      </c>
      <c r="J39" s="4"/>
      <c r="K39" s="2"/>
      <c r="L39" s="5">
        <f t="shared" si="0"/>
        <v>0</v>
      </c>
    </row>
    <row r="40" spans="1:13" ht="15.75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5+F6+F7+F8+F9+F10+F11+F12+L2+L3+L4++L5+L6+L7+L8+L9</f>
        <v>0</v>
      </c>
    </row>
    <row r="42" spans="1:13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>
  <dimension ref="A1:M42"/>
  <sheetViews>
    <sheetView topLeftCell="A19" workbookViewId="0">
      <selection activeCell="N12" sqref="N12"/>
    </sheetView>
  </sheetViews>
  <sheetFormatPr defaultRowHeight="15"/>
  <cols>
    <col min="1" max="1" width="4.7109375" style="17" customWidth="1"/>
    <col min="2" max="2" width="28.140625" customWidth="1"/>
    <col min="3" max="3" width="6.140625" customWidth="1"/>
    <col min="6" max="6" width="8.5703125" style="17" customWidth="1"/>
    <col min="7" max="7" width="4.85546875" style="17" customWidth="1"/>
    <col min="8" max="8" width="23.7109375" customWidth="1"/>
    <col min="9" max="9" width="6" bestFit="1" customWidth="1"/>
    <col min="10" max="10" width="6" customWidth="1"/>
    <col min="12" max="12" width="8.85546875" style="17"/>
  </cols>
  <sheetData>
    <row r="1" spans="1:12" ht="15.75">
      <c r="A1" s="30"/>
      <c r="B1" s="30"/>
      <c r="C1" s="30"/>
      <c r="D1" s="30" t="str">
        <f>[1]Сводная!D1</f>
        <v>19    12    2015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>
      <c r="A2" s="32" t="s">
        <v>246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</v>
      </c>
      <c r="L2" s="5">
        <f>J2*K2</f>
        <v>0</v>
      </c>
    </row>
    <row r="3" spans="1:12">
      <c r="A3" s="32" t="s">
        <v>247</v>
      </c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2.1</v>
      </c>
      <c r="L3" s="5">
        <f t="shared" ref="L3:L39" si="0">J3*K3</f>
        <v>0</v>
      </c>
    </row>
    <row r="4" spans="1:12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2.25</v>
      </c>
      <c r="L4" s="5">
        <f t="shared" si="0"/>
        <v>0</v>
      </c>
    </row>
    <row r="5" spans="1:12">
      <c r="A5" s="2">
        <v>1</v>
      </c>
      <c r="B5" s="4" t="s">
        <v>248</v>
      </c>
      <c r="C5" s="2" t="s">
        <v>9</v>
      </c>
      <c r="D5" s="2"/>
      <c r="E5" s="5">
        <v>6.55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2</v>
      </c>
      <c r="L5" s="5">
        <f t="shared" si="0"/>
        <v>0</v>
      </c>
    </row>
    <row r="6" spans="1:12">
      <c r="A6" s="2">
        <v>2</v>
      </c>
      <c r="B6" s="4" t="s">
        <v>14</v>
      </c>
      <c r="C6" s="2" t="s">
        <v>9</v>
      </c>
      <c r="D6" s="2"/>
      <c r="E6" s="5">
        <v>4.7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7.7</v>
      </c>
      <c r="L6" s="5">
        <f>J6*K6</f>
        <v>0</v>
      </c>
    </row>
    <row r="7" spans="1:12">
      <c r="A7" s="2">
        <v>3</v>
      </c>
      <c r="B7" s="4" t="s">
        <v>156</v>
      </c>
      <c r="C7" s="2" t="s">
        <v>9</v>
      </c>
      <c r="D7" s="2"/>
      <c r="E7" s="5">
        <v>5.2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2</v>
      </c>
      <c r="L7" s="5">
        <f t="shared" si="0"/>
        <v>0</v>
      </c>
    </row>
    <row r="8" spans="1:12">
      <c r="A8" s="2">
        <v>4</v>
      </c>
      <c r="B8" s="4" t="s">
        <v>18</v>
      </c>
      <c r="C8" s="2" t="s">
        <v>9</v>
      </c>
      <c r="D8" s="2"/>
      <c r="E8" s="5">
        <v>7.05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2.25</v>
      </c>
      <c r="L8" s="5">
        <f t="shared" si="0"/>
        <v>0</v>
      </c>
    </row>
    <row r="9" spans="1:12">
      <c r="A9" s="2">
        <v>5</v>
      </c>
      <c r="B9" s="4" t="s">
        <v>20</v>
      </c>
      <c r="C9" s="2" t="s">
        <v>9</v>
      </c>
      <c r="D9" s="2"/>
      <c r="E9" s="5">
        <v>4.9000000000000004</v>
      </c>
      <c r="F9" s="20">
        <f t="shared" si="1"/>
        <v>0</v>
      </c>
      <c r="G9" s="2">
        <v>43</v>
      </c>
      <c r="H9" s="4" t="s">
        <v>21</v>
      </c>
      <c r="I9" s="2" t="s">
        <v>9</v>
      </c>
      <c r="J9" s="2"/>
      <c r="K9" s="5">
        <v>2.4</v>
      </c>
      <c r="L9" s="5">
        <f t="shared" si="0"/>
        <v>0</v>
      </c>
    </row>
    <row r="10" spans="1:12">
      <c r="A10" s="2">
        <v>6</v>
      </c>
      <c r="B10" s="4" t="s">
        <v>22</v>
      </c>
      <c r="C10" s="2" t="s">
        <v>9</v>
      </c>
      <c r="D10" s="2"/>
      <c r="E10" s="5">
        <v>5.7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>
      <c r="A11" s="2">
        <v>7</v>
      </c>
      <c r="B11" s="4" t="s">
        <v>24</v>
      </c>
      <c r="C11" s="2" t="s">
        <v>9</v>
      </c>
      <c r="D11" s="2"/>
      <c r="E11" s="5">
        <v>5.2</v>
      </c>
      <c r="F11" s="20">
        <f t="shared" si="1"/>
        <v>0</v>
      </c>
      <c r="G11" s="2">
        <v>45</v>
      </c>
      <c r="H11" s="4" t="s">
        <v>249</v>
      </c>
      <c r="I11" s="2" t="s">
        <v>9</v>
      </c>
      <c r="J11" s="2"/>
      <c r="K11" s="5">
        <v>2.4</v>
      </c>
      <c r="L11" s="5">
        <f t="shared" si="0"/>
        <v>0</v>
      </c>
    </row>
    <row r="12" spans="1:12">
      <c r="A12" s="2">
        <v>8</v>
      </c>
      <c r="B12" s="4" t="s">
        <v>250</v>
      </c>
      <c r="C12" s="2" t="s">
        <v>9</v>
      </c>
      <c r="D12" s="2"/>
      <c r="E12" s="5">
        <v>5.2</v>
      </c>
      <c r="F12" s="20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2.1</v>
      </c>
      <c r="L12" s="5">
        <f t="shared" si="0"/>
        <v>0</v>
      </c>
    </row>
    <row r="13" spans="1:12">
      <c r="A13" s="2">
        <v>9</v>
      </c>
      <c r="B13" s="4" t="s">
        <v>162</v>
      </c>
      <c r="C13" s="2" t="s">
        <v>9</v>
      </c>
      <c r="D13" s="2"/>
      <c r="E13" s="5">
        <v>5.35</v>
      </c>
      <c r="F13" s="20">
        <f t="shared" si="1"/>
        <v>0</v>
      </c>
      <c r="G13" s="2">
        <v>47</v>
      </c>
      <c r="H13" s="4" t="s">
        <v>251</v>
      </c>
      <c r="I13" s="2" t="s">
        <v>9</v>
      </c>
      <c r="J13" s="2"/>
      <c r="K13" s="5">
        <v>2.1</v>
      </c>
      <c r="L13" s="5">
        <f t="shared" si="0"/>
        <v>0</v>
      </c>
    </row>
    <row r="14" spans="1:12">
      <c r="A14" s="2">
        <v>10</v>
      </c>
      <c r="B14" s="4" t="s">
        <v>30</v>
      </c>
      <c r="C14" s="2" t="s">
        <v>9</v>
      </c>
      <c r="D14" s="2"/>
      <c r="E14" s="5">
        <v>5.85</v>
      </c>
      <c r="F14" s="20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2.1</v>
      </c>
      <c r="L14" s="5">
        <f t="shared" si="0"/>
        <v>0</v>
      </c>
    </row>
    <row r="15" spans="1:12">
      <c r="A15" s="2">
        <v>11</v>
      </c>
      <c r="B15" s="4" t="s">
        <v>128</v>
      </c>
      <c r="C15" s="2" t="s">
        <v>9</v>
      </c>
      <c r="D15" s="2"/>
      <c r="E15" s="5">
        <v>6.5</v>
      </c>
      <c r="F15" s="20">
        <f t="shared" si="1"/>
        <v>0</v>
      </c>
      <c r="G15" s="2">
        <v>49</v>
      </c>
      <c r="H15" s="4" t="s">
        <v>129</v>
      </c>
      <c r="I15" s="2" t="s">
        <v>9</v>
      </c>
      <c r="J15" s="2"/>
      <c r="K15" s="5">
        <v>7.95</v>
      </c>
      <c r="L15" s="5">
        <f t="shared" si="0"/>
        <v>0</v>
      </c>
    </row>
    <row r="16" spans="1:12">
      <c r="A16" s="2">
        <v>12</v>
      </c>
      <c r="B16" s="4" t="s">
        <v>34</v>
      </c>
      <c r="C16" s="2" t="s">
        <v>9</v>
      </c>
      <c r="D16" s="2"/>
      <c r="E16" s="5">
        <v>6</v>
      </c>
      <c r="F16" s="20">
        <f t="shared" si="1"/>
        <v>0</v>
      </c>
      <c r="G16" s="2">
        <v>50</v>
      </c>
      <c r="H16" s="4" t="s">
        <v>35</v>
      </c>
      <c r="I16" s="2" t="s">
        <v>9</v>
      </c>
      <c r="J16" s="2"/>
      <c r="K16" s="5">
        <v>6.45</v>
      </c>
      <c r="L16" s="5">
        <f t="shared" si="0"/>
        <v>0</v>
      </c>
    </row>
    <row r="17" spans="1:12">
      <c r="A17" s="2">
        <v>13</v>
      </c>
      <c r="B17" s="4" t="s">
        <v>36</v>
      </c>
      <c r="C17" s="2" t="s">
        <v>9</v>
      </c>
      <c r="D17" s="2"/>
      <c r="E17" s="5">
        <v>6.5</v>
      </c>
      <c r="F17" s="20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6.35</v>
      </c>
      <c r="L17" s="5">
        <f t="shared" si="0"/>
        <v>0</v>
      </c>
    </row>
    <row r="18" spans="1:12">
      <c r="A18" s="2">
        <v>14</v>
      </c>
      <c r="B18" s="4" t="s">
        <v>38</v>
      </c>
      <c r="C18" s="2" t="s">
        <v>9</v>
      </c>
      <c r="D18" s="2"/>
      <c r="E18" s="5">
        <v>4.8</v>
      </c>
      <c r="F18" s="20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2.9</v>
      </c>
      <c r="L18" s="5">
        <f t="shared" si="0"/>
        <v>0</v>
      </c>
    </row>
    <row r="19" spans="1:12">
      <c r="A19" s="2">
        <v>15</v>
      </c>
      <c r="B19" s="4" t="s">
        <v>40</v>
      </c>
      <c r="C19" s="2" t="s">
        <v>9</v>
      </c>
      <c r="D19" s="2"/>
      <c r="E19" s="5">
        <v>5.3</v>
      </c>
      <c r="F19" s="20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11</v>
      </c>
      <c r="L19" s="5">
        <f t="shared" si="0"/>
        <v>0</v>
      </c>
    </row>
    <row r="20" spans="1:12">
      <c r="A20" s="2">
        <v>16</v>
      </c>
      <c r="B20" s="4" t="s">
        <v>42</v>
      </c>
      <c r="C20" s="2" t="s">
        <v>9</v>
      </c>
      <c r="D20" s="2"/>
      <c r="E20" s="5">
        <v>2.35</v>
      </c>
      <c r="F20" s="20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22</v>
      </c>
      <c r="L20" s="5">
        <f t="shared" si="0"/>
        <v>0</v>
      </c>
    </row>
    <row r="21" spans="1:12">
      <c r="A21" s="2">
        <v>17</v>
      </c>
      <c r="B21" s="4" t="s">
        <v>44</v>
      </c>
      <c r="C21" s="2" t="s">
        <v>9</v>
      </c>
      <c r="D21" s="2"/>
      <c r="E21" s="5">
        <v>1.3</v>
      </c>
      <c r="F21" s="20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34.5</v>
      </c>
      <c r="L21" s="5">
        <f t="shared" si="0"/>
        <v>0</v>
      </c>
    </row>
    <row r="22" spans="1:12">
      <c r="A22" s="2">
        <v>18</v>
      </c>
      <c r="B22" s="4" t="s">
        <v>46</v>
      </c>
      <c r="C22" s="2" t="s">
        <v>9</v>
      </c>
      <c r="D22" s="2"/>
      <c r="E22" s="5">
        <v>5.7</v>
      </c>
      <c r="F22" s="20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18.5</v>
      </c>
      <c r="L22" s="5">
        <f t="shared" si="0"/>
        <v>0</v>
      </c>
    </row>
    <row r="23" spans="1:12">
      <c r="A23" s="2">
        <v>19</v>
      </c>
      <c r="B23" s="4" t="s">
        <v>48</v>
      </c>
      <c r="C23" s="2" t="s">
        <v>9</v>
      </c>
      <c r="D23" s="2"/>
      <c r="E23" s="5">
        <v>6.45</v>
      </c>
      <c r="F23" s="20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12.5</v>
      </c>
      <c r="L23" s="5">
        <f t="shared" si="0"/>
        <v>0</v>
      </c>
    </row>
    <row r="24" spans="1:12">
      <c r="A24" s="2">
        <v>20</v>
      </c>
      <c r="B24" s="4" t="s">
        <v>50</v>
      </c>
      <c r="C24" s="2" t="s">
        <v>9</v>
      </c>
      <c r="D24" s="2"/>
      <c r="E24" s="5">
        <v>6</v>
      </c>
      <c r="F24" s="20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9</v>
      </c>
      <c r="L24" s="5">
        <f t="shared" si="0"/>
        <v>0</v>
      </c>
    </row>
    <row r="25" spans="1:12">
      <c r="A25" s="2">
        <v>21</v>
      </c>
      <c r="B25" s="4" t="s">
        <v>96</v>
      </c>
      <c r="C25" s="2" t="s">
        <v>9</v>
      </c>
      <c r="D25" s="2"/>
      <c r="E25" s="5">
        <v>6.8</v>
      </c>
      <c r="F25" s="20">
        <f t="shared" si="1"/>
        <v>0</v>
      </c>
      <c r="G25" s="2">
        <v>59</v>
      </c>
      <c r="H25" s="4" t="s">
        <v>252</v>
      </c>
      <c r="I25" s="2" t="s">
        <v>9</v>
      </c>
      <c r="J25" s="4"/>
      <c r="K25" s="2">
        <v>9</v>
      </c>
      <c r="L25" s="5">
        <f t="shared" si="0"/>
        <v>0</v>
      </c>
    </row>
    <row r="26" spans="1:12">
      <c r="A26" s="2">
        <v>22</v>
      </c>
      <c r="B26" s="4" t="s">
        <v>54</v>
      </c>
      <c r="C26" s="2" t="s">
        <v>9</v>
      </c>
      <c r="D26" s="2"/>
      <c r="E26" s="5">
        <v>5.4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5.95</v>
      </c>
      <c r="L26" s="5">
        <f t="shared" si="0"/>
        <v>0</v>
      </c>
    </row>
    <row r="27" spans="1:12">
      <c r="A27" s="2">
        <v>23</v>
      </c>
      <c r="B27" s="4" t="s">
        <v>56</v>
      </c>
      <c r="C27" s="2" t="s">
        <v>9</v>
      </c>
      <c r="D27" s="2"/>
      <c r="E27" s="5">
        <v>4.45</v>
      </c>
      <c r="F27" s="20">
        <f t="shared" si="1"/>
        <v>0</v>
      </c>
      <c r="G27" s="2">
        <v>61</v>
      </c>
      <c r="H27" s="4" t="s">
        <v>253</v>
      </c>
      <c r="I27" s="2" t="s">
        <v>9</v>
      </c>
      <c r="J27" s="4"/>
      <c r="K27" s="2">
        <v>3.5</v>
      </c>
      <c r="L27" s="5">
        <f t="shared" si="0"/>
        <v>0</v>
      </c>
    </row>
    <row r="28" spans="1:12">
      <c r="A28" s="2">
        <v>24</v>
      </c>
      <c r="B28" s="4" t="s">
        <v>58</v>
      </c>
      <c r="C28" s="2" t="s">
        <v>9</v>
      </c>
      <c r="D28" s="2"/>
      <c r="E28" s="5">
        <v>4.95</v>
      </c>
      <c r="F28" s="20">
        <f t="shared" si="1"/>
        <v>0</v>
      </c>
      <c r="G28" s="2">
        <v>62</v>
      </c>
      <c r="H28" s="4" t="s">
        <v>254</v>
      </c>
      <c r="I28" s="2" t="s">
        <v>9</v>
      </c>
      <c r="J28" s="4"/>
      <c r="K28" s="2">
        <v>7.7</v>
      </c>
      <c r="L28" s="5">
        <f t="shared" si="0"/>
        <v>0</v>
      </c>
    </row>
    <row r="29" spans="1:12">
      <c r="A29" s="2">
        <v>25</v>
      </c>
      <c r="B29" s="4" t="s">
        <v>60</v>
      </c>
      <c r="C29" s="2" t="s">
        <v>9</v>
      </c>
      <c r="D29" s="2"/>
      <c r="E29" s="5">
        <v>5.7</v>
      </c>
      <c r="F29" s="20">
        <f t="shared" si="1"/>
        <v>0</v>
      </c>
      <c r="G29" s="2">
        <v>63</v>
      </c>
      <c r="H29" s="4" t="s">
        <v>255</v>
      </c>
      <c r="I29" s="2" t="s">
        <v>9</v>
      </c>
      <c r="J29" s="4"/>
      <c r="K29" s="2">
        <v>5.9</v>
      </c>
      <c r="L29" s="5">
        <f t="shared" si="0"/>
        <v>0</v>
      </c>
    </row>
    <row r="30" spans="1:12">
      <c r="A30" s="2">
        <v>26</v>
      </c>
      <c r="B30" s="4" t="s">
        <v>62</v>
      </c>
      <c r="C30" s="2" t="s">
        <v>9</v>
      </c>
      <c r="D30" s="2"/>
      <c r="E30" s="5">
        <v>4.5999999999999996</v>
      </c>
      <c r="F30" s="5">
        <f t="shared" si="1"/>
        <v>0</v>
      </c>
      <c r="G30" s="2">
        <v>64</v>
      </c>
      <c r="H30" s="4" t="s">
        <v>256</v>
      </c>
      <c r="I30" s="2" t="s">
        <v>9</v>
      </c>
      <c r="J30" s="4"/>
      <c r="K30" s="2">
        <v>3.5</v>
      </c>
      <c r="L30" s="5">
        <f t="shared" si="0"/>
        <v>0</v>
      </c>
    </row>
    <row r="31" spans="1:12">
      <c r="A31" s="2">
        <v>27</v>
      </c>
      <c r="B31" s="4" t="s">
        <v>102</v>
      </c>
      <c r="C31" s="2" t="s">
        <v>9</v>
      </c>
      <c r="D31" s="2"/>
      <c r="E31" s="5">
        <v>5.95</v>
      </c>
      <c r="F31" s="5">
        <f t="shared" si="1"/>
        <v>0</v>
      </c>
      <c r="G31" s="2">
        <v>65</v>
      </c>
      <c r="H31" s="4" t="s">
        <v>257</v>
      </c>
      <c r="I31" s="2" t="s">
        <v>9</v>
      </c>
      <c r="J31" s="4"/>
      <c r="K31" s="2">
        <v>6.35</v>
      </c>
      <c r="L31" s="5">
        <f t="shared" si="0"/>
        <v>0</v>
      </c>
    </row>
    <row r="32" spans="1:12">
      <c r="A32" s="2">
        <v>28</v>
      </c>
      <c r="B32" s="4" t="s">
        <v>104</v>
      </c>
      <c r="C32" s="2" t="s">
        <v>9</v>
      </c>
      <c r="D32" s="2"/>
      <c r="E32" s="5">
        <v>7.7</v>
      </c>
      <c r="F32" s="20">
        <f t="shared" si="1"/>
        <v>0</v>
      </c>
      <c r="G32" s="2">
        <v>66</v>
      </c>
      <c r="H32" s="4" t="s">
        <v>258</v>
      </c>
      <c r="I32" s="2" t="s">
        <v>9</v>
      </c>
      <c r="J32" s="4"/>
      <c r="K32" s="2">
        <v>7.7</v>
      </c>
      <c r="L32" s="5">
        <f t="shared" si="0"/>
        <v>0</v>
      </c>
    </row>
    <row r="33" spans="1:13">
      <c r="A33" s="2">
        <v>29</v>
      </c>
      <c r="B33" s="4" t="s">
        <v>68</v>
      </c>
      <c r="C33" s="2" t="s">
        <v>9</v>
      </c>
      <c r="D33" s="2"/>
      <c r="E33" s="5">
        <v>5.5</v>
      </c>
      <c r="F33" s="5">
        <f t="shared" si="1"/>
        <v>0</v>
      </c>
      <c r="G33" s="2">
        <v>67</v>
      </c>
      <c r="H33" s="4" t="s">
        <v>259</v>
      </c>
      <c r="I33" s="2" t="s">
        <v>9</v>
      </c>
      <c r="J33" s="4"/>
      <c r="K33" s="2">
        <v>3.65</v>
      </c>
      <c r="L33" s="5">
        <f t="shared" si="0"/>
        <v>0</v>
      </c>
    </row>
    <row r="34" spans="1:13">
      <c r="A34" s="2">
        <v>30</v>
      </c>
      <c r="B34" s="4" t="s">
        <v>70</v>
      </c>
      <c r="C34" s="2" t="s">
        <v>9</v>
      </c>
      <c r="D34" s="2"/>
      <c r="E34" s="5">
        <v>6</v>
      </c>
      <c r="F34" s="5">
        <f t="shared" si="1"/>
        <v>0</v>
      </c>
      <c r="G34" s="2">
        <v>68</v>
      </c>
      <c r="H34" s="4"/>
      <c r="I34" s="2" t="s">
        <v>9</v>
      </c>
      <c r="J34" s="4"/>
      <c r="K34" s="2"/>
      <c r="L34" s="5">
        <f t="shared" si="0"/>
        <v>0</v>
      </c>
      <c r="M34" s="10"/>
    </row>
    <row r="35" spans="1:13">
      <c r="A35" s="2">
        <v>31</v>
      </c>
      <c r="B35" s="4" t="s">
        <v>72</v>
      </c>
      <c r="C35" s="2" t="s">
        <v>9</v>
      </c>
      <c r="D35" s="2"/>
      <c r="E35" s="5">
        <v>5.5</v>
      </c>
      <c r="F35" s="20">
        <f t="shared" si="1"/>
        <v>0</v>
      </c>
      <c r="G35" s="2">
        <v>69</v>
      </c>
      <c r="H35" s="4"/>
      <c r="I35" s="2" t="s">
        <v>9</v>
      </c>
      <c r="J35" s="4"/>
      <c r="K35" s="2"/>
      <c r="L35" s="5">
        <f t="shared" si="0"/>
        <v>0</v>
      </c>
    </row>
    <row r="36" spans="1:13">
      <c r="A36" s="2">
        <v>32</v>
      </c>
      <c r="B36" s="4" t="s">
        <v>74</v>
      </c>
      <c r="C36" s="2" t="s">
        <v>9</v>
      </c>
      <c r="D36" s="2"/>
      <c r="E36" s="2">
        <v>2.35</v>
      </c>
      <c r="F36" s="20">
        <f t="shared" si="1"/>
        <v>0</v>
      </c>
      <c r="G36" s="2">
        <v>70</v>
      </c>
      <c r="H36" s="4"/>
      <c r="I36" s="2" t="s">
        <v>9</v>
      </c>
      <c r="J36" s="4"/>
      <c r="K36" s="2"/>
      <c r="L36" s="5">
        <f t="shared" si="0"/>
        <v>0</v>
      </c>
    </row>
    <row r="37" spans="1:13">
      <c r="A37" s="2">
        <v>33</v>
      </c>
      <c r="B37" s="4" t="s">
        <v>76</v>
      </c>
      <c r="C37" s="2" t="s">
        <v>9</v>
      </c>
      <c r="D37" s="2"/>
      <c r="E37" s="2">
        <v>3.4</v>
      </c>
      <c r="F37" s="20">
        <f t="shared" si="1"/>
        <v>0</v>
      </c>
      <c r="G37" s="2">
        <v>71</v>
      </c>
      <c r="H37" s="4"/>
      <c r="I37" s="2" t="s">
        <v>9</v>
      </c>
      <c r="J37" s="4"/>
      <c r="K37" s="2"/>
      <c r="L37" s="5">
        <f t="shared" si="0"/>
        <v>0</v>
      </c>
      <c r="M37" s="11"/>
    </row>
    <row r="38" spans="1:13">
      <c r="A38" s="2">
        <v>34</v>
      </c>
      <c r="B38" s="4" t="s">
        <v>78</v>
      </c>
      <c r="C38" s="2" t="s">
        <v>9</v>
      </c>
      <c r="D38" s="2"/>
      <c r="E38" s="2">
        <v>6.45</v>
      </c>
      <c r="F38" s="20">
        <f t="shared" si="1"/>
        <v>0</v>
      </c>
      <c r="G38" s="2">
        <v>72</v>
      </c>
      <c r="H38" s="4"/>
      <c r="I38" s="2" t="s">
        <v>9</v>
      </c>
      <c r="J38" s="4"/>
      <c r="K38" s="2"/>
      <c r="L38" s="5">
        <f t="shared" si="0"/>
        <v>0</v>
      </c>
    </row>
    <row r="39" spans="1:13">
      <c r="A39" s="2">
        <v>35</v>
      </c>
      <c r="B39" s="4" t="s">
        <v>80</v>
      </c>
      <c r="C39" s="2" t="s">
        <v>9</v>
      </c>
      <c r="D39" s="2"/>
      <c r="E39" s="2">
        <v>3.95</v>
      </c>
      <c r="F39" s="20">
        <f t="shared" si="1"/>
        <v>0</v>
      </c>
      <c r="G39" s="2">
        <v>73</v>
      </c>
      <c r="H39" s="4"/>
      <c r="I39" s="2" t="s">
        <v>9</v>
      </c>
      <c r="J39" s="4"/>
      <c r="K39" s="2"/>
      <c r="L39" s="5">
        <f t="shared" si="0"/>
        <v>0</v>
      </c>
    </row>
    <row r="40" spans="1:13" ht="15.75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5+F6+F7+F8+F9+F10+F11+F12+L2+L3+L4++L5+L6+L7+L8+L9</f>
        <v>0</v>
      </c>
    </row>
    <row r="42" spans="1:13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>
  <dimension ref="A1:M42"/>
  <sheetViews>
    <sheetView topLeftCell="A19" workbookViewId="0">
      <selection activeCell="N12" sqref="N12"/>
    </sheetView>
  </sheetViews>
  <sheetFormatPr defaultRowHeight="15"/>
  <cols>
    <col min="1" max="1" width="4.7109375" style="17" customWidth="1"/>
    <col min="2" max="2" width="28.140625" customWidth="1"/>
    <col min="3" max="3" width="6.140625" customWidth="1"/>
    <col min="6" max="6" width="8.5703125" style="17" customWidth="1"/>
    <col min="7" max="7" width="4.85546875" style="17" customWidth="1"/>
    <col min="8" max="8" width="23.7109375" customWidth="1"/>
    <col min="9" max="9" width="6" bestFit="1" customWidth="1"/>
    <col min="10" max="10" width="6" customWidth="1"/>
    <col min="12" max="12" width="8.85546875" style="17"/>
  </cols>
  <sheetData>
    <row r="1" spans="1:12" ht="15.75">
      <c r="A1" s="30"/>
      <c r="B1" s="30"/>
      <c r="C1" s="30"/>
      <c r="D1" s="30" t="str">
        <f>[1]Сводная!D1</f>
        <v>19    12    2015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>
      <c r="A2" s="32" t="s">
        <v>246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</v>
      </c>
      <c r="L2" s="5">
        <f>J2*K2</f>
        <v>0</v>
      </c>
    </row>
    <row r="3" spans="1:12">
      <c r="A3" s="32" t="s">
        <v>247</v>
      </c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2.1</v>
      </c>
      <c r="L3" s="5">
        <f t="shared" ref="L3:L39" si="0">J3*K3</f>
        <v>0</v>
      </c>
    </row>
    <row r="4" spans="1:12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2.25</v>
      </c>
      <c r="L4" s="5">
        <f t="shared" si="0"/>
        <v>0</v>
      </c>
    </row>
    <row r="5" spans="1:12">
      <c r="A5" s="2">
        <v>1</v>
      </c>
      <c r="B5" s="4" t="s">
        <v>248</v>
      </c>
      <c r="C5" s="2" t="s">
        <v>9</v>
      </c>
      <c r="D5" s="2"/>
      <c r="E5" s="5">
        <v>6.55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2</v>
      </c>
      <c r="L5" s="5">
        <f t="shared" si="0"/>
        <v>0</v>
      </c>
    </row>
    <row r="6" spans="1:12">
      <c r="A6" s="2">
        <v>2</v>
      </c>
      <c r="B6" s="4" t="s">
        <v>14</v>
      </c>
      <c r="C6" s="2" t="s">
        <v>9</v>
      </c>
      <c r="D6" s="2"/>
      <c r="E6" s="5">
        <v>4.7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7.7</v>
      </c>
      <c r="L6" s="5">
        <f>J6*K6</f>
        <v>0</v>
      </c>
    </row>
    <row r="7" spans="1:12">
      <c r="A7" s="2">
        <v>3</v>
      </c>
      <c r="B7" s="4" t="s">
        <v>156</v>
      </c>
      <c r="C7" s="2" t="s">
        <v>9</v>
      </c>
      <c r="D7" s="2"/>
      <c r="E7" s="5">
        <v>5.2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2</v>
      </c>
      <c r="L7" s="5">
        <f t="shared" si="0"/>
        <v>0</v>
      </c>
    </row>
    <row r="8" spans="1:12">
      <c r="A8" s="2">
        <v>4</v>
      </c>
      <c r="B8" s="4" t="s">
        <v>18</v>
      </c>
      <c r="C8" s="2" t="s">
        <v>9</v>
      </c>
      <c r="D8" s="2"/>
      <c r="E8" s="5">
        <v>7.05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2.25</v>
      </c>
      <c r="L8" s="5">
        <f t="shared" si="0"/>
        <v>0</v>
      </c>
    </row>
    <row r="9" spans="1:12">
      <c r="A9" s="2">
        <v>5</v>
      </c>
      <c r="B9" s="4" t="s">
        <v>20</v>
      </c>
      <c r="C9" s="2" t="s">
        <v>9</v>
      </c>
      <c r="D9" s="2"/>
      <c r="E9" s="5">
        <v>4.9000000000000004</v>
      </c>
      <c r="F9" s="20">
        <f t="shared" si="1"/>
        <v>0</v>
      </c>
      <c r="G9" s="2">
        <v>43</v>
      </c>
      <c r="H9" s="4" t="s">
        <v>21</v>
      </c>
      <c r="I9" s="2" t="s">
        <v>9</v>
      </c>
      <c r="J9" s="2"/>
      <c r="K9" s="5">
        <v>2.4</v>
      </c>
      <c r="L9" s="5">
        <f t="shared" si="0"/>
        <v>0</v>
      </c>
    </row>
    <row r="10" spans="1:12">
      <c r="A10" s="2">
        <v>6</v>
      </c>
      <c r="B10" s="4" t="s">
        <v>22</v>
      </c>
      <c r="C10" s="2" t="s">
        <v>9</v>
      </c>
      <c r="D10" s="2"/>
      <c r="E10" s="5">
        <v>5.7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>
      <c r="A11" s="2">
        <v>7</v>
      </c>
      <c r="B11" s="4" t="s">
        <v>24</v>
      </c>
      <c r="C11" s="2" t="s">
        <v>9</v>
      </c>
      <c r="D11" s="2"/>
      <c r="E11" s="5">
        <v>5.2</v>
      </c>
      <c r="F11" s="20">
        <f t="shared" si="1"/>
        <v>0</v>
      </c>
      <c r="G11" s="2">
        <v>45</v>
      </c>
      <c r="H11" s="4" t="s">
        <v>249</v>
      </c>
      <c r="I11" s="2" t="s">
        <v>9</v>
      </c>
      <c r="J11" s="2"/>
      <c r="K11" s="5">
        <v>2.4</v>
      </c>
      <c r="L11" s="5">
        <f t="shared" si="0"/>
        <v>0</v>
      </c>
    </row>
    <row r="12" spans="1:12">
      <c r="A12" s="2">
        <v>8</v>
      </c>
      <c r="B12" s="4" t="s">
        <v>250</v>
      </c>
      <c r="C12" s="2" t="s">
        <v>9</v>
      </c>
      <c r="D12" s="2"/>
      <c r="E12" s="5">
        <v>5.2</v>
      </c>
      <c r="F12" s="20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2.1</v>
      </c>
      <c r="L12" s="5">
        <f t="shared" si="0"/>
        <v>0</v>
      </c>
    </row>
    <row r="13" spans="1:12">
      <c r="A13" s="2">
        <v>9</v>
      </c>
      <c r="B13" s="4" t="s">
        <v>162</v>
      </c>
      <c r="C13" s="2" t="s">
        <v>9</v>
      </c>
      <c r="D13" s="2"/>
      <c r="E13" s="5">
        <v>5.35</v>
      </c>
      <c r="F13" s="20">
        <f t="shared" si="1"/>
        <v>0</v>
      </c>
      <c r="G13" s="2">
        <v>47</v>
      </c>
      <c r="H13" s="4" t="s">
        <v>251</v>
      </c>
      <c r="I13" s="2" t="s">
        <v>9</v>
      </c>
      <c r="J13" s="2"/>
      <c r="K13" s="5">
        <v>2.1</v>
      </c>
      <c r="L13" s="5">
        <f t="shared" si="0"/>
        <v>0</v>
      </c>
    </row>
    <row r="14" spans="1:12">
      <c r="A14" s="2">
        <v>10</v>
      </c>
      <c r="B14" s="4" t="s">
        <v>30</v>
      </c>
      <c r="C14" s="2" t="s">
        <v>9</v>
      </c>
      <c r="D14" s="2"/>
      <c r="E14" s="5">
        <v>5.85</v>
      </c>
      <c r="F14" s="20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2.1</v>
      </c>
      <c r="L14" s="5">
        <f t="shared" si="0"/>
        <v>0</v>
      </c>
    </row>
    <row r="15" spans="1:12">
      <c r="A15" s="2">
        <v>11</v>
      </c>
      <c r="B15" s="4" t="s">
        <v>128</v>
      </c>
      <c r="C15" s="2" t="s">
        <v>9</v>
      </c>
      <c r="D15" s="2"/>
      <c r="E15" s="5">
        <v>6.5</v>
      </c>
      <c r="F15" s="20">
        <f t="shared" si="1"/>
        <v>0</v>
      </c>
      <c r="G15" s="2">
        <v>49</v>
      </c>
      <c r="H15" s="4" t="s">
        <v>129</v>
      </c>
      <c r="I15" s="2" t="s">
        <v>9</v>
      </c>
      <c r="J15" s="2"/>
      <c r="K15" s="5">
        <v>7.95</v>
      </c>
      <c r="L15" s="5">
        <f t="shared" si="0"/>
        <v>0</v>
      </c>
    </row>
    <row r="16" spans="1:12">
      <c r="A16" s="2">
        <v>12</v>
      </c>
      <c r="B16" s="4" t="s">
        <v>34</v>
      </c>
      <c r="C16" s="2" t="s">
        <v>9</v>
      </c>
      <c r="D16" s="2"/>
      <c r="E16" s="5">
        <v>6</v>
      </c>
      <c r="F16" s="20">
        <f t="shared" si="1"/>
        <v>0</v>
      </c>
      <c r="G16" s="2">
        <v>50</v>
      </c>
      <c r="H16" s="4" t="s">
        <v>35</v>
      </c>
      <c r="I16" s="2" t="s">
        <v>9</v>
      </c>
      <c r="J16" s="2"/>
      <c r="K16" s="5">
        <v>6.45</v>
      </c>
      <c r="L16" s="5">
        <f t="shared" si="0"/>
        <v>0</v>
      </c>
    </row>
    <row r="17" spans="1:12">
      <c r="A17" s="2">
        <v>13</v>
      </c>
      <c r="B17" s="4" t="s">
        <v>36</v>
      </c>
      <c r="C17" s="2" t="s">
        <v>9</v>
      </c>
      <c r="D17" s="2"/>
      <c r="E17" s="5">
        <v>6.5</v>
      </c>
      <c r="F17" s="20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6.35</v>
      </c>
      <c r="L17" s="5">
        <f t="shared" si="0"/>
        <v>0</v>
      </c>
    </row>
    <row r="18" spans="1:12">
      <c r="A18" s="2">
        <v>14</v>
      </c>
      <c r="B18" s="4" t="s">
        <v>38</v>
      </c>
      <c r="C18" s="2" t="s">
        <v>9</v>
      </c>
      <c r="D18" s="2"/>
      <c r="E18" s="5">
        <v>4.8</v>
      </c>
      <c r="F18" s="20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2.9</v>
      </c>
      <c r="L18" s="5">
        <f t="shared" si="0"/>
        <v>0</v>
      </c>
    </row>
    <row r="19" spans="1:12">
      <c r="A19" s="2">
        <v>15</v>
      </c>
      <c r="B19" s="4" t="s">
        <v>40</v>
      </c>
      <c r="C19" s="2" t="s">
        <v>9</v>
      </c>
      <c r="D19" s="2"/>
      <c r="E19" s="5">
        <v>5.3</v>
      </c>
      <c r="F19" s="20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11</v>
      </c>
      <c r="L19" s="5">
        <f t="shared" si="0"/>
        <v>0</v>
      </c>
    </row>
    <row r="20" spans="1:12">
      <c r="A20" s="2">
        <v>16</v>
      </c>
      <c r="B20" s="4" t="s">
        <v>42</v>
      </c>
      <c r="C20" s="2" t="s">
        <v>9</v>
      </c>
      <c r="D20" s="2"/>
      <c r="E20" s="5">
        <v>2.35</v>
      </c>
      <c r="F20" s="20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22</v>
      </c>
      <c r="L20" s="5">
        <f t="shared" si="0"/>
        <v>0</v>
      </c>
    </row>
    <row r="21" spans="1:12">
      <c r="A21" s="2">
        <v>17</v>
      </c>
      <c r="B21" s="4" t="s">
        <v>44</v>
      </c>
      <c r="C21" s="2" t="s">
        <v>9</v>
      </c>
      <c r="D21" s="2"/>
      <c r="E21" s="5">
        <v>1.3</v>
      </c>
      <c r="F21" s="20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34.5</v>
      </c>
      <c r="L21" s="5">
        <f t="shared" si="0"/>
        <v>0</v>
      </c>
    </row>
    <row r="22" spans="1:12">
      <c r="A22" s="2">
        <v>18</v>
      </c>
      <c r="B22" s="4" t="s">
        <v>46</v>
      </c>
      <c r="C22" s="2" t="s">
        <v>9</v>
      </c>
      <c r="D22" s="2"/>
      <c r="E22" s="5">
        <v>5.7</v>
      </c>
      <c r="F22" s="20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18.5</v>
      </c>
      <c r="L22" s="5">
        <f t="shared" si="0"/>
        <v>0</v>
      </c>
    </row>
    <row r="23" spans="1:12">
      <c r="A23" s="2">
        <v>19</v>
      </c>
      <c r="B23" s="4" t="s">
        <v>48</v>
      </c>
      <c r="C23" s="2" t="s">
        <v>9</v>
      </c>
      <c r="D23" s="2"/>
      <c r="E23" s="5">
        <v>6.45</v>
      </c>
      <c r="F23" s="20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12.5</v>
      </c>
      <c r="L23" s="5">
        <f t="shared" si="0"/>
        <v>0</v>
      </c>
    </row>
    <row r="24" spans="1:12">
      <c r="A24" s="2">
        <v>20</v>
      </c>
      <c r="B24" s="4" t="s">
        <v>50</v>
      </c>
      <c r="C24" s="2" t="s">
        <v>9</v>
      </c>
      <c r="D24" s="2"/>
      <c r="E24" s="5">
        <v>6</v>
      </c>
      <c r="F24" s="20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9</v>
      </c>
      <c r="L24" s="5">
        <f t="shared" si="0"/>
        <v>0</v>
      </c>
    </row>
    <row r="25" spans="1:12">
      <c r="A25" s="2">
        <v>21</v>
      </c>
      <c r="B25" s="4" t="s">
        <v>96</v>
      </c>
      <c r="C25" s="2" t="s">
        <v>9</v>
      </c>
      <c r="D25" s="2"/>
      <c r="E25" s="5">
        <v>6.8</v>
      </c>
      <c r="F25" s="20">
        <f t="shared" si="1"/>
        <v>0</v>
      </c>
      <c r="G25" s="2">
        <v>59</v>
      </c>
      <c r="H25" s="4" t="s">
        <v>252</v>
      </c>
      <c r="I25" s="2" t="s">
        <v>9</v>
      </c>
      <c r="J25" s="4"/>
      <c r="K25" s="2">
        <v>9</v>
      </c>
      <c r="L25" s="5">
        <f t="shared" si="0"/>
        <v>0</v>
      </c>
    </row>
    <row r="26" spans="1:12">
      <c r="A26" s="2">
        <v>22</v>
      </c>
      <c r="B26" s="4" t="s">
        <v>54</v>
      </c>
      <c r="C26" s="2" t="s">
        <v>9</v>
      </c>
      <c r="D26" s="2"/>
      <c r="E26" s="5">
        <v>5.4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5.95</v>
      </c>
      <c r="L26" s="5">
        <f t="shared" si="0"/>
        <v>0</v>
      </c>
    </row>
    <row r="27" spans="1:12">
      <c r="A27" s="2">
        <v>23</v>
      </c>
      <c r="B27" s="4" t="s">
        <v>56</v>
      </c>
      <c r="C27" s="2" t="s">
        <v>9</v>
      </c>
      <c r="D27" s="2"/>
      <c r="E27" s="5">
        <v>4.45</v>
      </c>
      <c r="F27" s="20">
        <f t="shared" si="1"/>
        <v>0</v>
      </c>
      <c r="G27" s="2">
        <v>61</v>
      </c>
      <c r="H27" s="4" t="s">
        <v>253</v>
      </c>
      <c r="I27" s="2" t="s">
        <v>9</v>
      </c>
      <c r="J27" s="4"/>
      <c r="K27" s="2">
        <v>3.5</v>
      </c>
      <c r="L27" s="5">
        <f t="shared" si="0"/>
        <v>0</v>
      </c>
    </row>
    <row r="28" spans="1:12">
      <c r="A28" s="2">
        <v>24</v>
      </c>
      <c r="B28" s="4" t="s">
        <v>58</v>
      </c>
      <c r="C28" s="2" t="s">
        <v>9</v>
      </c>
      <c r="D28" s="2"/>
      <c r="E28" s="5">
        <v>4.95</v>
      </c>
      <c r="F28" s="20">
        <f t="shared" si="1"/>
        <v>0</v>
      </c>
      <c r="G28" s="2">
        <v>62</v>
      </c>
      <c r="H28" s="4" t="s">
        <v>254</v>
      </c>
      <c r="I28" s="2" t="s">
        <v>9</v>
      </c>
      <c r="J28" s="4"/>
      <c r="K28" s="2">
        <v>7.7</v>
      </c>
      <c r="L28" s="5">
        <f t="shared" si="0"/>
        <v>0</v>
      </c>
    </row>
    <row r="29" spans="1:12">
      <c r="A29" s="2">
        <v>25</v>
      </c>
      <c r="B29" s="4" t="s">
        <v>60</v>
      </c>
      <c r="C29" s="2" t="s">
        <v>9</v>
      </c>
      <c r="D29" s="2"/>
      <c r="E29" s="5">
        <v>5.7</v>
      </c>
      <c r="F29" s="20">
        <f t="shared" si="1"/>
        <v>0</v>
      </c>
      <c r="G29" s="2">
        <v>63</v>
      </c>
      <c r="H29" s="4" t="s">
        <v>255</v>
      </c>
      <c r="I29" s="2" t="s">
        <v>9</v>
      </c>
      <c r="J29" s="4"/>
      <c r="K29" s="2">
        <v>5.9</v>
      </c>
      <c r="L29" s="5">
        <f t="shared" si="0"/>
        <v>0</v>
      </c>
    </row>
    <row r="30" spans="1:12">
      <c r="A30" s="2">
        <v>26</v>
      </c>
      <c r="B30" s="4" t="s">
        <v>62</v>
      </c>
      <c r="C30" s="2" t="s">
        <v>9</v>
      </c>
      <c r="D30" s="2"/>
      <c r="E30" s="5">
        <v>4.5999999999999996</v>
      </c>
      <c r="F30" s="5">
        <f t="shared" si="1"/>
        <v>0</v>
      </c>
      <c r="G30" s="2">
        <v>64</v>
      </c>
      <c r="H30" s="4" t="s">
        <v>256</v>
      </c>
      <c r="I30" s="2" t="s">
        <v>9</v>
      </c>
      <c r="J30" s="4"/>
      <c r="K30" s="2">
        <v>3.5</v>
      </c>
      <c r="L30" s="5">
        <f t="shared" si="0"/>
        <v>0</v>
      </c>
    </row>
    <row r="31" spans="1:12">
      <c r="A31" s="2">
        <v>27</v>
      </c>
      <c r="B31" s="4" t="s">
        <v>102</v>
      </c>
      <c r="C31" s="2" t="s">
        <v>9</v>
      </c>
      <c r="D31" s="2"/>
      <c r="E31" s="5">
        <v>5.95</v>
      </c>
      <c r="F31" s="5">
        <f t="shared" si="1"/>
        <v>0</v>
      </c>
      <c r="G31" s="2">
        <v>65</v>
      </c>
      <c r="H31" s="4" t="s">
        <v>257</v>
      </c>
      <c r="I31" s="2" t="s">
        <v>9</v>
      </c>
      <c r="J31" s="4"/>
      <c r="K31" s="2">
        <v>6.35</v>
      </c>
      <c r="L31" s="5">
        <f t="shared" si="0"/>
        <v>0</v>
      </c>
    </row>
    <row r="32" spans="1:12">
      <c r="A32" s="2">
        <v>28</v>
      </c>
      <c r="B32" s="4" t="s">
        <v>104</v>
      </c>
      <c r="C32" s="2" t="s">
        <v>9</v>
      </c>
      <c r="D32" s="2"/>
      <c r="E32" s="5">
        <v>7.7</v>
      </c>
      <c r="F32" s="20">
        <f t="shared" si="1"/>
        <v>0</v>
      </c>
      <c r="G32" s="2">
        <v>66</v>
      </c>
      <c r="H32" s="4" t="s">
        <v>258</v>
      </c>
      <c r="I32" s="2" t="s">
        <v>9</v>
      </c>
      <c r="J32" s="4"/>
      <c r="K32" s="2">
        <v>7.7</v>
      </c>
      <c r="L32" s="5">
        <f t="shared" si="0"/>
        <v>0</v>
      </c>
    </row>
    <row r="33" spans="1:13">
      <c r="A33" s="2">
        <v>29</v>
      </c>
      <c r="B33" s="4" t="s">
        <v>68</v>
      </c>
      <c r="C33" s="2" t="s">
        <v>9</v>
      </c>
      <c r="D33" s="2"/>
      <c r="E33" s="5">
        <v>5.5</v>
      </c>
      <c r="F33" s="5">
        <f t="shared" si="1"/>
        <v>0</v>
      </c>
      <c r="G33" s="2">
        <v>67</v>
      </c>
      <c r="H33" s="4" t="s">
        <v>259</v>
      </c>
      <c r="I33" s="2" t="s">
        <v>9</v>
      </c>
      <c r="J33" s="4"/>
      <c r="K33" s="2">
        <v>3.65</v>
      </c>
      <c r="L33" s="5">
        <f t="shared" si="0"/>
        <v>0</v>
      </c>
    </row>
    <row r="34" spans="1:13">
      <c r="A34" s="2">
        <v>30</v>
      </c>
      <c r="B34" s="4" t="s">
        <v>70</v>
      </c>
      <c r="C34" s="2" t="s">
        <v>9</v>
      </c>
      <c r="D34" s="2"/>
      <c r="E34" s="5">
        <v>6</v>
      </c>
      <c r="F34" s="5">
        <f t="shared" si="1"/>
        <v>0</v>
      </c>
      <c r="G34" s="2">
        <v>68</v>
      </c>
      <c r="H34" s="4"/>
      <c r="I34" s="2" t="s">
        <v>9</v>
      </c>
      <c r="J34" s="4"/>
      <c r="K34" s="2"/>
      <c r="L34" s="5">
        <f t="shared" si="0"/>
        <v>0</v>
      </c>
      <c r="M34" s="10"/>
    </row>
    <row r="35" spans="1:13">
      <c r="A35" s="2">
        <v>31</v>
      </c>
      <c r="B35" s="4" t="s">
        <v>72</v>
      </c>
      <c r="C35" s="2" t="s">
        <v>9</v>
      </c>
      <c r="D35" s="2"/>
      <c r="E35" s="5">
        <v>5.5</v>
      </c>
      <c r="F35" s="20">
        <f t="shared" si="1"/>
        <v>0</v>
      </c>
      <c r="G35" s="2">
        <v>69</v>
      </c>
      <c r="H35" s="4"/>
      <c r="I35" s="2" t="s">
        <v>9</v>
      </c>
      <c r="J35" s="4"/>
      <c r="K35" s="2"/>
      <c r="L35" s="5">
        <f t="shared" si="0"/>
        <v>0</v>
      </c>
    </row>
    <row r="36" spans="1:13">
      <c r="A36" s="2">
        <v>32</v>
      </c>
      <c r="B36" s="4" t="s">
        <v>74</v>
      </c>
      <c r="C36" s="2" t="s">
        <v>9</v>
      </c>
      <c r="D36" s="2"/>
      <c r="E36" s="2">
        <v>2.35</v>
      </c>
      <c r="F36" s="20">
        <f t="shared" si="1"/>
        <v>0</v>
      </c>
      <c r="G36" s="2">
        <v>70</v>
      </c>
      <c r="H36" s="4"/>
      <c r="I36" s="2" t="s">
        <v>9</v>
      </c>
      <c r="J36" s="4"/>
      <c r="K36" s="2"/>
      <c r="L36" s="5">
        <f t="shared" si="0"/>
        <v>0</v>
      </c>
    </row>
    <row r="37" spans="1:13">
      <c r="A37" s="2">
        <v>33</v>
      </c>
      <c r="B37" s="4" t="s">
        <v>76</v>
      </c>
      <c r="C37" s="2" t="s">
        <v>9</v>
      </c>
      <c r="D37" s="2"/>
      <c r="E37" s="2">
        <v>3.4</v>
      </c>
      <c r="F37" s="20">
        <f t="shared" si="1"/>
        <v>0</v>
      </c>
      <c r="G37" s="2">
        <v>71</v>
      </c>
      <c r="H37" s="4"/>
      <c r="I37" s="2" t="s">
        <v>9</v>
      </c>
      <c r="J37" s="4"/>
      <c r="K37" s="2"/>
      <c r="L37" s="5">
        <f t="shared" si="0"/>
        <v>0</v>
      </c>
      <c r="M37" s="11"/>
    </row>
    <row r="38" spans="1:13">
      <c r="A38" s="2">
        <v>34</v>
      </c>
      <c r="B38" s="4" t="s">
        <v>78</v>
      </c>
      <c r="C38" s="2" t="s">
        <v>9</v>
      </c>
      <c r="D38" s="2"/>
      <c r="E38" s="2">
        <v>6.45</v>
      </c>
      <c r="F38" s="20">
        <f t="shared" si="1"/>
        <v>0</v>
      </c>
      <c r="G38" s="2">
        <v>72</v>
      </c>
      <c r="H38" s="4"/>
      <c r="I38" s="2" t="s">
        <v>9</v>
      </c>
      <c r="J38" s="4"/>
      <c r="K38" s="2"/>
      <c r="L38" s="5">
        <f t="shared" si="0"/>
        <v>0</v>
      </c>
    </row>
    <row r="39" spans="1:13">
      <c r="A39" s="2">
        <v>35</v>
      </c>
      <c r="B39" s="4" t="s">
        <v>80</v>
      </c>
      <c r="C39" s="2" t="s">
        <v>9</v>
      </c>
      <c r="D39" s="2"/>
      <c r="E39" s="2">
        <v>3.95</v>
      </c>
      <c r="F39" s="20">
        <f t="shared" si="1"/>
        <v>0</v>
      </c>
      <c r="G39" s="2">
        <v>73</v>
      </c>
      <c r="H39" s="4"/>
      <c r="I39" s="2" t="s">
        <v>9</v>
      </c>
      <c r="J39" s="4"/>
      <c r="K39" s="2"/>
      <c r="L39" s="5">
        <f t="shared" si="0"/>
        <v>0</v>
      </c>
    </row>
    <row r="40" spans="1:13" ht="15.75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5+F6+F7+F8+F9+F10+F11+F12+L2+L3+L4++L5+L6+L7+L8+L9</f>
        <v>0</v>
      </c>
    </row>
    <row r="42" spans="1:13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>
  <dimension ref="A1:M42"/>
  <sheetViews>
    <sheetView topLeftCell="A19" workbookViewId="0">
      <selection activeCell="N12" sqref="N12"/>
    </sheetView>
  </sheetViews>
  <sheetFormatPr defaultRowHeight="15"/>
  <cols>
    <col min="1" max="1" width="4.7109375" style="17" customWidth="1"/>
    <col min="2" max="2" width="28.140625" customWidth="1"/>
    <col min="3" max="3" width="6.140625" customWidth="1"/>
    <col min="6" max="6" width="8.5703125" style="17" customWidth="1"/>
    <col min="7" max="7" width="4.85546875" style="17" customWidth="1"/>
    <col min="8" max="8" width="23.7109375" customWidth="1"/>
    <col min="9" max="9" width="6" bestFit="1" customWidth="1"/>
    <col min="10" max="10" width="6" customWidth="1"/>
    <col min="12" max="12" width="8.85546875" style="17"/>
  </cols>
  <sheetData>
    <row r="1" spans="1:12" ht="15.75">
      <c r="A1" s="30"/>
      <c r="B1" s="30"/>
      <c r="C1" s="30"/>
      <c r="D1" s="30" t="str">
        <f>[1]Сводная!D1</f>
        <v>19    12    2015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>
      <c r="A2" s="32" t="s">
        <v>246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</v>
      </c>
      <c r="L2" s="5">
        <f>J2*K2</f>
        <v>0</v>
      </c>
    </row>
    <row r="3" spans="1:12">
      <c r="A3" s="32" t="s">
        <v>247</v>
      </c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2.1</v>
      </c>
      <c r="L3" s="5">
        <f t="shared" ref="L3:L39" si="0">J3*K3</f>
        <v>0</v>
      </c>
    </row>
    <row r="4" spans="1:12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2.25</v>
      </c>
      <c r="L4" s="5">
        <f t="shared" si="0"/>
        <v>0</v>
      </c>
    </row>
    <row r="5" spans="1:12">
      <c r="A5" s="2">
        <v>1</v>
      </c>
      <c r="B5" s="4" t="s">
        <v>248</v>
      </c>
      <c r="C5" s="2" t="s">
        <v>9</v>
      </c>
      <c r="D5" s="2"/>
      <c r="E5" s="5">
        <v>6.55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2</v>
      </c>
      <c r="L5" s="5">
        <f t="shared" si="0"/>
        <v>0</v>
      </c>
    </row>
    <row r="6" spans="1:12">
      <c r="A6" s="2">
        <v>2</v>
      </c>
      <c r="B6" s="4" t="s">
        <v>14</v>
      </c>
      <c r="C6" s="2" t="s">
        <v>9</v>
      </c>
      <c r="D6" s="2"/>
      <c r="E6" s="5">
        <v>4.7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7.7</v>
      </c>
      <c r="L6" s="5">
        <f>J6*K6</f>
        <v>0</v>
      </c>
    </row>
    <row r="7" spans="1:12">
      <c r="A7" s="2">
        <v>3</v>
      </c>
      <c r="B7" s="4" t="s">
        <v>156</v>
      </c>
      <c r="C7" s="2" t="s">
        <v>9</v>
      </c>
      <c r="D7" s="2"/>
      <c r="E7" s="5">
        <v>5.2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2</v>
      </c>
      <c r="L7" s="5">
        <f t="shared" si="0"/>
        <v>0</v>
      </c>
    </row>
    <row r="8" spans="1:12">
      <c r="A8" s="2">
        <v>4</v>
      </c>
      <c r="B8" s="4" t="s">
        <v>18</v>
      </c>
      <c r="C8" s="2" t="s">
        <v>9</v>
      </c>
      <c r="D8" s="2"/>
      <c r="E8" s="5">
        <v>7.05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2.25</v>
      </c>
      <c r="L8" s="5">
        <f t="shared" si="0"/>
        <v>0</v>
      </c>
    </row>
    <row r="9" spans="1:12">
      <c r="A9" s="2">
        <v>5</v>
      </c>
      <c r="B9" s="4" t="s">
        <v>20</v>
      </c>
      <c r="C9" s="2" t="s">
        <v>9</v>
      </c>
      <c r="D9" s="2"/>
      <c r="E9" s="5">
        <v>4.9000000000000004</v>
      </c>
      <c r="F9" s="20">
        <f t="shared" si="1"/>
        <v>0</v>
      </c>
      <c r="G9" s="2">
        <v>43</v>
      </c>
      <c r="H9" s="4" t="s">
        <v>21</v>
      </c>
      <c r="I9" s="2" t="s">
        <v>9</v>
      </c>
      <c r="J9" s="2"/>
      <c r="K9" s="5">
        <v>2.4</v>
      </c>
      <c r="L9" s="5">
        <f t="shared" si="0"/>
        <v>0</v>
      </c>
    </row>
    <row r="10" spans="1:12">
      <c r="A10" s="2">
        <v>6</v>
      </c>
      <c r="B10" s="4" t="s">
        <v>22</v>
      </c>
      <c r="C10" s="2" t="s">
        <v>9</v>
      </c>
      <c r="D10" s="2"/>
      <c r="E10" s="5">
        <v>5.7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>
      <c r="A11" s="2">
        <v>7</v>
      </c>
      <c r="B11" s="4" t="s">
        <v>24</v>
      </c>
      <c r="C11" s="2" t="s">
        <v>9</v>
      </c>
      <c r="D11" s="2"/>
      <c r="E11" s="5">
        <v>5.2</v>
      </c>
      <c r="F11" s="20">
        <f t="shared" si="1"/>
        <v>0</v>
      </c>
      <c r="G11" s="2">
        <v>45</v>
      </c>
      <c r="H11" s="4" t="s">
        <v>249</v>
      </c>
      <c r="I11" s="2" t="s">
        <v>9</v>
      </c>
      <c r="J11" s="2"/>
      <c r="K11" s="5">
        <v>2.4</v>
      </c>
      <c r="L11" s="5">
        <f t="shared" si="0"/>
        <v>0</v>
      </c>
    </row>
    <row r="12" spans="1:12">
      <c r="A12" s="2">
        <v>8</v>
      </c>
      <c r="B12" s="4" t="s">
        <v>250</v>
      </c>
      <c r="C12" s="2" t="s">
        <v>9</v>
      </c>
      <c r="D12" s="2"/>
      <c r="E12" s="5">
        <v>5.2</v>
      </c>
      <c r="F12" s="20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2.1</v>
      </c>
      <c r="L12" s="5">
        <f t="shared" si="0"/>
        <v>0</v>
      </c>
    </row>
    <row r="13" spans="1:12">
      <c r="A13" s="2">
        <v>9</v>
      </c>
      <c r="B13" s="4" t="s">
        <v>162</v>
      </c>
      <c r="C13" s="2" t="s">
        <v>9</v>
      </c>
      <c r="D13" s="2"/>
      <c r="E13" s="5">
        <v>5.35</v>
      </c>
      <c r="F13" s="20">
        <f t="shared" si="1"/>
        <v>0</v>
      </c>
      <c r="G13" s="2">
        <v>47</v>
      </c>
      <c r="H13" s="4" t="s">
        <v>251</v>
      </c>
      <c r="I13" s="2" t="s">
        <v>9</v>
      </c>
      <c r="J13" s="2"/>
      <c r="K13" s="5">
        <v>2.1</v>
      </c>
      <c r="L13" s="5">
        <f t="shared" si="0"/>
        <v>0</v>
      </c>
    </row>
    <row r="14" spans="1:12">
      <c r="A14" s="2">
        <v>10</v>
      </c>
      <c r="B14" s="4" t="s">
        <v>30</v>
      </c>
      <c r="C14" s="2" t="s">
        <v>9</v>
      </c>
      <c r="D14" s="2"/>
      <c r="E14" s="5">
        <v>5.85</v>
      </c>
      <c r="F14" s="20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2.1</v>
      </c>
      <c r="L14" s="5">
        <f t="shared" si="0"/>
        <v>0</v>
      </c>
    </row>
    <row r="15" spans="1:12">
      <c r="A15" s="2">
        <v>11</v>
      </c>
      <c r="B15" s="4" t="s">
        <v>128</v>
      </c>
      <c r="C15" s="2" t="s">
        <v>9</v>
      </c>
      <c r="D15" s="2"/>
      <c r="E15" s="5">
        <v>6.5</v>
      </c>
      <c r="F15" s="20">
        <f t="shared" si="1"/>
        <v>0</v>
      </c>
      <c r="G15" s="2">
        <v>49</v>
      </c>
      <c r="H15" s="4" t="s">
        <v>129</v>
      </c>
      <c r="I15" s="2" t="s">
        <v>9</v>
      </c>
      <c r="J15" s="2"/>
      <c r="K15" s="5">
        <v>7.95</v>
      </c>
      <c r="L15" s="5">
        <f t="shared" si="0"/>
        <v>0</v>
      </c>
    </row>
    <row r="16" spans="1:12">
      <c r="A16" s="2">
        <v>12</v>
      </c>
      <c r="B16" s="4" t="s">
        <v>34</v>
      </c>
      <c r="C16" s="2" t="s">
        <v>9</v>
      </c>
      <c r="D16" s="2"/>
      <c r="E16" s="5">
        <v>6</v>
      </c>
      <c r="F16" s="20">
        <f t="shared" si="1"/>
        <v>0</v>
      </c>
      <c r="G16" s="2">
        <v>50</v>
      </c>
      <c r="H16" s="4" t="s">
        <v>35</v>
      </c>
      <c r="I16" s="2" t="s">
        <v>9</v>
      </c>
      <c r="J16" s="2"/>
      <c r="K16" s="5">
        <v>6.45</v>
      </c>
      <c r="L16" s="5">
        <f t="shared" si="0"/>
        <v>0</v>
      </c>
    </row>
    <row r="17" spans="1:12">
      <c r="A17" s="2">
        <v>13</v>
      </c>
      <c r="B17" s="4" t="s">
        <v>36</v>
      </c>
      <c r="C17" s="2" t="s">
        <v>9</v>
      </c>
      <c r="D17" s="2"/>
      <c r="E17" s="5">
        <v>6.5</v>
      </c>
      <c r="F17" s="20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6.35</v>
      </c>
      <c r="L17" s="5">
        <f t="shared" si="0"/>
        <v>0</v>
      </c>
    </row>
    <row r="18" spans="1:12">
      <c r="A18" s="2">
        <v>14</v>
      </c>
      <c r="B18" s="4" t="s">
        <v>38</v>
      </c>
      <c r="C18" s="2" t="s">
        <v>9</v>
      </c>
      <c r="D18" s="2"/>
      <c r="E18" s="5">
        <v>4.8</v>
      </c>
      <c r="F18" s="20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2.9</v>
      </c>
      <c r="L18" s="5">
        <f t="shared" si="0"/>
        <v>0</v>
      </c>
    </row>
    <row r="19" spans="1:12">
      <c r="A19" s="2">
        <v>15</v>
      </c>
      <c r="B19" s="4" t="s">
        <v>40</v>
      </c>
      <c r="C19" s="2" t="s">
        <v>9</v>
      </c>
      <c r="D19" s="2"/>
      <c r="E19" s="5">
        <v>5.3</v>
      </c>
      <c r="F19" s="20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11</v>
      </c>
      <c r="L19" s="5">
        <f t="shared" si="0"/>
        <v>0</v>
      </c>
    </row>
    <row r="20" spans="1:12">
      <c r="A20" s="2">
        <v>16</v>
      </c>
      <c r="B20" s="4" t="s">
        <v>42</v>
      </c>
      <c r="C20" s="2" t="s">
        <v>9</v>
      </c>
      <c r="D20" s="2"/>
      <c r="E20" s="5">
        <v>2.35</v>
      </c>
      <c r="F20" s="20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22</v>
      </c>
      <c r="L20" s="5">
        <f t="shared" si="0"/>
        <v>0</v>
      </c>
    </row>
    <row r="21" spans="1:12">
      <c r="A21" s="2">
        <v>17</v>
      </c>
      <c r="B21" s="4" t="s">
        <v>44</v>
      </c>
      <c r="C21" s="2" t="s">
        <v>9</v>
      </c>
      <c r="D21" s="2"/>
      <c r="E21" s="5">
        <v>1.3</v>
      </c>
      <c r="F21" s="20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34.5</v>
      </c>
      <c r="L21" s="5">
        <f t="shared" si="0"/>
        <v>0</v>
      </c>
    </row>
    <row r="22" spans="1:12">
      <c r="A22" s="2">
        <v>18</v>
      </c>
      <c r="B22" s="4" t="s">
        <v>46</v>
      </c>
      <c r="C22" s="2" t="s">
        <v>9</v>
      </c>
      <c r="D22" s="2"/>
      <c r="E22" s="5">
        <v>5.7</v>
      </c>
      <c r="F22" s="20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18.5</v>
      </c>
      <c r="L22" s="5">
        <f t="shared" si="0"/>
        <v>0</v>
      </c>
    </row>
    <row r="23" spans="1:12">
      <c r="A23" s="2">
        <v>19</v>
      </c>
      <c r="B23" s="4" t="s">
        <v>48</v>
      </c>
      <c r="C23" s="2" t="s">
        <v>9</v>
      </c>
      <c r="D23" s="2"/>
      <c r="E23" s="5">
        <v>6.45</v>
      </c>
      <c r="F23" s="20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12.5</v>
      </c>
      <c r="L23" s="5">
        <f t="shared" si="0"/>
        <v>0</v>
      </c>
    </row>
    <row r="24" spans="1:12">
      <c r="A24" s="2">
        <v>20</v>
      </c>
      <c r="B24" s="4" t="s">
        <v>50</v>
      </c>
      <c r="C24" s="2" t="s">
        <v>9</v>
      </c>
      <c r="D24" s="2"/>
      <c r="E24" s="5">
        <v>6</v>
      </c>
      <c r="F24" s="20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9</v>
      </c>
      <c r="L24" s="5">
        <f t="shared" si="0"/>
        <v>0</v>
      </c>
    </row>
    <row r="25" spans="1:12">
      <c r="A25" s="2">
        <v>21</v>
      </c>
      <c r="B25" s="4" t="s">
        <v>96</v>
      </c>
      <c r="C25" s="2" t="s">
        <v>9</v>
      </c>
      <c r="D25" s="2"/>
      <c r="E25" s="5">
        <v>6.8</v>
      </c>
      <c r="F25" s="20">
        <f t="shared" si="1"/>
        <v>0</v>
      </c>
      <c r="G25" s="2">
        <v>59</v>
      </c>
      <c r="H25" s="4" t="s">
        <v>252</v>
      </c>
      <c r="I25" s="2" t="s">
        <v>9</v>
      </c>
      <c r="J25" s="4"/>
      <c r="K25" s="2">
        <v>9</v>
      </c>
      <c r="L25" s="5">
        <f t="shared" si="0"/>
        <v>0</v>
      </c>
    </row>
    <row r="26" spans="1:12">
      <c r="A26" s="2">
        <v>22</v>
      </c>
      <c r="B26" s="4" t="s">
        <v>54</v>
      </c>
      <c r="C26" s="2" t="s">
        <v>9</v>
      </c>
      <c r="D26" s="2"/>
      <c r="E26" s="5">
        <v>5.4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5.95</v>
      </c>
      <c r="L26" s="5">
        <f t="shared" si="0"/>
        <v>0</v>
      </c>
    </row>
    <row r="27" spans="1:12">
      <c r="A27" s="2">
        <v>23</v>
      </c>
      <c r="B27" s="4" t="s">
        <v>56</v>
      </c>
      <c r="C27" s="2" t="s">
        <v>9</v>
      </c>
      <c r="D27" s="2"/>
      <c r="E27" s="5">
        <v>4.45</v>
      </c>
      <c r="F27" s="20">
        <f t="shared" si="1"/>
        <v>0</v>
      </c>
      <c r="G27" s="2">
        <v>61</v>
      </c>
      <c r="H27" s="4" t="s">
        <v>253</v>
      </c>
      <c r="I27" s="2" t="s">
        <v>9</v>
      </c>
      <c r="J27" s="4"/>
      <c r="K27" s="2">
        <v>3.5</v>
      </c>
      <c r="L27" s="5">
        <f t="shared" si="0"/>
        <v>0</v>
      </c>
    </row>
    <row r="28" spans="1:12">
      <c r="A28" s="2">
        <v>24</v>
      </c>
      <c r="B28" s="4" t="s">
        <v>58</v>
      </c>
      <c r="C28" s="2" t="s">
        <v>9</v>
      </c>
      <c r="D28" s="2"/>
      <c r="E28" s="5">
        <v>4.95</v>
      </c>
      <c r="F28" s="20">
        <f t="shared" si="1"/>
        <v>0</v>
      </c>
      <c r="G28" s="2">
        <v>62</v>
      </c>
      <c r="H28" s="4" t="s">
        <v>254</v>
      </c>
      <c r="I28" s="2" t="s">
        <v>9</v>
      </c>
      <c r="J28" s="4"/>
      <c r="K28" s="2">
        <v>7.7</v>
      </c>
      <c r="L28" s="5">
        <f t="shared" si="0"/>
        <v>0</v>
      </c>
    </row>
    <row r="29" spans="1:12">
      <c r="A29" s="2">
        <v>25</v>
      </c>
      <c r="B29" s="4" t="s">
        <v>60</v>
      </c>
      <c r="C29" s="2" t="s">
        <v>9</v>
      </c>
      <c r="D29" s="2"/>
      <c r="E29" s="5">
        <v>5.7</v>
      </c>
      <c r="F29" s="20">
        <f t="shared" si="1"/>
        <v>0</v>
      </c>
      <c r="G29" s="2">
        <v>63</v>
      </c>
      <c r="H29" s="4" t="s">
        <v>255</v>
      </c>
      <c r="I29" s="2" t="s">
        <v>9</v>
      </c>
      <c r="J29" s="4"/>
      <c r="K29" s="2">
        <v>5.9</v>
      </c>
      <c r="L29" s="5">
        <f t="shared" si="0"/>
        <v>0</v>
      </c>
    </row>
    <row r="30" spans="1:12">
      <c r="A30" s="2">
        <v>26</v>
      </c>
      <c r="B30" s="4" t="s">
        <v>62</v>
      </c>
      <c r="C30" s="2" t="s">
        <v>9</v>
      </c>
      <c r="D30" s="2"/>
      <c r="E30" s="5">
        <v>4.5999999999999996</v>
      </c>
      <c r="F30" s="5">
        <f t="shared" si="1"/>
        <v>0</v>
      </c>
      <c r="G30" s="2">
        <v>64</v>
      </c>
      <c r="H30" s="4" t="s">
        <v>256</v>
      </c>
      <c r="I30" s="2" t="s">
        <v>9</v>
      </c>
      <c r="J30" s="4"/>
      <c r="K30" s="2">
        <v>3.5</v>
      </c>
      <c r="L30" s="5">
        <f t="shared" si="0"/>
        <v>0</v>
      </c>
    </row>
    <row r="31" spans="1:12">
      <c r="A31" s="2">
        <v>27</v>
      </c>
      <c r="B31" s="4" t="s">
        <v>102</v>
      </c>
      <c r="C31" s="2" t="s">
        <v>9</v>
      </c>
      <c r="D31" s="2"/>
      <c r="E31" s="5">
        <v>5.95</v>
      </c>
      <c r="F31" s="5">
        <f t="shared" si="1"/>
        <v>0</v>
      </c>
      <c r="G31" s="2">
        <v>65</v>
      </c>
      <c r="H31" s="4" t="s">
        <v>257</v>
      </c>
      <c r="I31" s="2" t="s">
        <v>9</v>
      </c>
      <c r="J31" s="4"/>
      <c r="K31" s="2">
        <v>6.35</v>
      </c>
      <c r="L31" s="5">
        <f t="shared" si="0"/>
        <v>0</v>
      </c>
    </row>
    <row r="32" spans="1:12">
      <c r="A32" s="2">
        <v>28</v>
      </c>
      <c r="B32" s="4" t="s">
        <v>104</v>
      </c>
      <c r="C32" s="2" t="s">
        <v>9</v>
      </c>
      <c r="D32" s="2"/>
      <c r="E32" s="5">
        <v>7.7</v>
      </c>
      <c r="F32" s="20">
        <f t="shared" si="1"/>
        <v>0</v>
      </c>
      <c r="G32" s="2">
        <v>66</v>
      </c>
      <c r="H32" s="4" t="s">
        <v>258</v>
      </c>
      <c r="I32" s="2" t="s">
        <v>9</v>
      </c>
      <c r="J32" s="4"/>
      <c r="K32" s="2">
        <v>7.7</v>
      </c>
      <c r="L32" s="5">
        <f t="shared" si="0"/>
        <v>0</v>
      </c>
    </row>
    <row r="33" spans="1:13">
      <c r="A33" s="2">
        <v>29</v>
      </c>
      <c r="B33" s="4" t="s">
        <v>68</v>
      </c>
      <c r="C33" s="2" t="s">
        <v>9</v>
      </c>
      <c r="D33" s="2"/>
      <c r="E33" s="5">
        <v>5.5</v>
      </c>
      <c r="F33" s="5">
        <f t="shared" si="1"/>
        <v>0</v>
      </c>
      <c r="G33" s="2">
        <v>67</v>
      </c>
      <c r="H33" s="4" t="s">
        <v>259</v>
      </c>
      <c r="I33" s="2" t="s">
        <v>9</v>
      </c>
      <c r="J33" s="4"/>
      <c r="K33" s="2">
        <v>3.65</v>
      </c>
      <c r="L33" s="5">
        <f t="shared" si="0"/>
        <v>0</v>
      </c>
    </row>
    <row r="34" spans="1:13">
      <c r="A34" s="2">
        <v>30</v>
      </c>
      <c r="B34" s="4" t="s">
        <v>70</v>
      </c>
      <c r="C34" s="2" t="s">
        <v>9</v>
      </c>
      <c r="D34" s="2"/>
      <c r="E34" s="5">
        <v>6</v>
      </c>
      <c r="F34" s="5">
        <f t="shared" si="1"/>
        <v>0</v>
      </c>
      <c r="G34" s="2">
        <v>68</v>
      </c>
      <c r="H34" s="4"/>
      <c r="I34" s="2" t="s">
        <v>9</v>
      </c>
      <c r="J34" s="4"/>
      <c r="K34" s="2"/>
      <c r="L34" s="5">
        <f t="shared" si="0"/>
        <v>0</v>
      </c>
      <c r="M34" s="10"/>
    </row>
    <row r="35" spans="1:13">
      <c r="A35" s="2">
        <v>31</v>
      </c>
      <c r="B35" s="4" t="s">
        <v>72</v>
      </c>
      <c r="C35" s="2" t="s">
        <v>9</v>
      </c>
      <c r="D35" s="2"/>
      <c r="E35" s="5">
        <v>5.5</v>
      </c>
      <c r="F35" s="20">
        <f t="shared" si="1"/>
        <v>0</v>
      </c>
      <c r="G35" s="2">
        <v>69</v>
      </c>
      <c r="H35" s="4"/>
      <c r="I35" s="2" t="s">
        <v>9</v>
      </c>
      <c r="J35" s="4"/>
      <c r="K35" s="2"/>
      <c r="L35" s="5">
        <f t="shared" si="0"/>
        <v>0</v>
      </c>
    </row>
    <row r="36" spans="1:13">
      <c r="A36" s="2">
        <v>32</v>
      </c>
      <c r="B36" s="4" t="s">
        <v>74</v>
      </c>
      <c r="C36" s="2" t="s">
        <v>9</v>
      </c>
      <c r="D36" s="2"/>
      <c r="E36" s="2">
        <v>2.35</v>
      </c>
      <c r="F36" s="20">
        <f t="shared" si="1"/>
        <v>0</v>
      </c>
      <c r="G36" s="2">
        <v>70</v>
      </c>
      <c r="H36" s="4"/>
      <c r="I36" s="2" t="s">
        <v>9</v>
      </c>
      <c r="J36" s="4"/>
      <c r="K36" s="2"/>
      <c r="L36" s="5">
        <f t="shared" si="0"/>
        <v>0</v>
      </c>
    </row>
    <row r="37" spans="1:13">
      <c r="A37" s="2">
        <v>33</v>
      </c>
      <c r="B37" s="4" t="s">
        <v>76</v>
      </c>
      <c r="C37" s="2" t="s">
        <v>9</v>
      </c>
      <c r="D37" s="2"/>
      <c r="E37" s="2">
        <v>3.4</v>
      </c>
      <c r="F37" s="20">
        <f t="shared" si="1"/>
        <v>0</v>
      </c>
      <c r="G37" s="2">
        <v>71</v>
      </c>
      <c r="H37" s="4"/>
      <c r="I37" s="2" t="s">
        <v>9</v>
      </c>
      <c r="J37" s="4"/>
      <c r="K37" s="2"/>
      <c r="L37" s="5">
        <f t="shared" si="0"/>
        <v>0</v>
      </c>
      <c r="M37" s="11"/>
    </row>
    <row r="38" spans="1:13">
      <c r="A38" s="2">
        <v>34</v>
      </c>
      <c r="B38" s="4" t="s">
        <v>78</v>
      </c>
      <c r="C38" s="2" t="s">
        <v>9</v>
      </c>
      <c r="D38" s="2"/>
      <c r="E38" s="2">
        <v>6.45</v>
      </c>
      <c r="F38" s="20">
        <f t="shared" si="1"/>
        <v>0</v>
      </c>
      <c r="G38" s="2">
        <v>72</v>
      </c>
      <c r="H38" s="4"/>
      <c r="I38" s="2" t="s">
        <v>9</v>
      </c>
      <c r="J38" s="4"/>
      <c r="K38" s="2"/>
      <c r="L38" s="5">
        <f t="shared" si="0"/>
        <v>0</v>
      </c>
    </row>
    <row r="39" spans="1:13">
      <c r="A39" s="2">
        <v>35</v>
      </c>
      <c r="B39" s="4" t="s">
        <v>80</v>
      </c>
      <c r="C39" s="2" t="s">
        <v>9</v>
      </c>
      <c r="D39" s="2"/>
      <c r="E39" s="2">
        <v>3.95</v>
      </c>
      <c r="F39" s="20">
        <f t="shared" si="1"/>
        <v>0</v>
      </c>
      <c r="G39" s="2">
        <v>73</v>
      </c>
      <c r="H39" s="4"/>
      <c r="I39" s="2" t="s">
        <v>9</v>
      </c>
      <c r="J39" s="4"/>
      <c r="K39" s="2"/>
      <c r="L39" s="5">
        <f t="shared" si="0"/>
        <v>0</v>
      </c>
    </row>
    <row r="40" spans="1:13" ht="15.75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5+F6+F7+F8+F9+F10+F11+F12+L2+L3+L4++L5+L6+L7+L8+L9</f>
        <v>0</v>
      </c>
    </row>
    <row r="42" spans="1:13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>
  <dimension ref="A1:M42"/>
  <sheetViews>
    <sheetView topLeftCell="A19" workbookViewId="0">
      <selection activeCell="N12" sqref="N12"/>
    </sheetView>
  </sheetViews>
  <sheetFormatPr defaultRowHeight="15"/>
  <cols>
    <col min="1" max="1" width="4.7109375" style="17" customWidth="1"/>
    <col min="2" max="2" width="28.140625" customWidth="1"/>
    <col min="3" max="3" width="6.140625" customWidth="1"/>
    <col min="6" max="6" width="8.5703125" style="17" customWidth="1"/>
    <col min="7" max="7" width="4.85546875" style="17" customWidth="1"/>
    <col min="8" max="8" width="23.7109375" customWidth="1"/>
    <col min="9" max="9" width="6" bestFit="1" customWidth="1"/>
    <col min="10" max="10" width="6" customWidth="1"/>
    <col min="12" max="12" width="8.85546875" style="17"/>
  </cols>
  <sheetData>
    <row r="1" spans="1:12" ht="15.75">
      <c r="A1" s="30"/>
      <c r="B1" s="30"/>
      <c r="C1" s="30"/>
      <c r="D1" s="30" t="str">
        <f>[1]Сводная!D1</f>
        <v>19    12    2015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>
      <c r="A2" s="32" t="s">
        <v>246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</v>
      </c>
      <c r="L2" s="5">
        <f>J2*K2</f>
        <v>0</v>
      </c>
    </row>
    <row r="3" spans="1:12">
      <c r="A3" s="32" t="s">
        <v>247</v>
      </c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2.1</v>
      </c>
      <c r="L3" s="5">
        <f t="shared" ref="L3:L39" si="0">J3*K3</f>
        <v>0</v>
      </c>
    </row>
    <row r="4" spans="1:12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2.25</v>
      </c>
      <c r="L4" s="5">
        <f t="shared" si="0"/>
        <v>0</v>
      </c>
    </row>
    <row r="5" spans="1:12">
      <c r="A5" s="2">
        <v>1</v>
      </c>
      <c r="B5" s="4" t="s">
        <v>248</v>
      </c>
      <c r="C5" s="2" t="s">
        <v>9</v>
      </c>
      <c r="D5" s="2"/>
      <c r="E5" s="5">
        <v>6.55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2</v>
      </c>
      <c r="L5" s="5">
        <f t="shared" si="0"/>
        <v>0</v>
      </c>
    </row>
    <row r="6" spans="1:12">
      <c r="A6" s="2">
        <v>2</v>
      </c>
      <c r="B6" s="4" t="s">
        <v>14</v>
      </c>
      <c r="C6" s="2" t="s">
        <v>9</v>
      </c>
      <c r="D6" s="2"/>
      <c r="E6" s="5">
        <v>4.7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7.7</v>
      </c>
      <c r="L6" s="5">
        <f>J6*K6</f>
        <v>0</v>
      </c>
    </row>
    <row r="7" spans="1:12">
      <c r="A7" s="2">
        <v>3</v>
      </c>
      <c r="B7" s="4" t="s">
        <v>156</v>
      </c>
      <c r="C7" s="2" t="s">
        <v>9</v>
      </c>
      <c r="D7" s="2"/>
      <c r="E7" s="5">
        <v>5.2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2</v>
      </c>
      <c r="L7" s="5">
        <f t="shared" si="0"/>
        <v>0</v>
      </c>
    </row>
    <row r="8" spans="1:12">
      <c r="A8" s="2">
        <v>4</v>
      </c>
      <c r="B8" s="4" t="s">
        <v>18</v>
      </c>
      <c r="C8" s="2" t="s">
        <v>9</v>
      </c>
      <c r="D8" s="2"/>
      <c r="E8" s="5">
        <v>7.05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2.25</v>
      </c>
      <c r="L8" s="5">
        <f t="shared" si="0"/>
        <v>0</v>
      </c>
    </row>
    <row r="9" spans="1:12">
      <c r="A9" s="2">
        <v>5</v>
      </c>
      <c r="B9" s="4" t="s">
        <v>20</v>
      </c>
      <c r="C9" s="2" t="s">
        <v>9</v>
      </c>
      <c r="D9" s="2"/>
      <c r="E9" s="5">
        <v>4.9000000000000004</v>
      </c>
      <c r="F9" s="20">
        <f t="shared" si="1"/>
        <v>0</v>
      </c>
      <c r="G9" s="2">
        <v>43</v>
      </c>
      <c r="H9" s="4" t="s">
        <v>21</v>
      </c>
      <c r="I9" s="2" t="s">
        <v>9</v>
      </c>
      <c r="J9" s="2"/>
      <c r="K9" s="5">
        <v>2.4</v>
      </c>
      <c r="L9" s="5">
        <f t="shared" si="0"/>
        <v>0</v>
      </c>
    </row>
    <row r="10" spans="1:12">
      <c r="A10" s="2">
        <v>6</v>
      </c>
      <c r="B10" s="4" t="s">
        <v>22</v>
      </c>
      <c r="C10" s="2" t="s">
        <v>9</v>
      </c>
      <c r="D10" s="2"/>
      <c r="E10" s="5">
        <v>5.7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>
      <c r="A11" s="2">
        <v>7</v>
      </c>
      <c r="B11" s="4" t="s">
        <v>24</v>
      </c>
      <c r="C11" s="2" t="s">
        <v>9</v>
      </c>
      <c r="D11" s="2"/>
      <c r="E11" s="5">
        <v>5.2</v>
      </c>
      <c r="F11" s="20">
        <f t="shared" si="1"/>
        <v>0</v>
      </c>
      <c r="G11" s="2">
        <v>45</v>
      </c>
      <c r="H11" s="4" t="s">
        <v>249</v>
      </c>
      <c r="I11" s="2" t="s">
        <v>9</v>
      </c>
      <c r="J11" s="2"/>
      <c r="K11" s="5">
        <v>2.4</v>
      </c>
      <c r="L11" s="5">
        <f t="shared" si="0"/>
        <v>0</v>
      </c>
    </row>
    <row r="12" spans="1:12">
      <c r="A12" s="2">
        <v>8</v>
      </c>
      <c r="B12" s="4" t="s">
        <v>250</v>
      </c>
      <c r="C12" s="2" t="s">
        <v>9</v>
      </c>
      <c r="D12" s="2"/>
      <c r="E12" s="5">
        <v>5.2</v>
      </c>
      <c r="F12" s="20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2.1</v>
      </c>
      <c r="L12" s="5">
        <f t="shared" si="0"/>
        <v>0</v>
      </c>
    </row>
    <row r="13" spans="1:12">
      <c r="A13" s="2">
        <v>9</v>
      </c>
      <c r="B13" s="4" t="s">
        <v>162</v>
      </c>
      <c r="C13" s="2" t="s">
        <v>9</v>
      </c>
      <c r="D13" s="2"/>
      <c r="E13" s="5">
        <v>5.35</v>
      </c>
      <c r="F13" s="20">
        <f t="shared" si="1"/>
        <v>0</v>
      </c>
      <c r="G13" s="2">
        <v>47</v>
      </c>
      <c r="H13" s="4" t="s">
        <v>251</v>
      </c>
      <c r="I13" s="2" t="s">
        <v>9</v>
      </c>
      <c r="J13" s="2"/>
      <c r="K13" s="5">
        <v>2.1</v>
      </c>
      <c r="L13" s="5">
        <f t="shared" si="0"/>
        <v>0</v>
      </c>
    </row>
    <row r="14" spans="1:12">
      <c r="A14" s="2">
        <v>10</v>
      </c>
      <c r="B14" s="4" t="s">
        <v>30</v>
      </c>
      <c r="C14" s="2" t="s">
        <v>9</v>
      </c>
      <c r="D14" s="2"/>
      <c r="E14" s="5">
        <v>5.85</v>
      </c>
      <c r="F14" s="20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2.1</v>
      </c>
      <c r="L14" s="5">
        <f t="shared" si="0"/>
        <v>0</v>
      </c>
    </row>
    <row r="15" spans="1:12">
      <c r="A15" s="2">
        <v>11</v>
      </c>
      <c r="B15" s="4" t="s">
        <v>128</v>
      </c>
      <c r="C15" s="2" t="s">
        <v>9</v>
      </c>
      <c r="D15" s="2"/>
      <c r="E15" s="5">
        <v>6.5</v>
      </c>
      <c r="F15" s="20">
        <f t="shared" si="1"/>
        <v>0</v>
      </c>
      <c r="G15" s="2">
        <v>49</v>
      </c>
      <c r="H15" s="4" t="s">
        <v>129</v>
      </c>
      <c r="I15" s="2" t="s">
        <v>9</v>
      </c>
      <c r="J15" s="2"/>
      <c r="K15" s="5">
        <v>7.95</v>
      </c>
      <c r="L15" s="5">
        <f t="shared" si="0"/>
        <v>0</v>
      </c>
    </row>
    <row r="16" spans="1:12">
      <c r="A16" s="2">
        <v>12</v>
      </c>
      <c r="B16" s="4" t="s">
        <v>34</v>
      </c>
      <c r="C16" s="2" t="s">
        <v>9</v>
      </c>
      <c r="D16" s="2"/>
      <c r="E16" s="5">
        <v>6</v>
      </c>
      <c r="F16" s="20">
        <f t="shared" si="1"/>
        <v>0</v>
      </c>
      <c r="G16" s="2">
        <v>50</v>
      </c>
      <c r="H16" s="4" t="s">
        <v>35</v>
      </c>
      <c r="I16" s="2" t="s">
        <v>9</v>
      </c>
      <c r="J16" s="2"/>
      <c r="K16" s="5">
        <v>6.45</v>
      </c>
      <c r="L16" s="5">
        <f t="shared" si="0"/>
        <v>0</v>
      </c>
    </row>
    <row r="17" spans="1:12">
      <c r="A17" s="2">
        <v>13</v>
      </c>
      <c r="B17" s="4" t="s">
        <v>36</v>
      </c>
      <c r="C17" s="2" t="s">
        <v>9</v>
      </c>
      <c r="D17" s="2"/>
      <c r="E17" s="5">
        <v>6.5</v>
      </c>
      <c r="F17" s="20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6.35</v>
      </c>
      <c r="L17" s="5">
        <f t="shared" si="0"/>
        <v>0</v>
      </c>
    </row>
    <row r="18" spans="1:12">
      <c r="A18" s="2">
        <v>14</v>
      </c>
      <c r="B18" s="4" t="s">
        <v>38</v>
      </c>
      <c r="C18" s="2" t="s">
        <v>9</v>
      </c>
      <c r="D18" s="2"/>
      <c r="E18" s="5">
        <v>4.8</v>
      </c>
      <c r="F18" s="20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2.9</v>
      </c>
      <c r="L18" s="5">
        <f t="shared" si="0"/>
        <v>0</v>
      </c>
    </row>
    <row r="19" spans="1:12">
      <c r="A19" s="2">
        <v>15</v>
      </c>
      <c r="B19" s="4" t="s">
        <v>40</v>
      </c>
      <c r="C19" s="2" t="s">
        <v>9</v>
      </c>
      <c r="D19" s="2"/>
      <c r="E19" s="5">
        <v>5.3</v>
      </c>
      <c r="F19" s="20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11</v>
      </c>
      <c r="L19" s="5">
        <f t="shared" si="0"/>
        <v>0</v>
      </c>
    </row>
    <row r="20" spans="1:12">
      <c r="A20" s="2">
        <v>16</v>
      </c>
      <c r="B20" s="4" t="s">
        <v>42</v>
      </c>
      <c r="C20" s="2" t="s">
        <v>9</v>
      </c>
      <c r="D20" s="2"/>
      <c r="E20" s="5">
        <v>2.35</v>
      </c>
      <c r="F20" s="20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22</v>
      </c>
      <c r="L20" s="5">
        <f t="shared" si="0"/>
        <v>0</v>
      </c>
    </row>
    <row r="21" spans="1:12">
      <c r="A21" s="2">
        <v>17</v>
      </c>
      <c r="B21" s="4" t="s">
        <v>44</v>
      </c>
      <c r="C21" s="2" t="s">
        <v>9</v>
      </c>
      <c r="D21" s="2"/>
      <c r="E21" s="5">
        <v>1.3</v>
      </c>
      <c r="F21" s="20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34.5</v>
      </c>
      <c r="L21" s="5">
        <f t="shared" si="0"/>
        <v>0</v>
      </c>
    </row>
    <row r="22" spans="1:12">
      <c r="A22" s="2">
        <v>18</v>
      </c>
      <c r="B22" s="4" t="s">
        <v>46</v>
      </c>
      <c r="C22" s="2" t="s">
        <v>9</v>
      </c>
      <c r="D22" s="2"/>
      <c r="E22" s="5">
        <v>5.7</v>
      </c>
      <c r="F22" s="20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18.5</v>
      </c>
      <c r="L22" s="5">
        <f t="shared" si="0"/>
        <v>0</v>
      </c>
    </row>
    <row r="23" spans="1:12">
      <c r="A23" s="2">
        <v>19</v>
      </c>
      <c r="B23" s="4" t="s">
        <v>48</v>
      </c>
      <c r="C23" s="2" t="s">
        <v>9</v>
      </c>
      <c r="D23" s="2"/>
      <c r="E23" s="5">
        <v>6.45</v>
      </c>
      <c r="F23" s="20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12.5</v>
      </c>
      <c r="L23" s="5">
        <f t="shared" si="0"/>
        <v>0</v>
      </c>
    </row>
    <row r="24" spans="1:12">
      <c r="A24" s="2">
        <v>20</v>
      </c>
      <c r="B24" s="4" t="s">
        <v>50</v>
      </c>
      <c r="C24" s="2" t="s">
        <v>9</v>
      </c>
      <c r="D24" s="2"/>
      <c r="E24" s="5">
        <v>6</v>
      </c>
      <c r="F24" s="20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9</v>
      </c>
      <c r="L24" s="5">
        <f t="shared" si="0"/>
        <v>0</v>
      </c>
    </row>
    <row r="25" spans="1:12">
      <c r="A25" s="2">
        <v>21</v>
      </c>
      <c r="B25" s="4" t="s">
        <v>96</v>
      </c>
      <c r="C25" s="2" t="s">
        <v>9</v>
      </c>
      <c r="D25" s="2"/>
      <c r="E25" s="5">
        <v>6.8</v>
      </c>
      <c r="F25" s="20">
        <f t="shared" si="1"/>
        <v>0</v>
      </c>
      <c r="G25" s="2">
        <v>59</v>
      </c>
      <c r="H25" s="4" t="s">
        <v>252</v>
      </c>
      <c r="I25" s="2" t="s">
        <v>9</v>
      </c>
      <c r="J25" s="4"/>
      <c r="K25" s="2">
        <v>9</v>
      </c>
      <c r="L25" s="5">
        <f t="shared" si="0"/>
        <v>0</v>
      </c>
    </row>
    <row r="26" spans="1:12">
      <c r="A26" s="2">
        <v>22</v>
      </c>
      <c r="B26" s="4" t="s">
        <v>54</v>
      </c>
      <c r="C26" s="2" t="s">
        <v>9</v>
      </c>
      <c r="D26" s="2"/>
      <c r="E26" s="5">
        <v>5.4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5.95</v>
      </c>
      <c r="L26" s="5">
        <f t="shared" si="0"/>
        <v>0</v>
      </c>
    </row>
    <row r="27" spans="1:12">
      <c r="A27" s="2">
        <v>23</v>
      </c>
      <c r="B27" s="4" t="s">
        <v>56</v>
      </c>
      <c r="C27" s="2" t="s">
        <v>9</v>
      </c>
      <c r="D27" s="2"/>
      <c r="E27" s="5">
        <v>4.45</v>
      </c>
      <c r="F27" s="20">
        <f t="shared" si="1"/>
        <v>0</v>
      </c>
      <c r="G27" s="2">
        <v>61</v>
      </c>
      <c r="H27" s="4" t="s">
        <v>253</v>
      </c>
      <c r="I27" s="2" t="s">
        <v>9</v>
      </c>
      <c r="J27" s="4"/>
      <c r="K27" s="2">
        <v>3.5</v>
      </c>
      <c r="L27" s="5">
        <f t="shared" si="0"/>
        <v>0</v>
      </c>
    </row>
    <row r="28" spans="1:12">
      <c r="A28" s="2">
        <v>24</v>
      </c>
      <c r="B28" s="4" t="s">
        <v>58</v>
      </c>
      <c r="C28" s="2" t="s">
        <v>9</v>
      </c>
      <c r="D28" s="2"/>
      <c r="E28" s="5">
        <v>4.95</v>
      </c>
      <c r="F28" s="20">
        <f t="shared" si="1"/>
        <v>0</v>
      </c>
      <c r="G28" s="2">
        <v>62</v>
      </c>
      <c r="H28" s="4" t="s">
        <v>254</v>
      </c>
      <c r="I28" s="2" t="s">
        <v>9</v>
      </c>
      <c r="J28" s="4"/>
      <c r="K28" s="2">
        <v>7.7</v>
      </c>
      <c r="L28" s="5">
        <f t="shared" si="0"/>
        <v>0</v>
      </c>
    </row>
    <row r="29" spans="1:12">
      <c r="A29" s="2">
        <v>25</v>
      </c>
      <c r="B29" s="4" t="s">
        <v>60</v>
      </c>
      <c r="C29" s="2" t="s">
        <v>9</v>
      </c>
      <c r="D29" s="2"/>
      <c r="E29" s="5">
        <v>5.7</v>
      </c>
      <c r="F29" s="20">
        <f t="shared" si="1"/>
        <v>0</v>
      </c>
      <c r="G29" s="2">
        <v>63</v>
      </c>
      <c r="H29" s="4" t="s">
        <v>255</v>
      </c>
      <c r="I29" s="2" t="s">
        <v>9</v>
      </c>
      <c r="J29" s="4"/>
      <c r="K29" s="2">
        <v>5.9</v>
      </c>
      <c r="L29" s="5">
        <f t="shared" si="0"/>
        <v>0</v>
      </c>
    </row>
    <row r="30" spans="1:12">
      <c r="A30" s="2">
        <v>26</v>
      </c>
      <c r="B30" s="4" t="s">
        <v>62</v>
      </c>
      <c r="C30" s="2" t="s">
        <v>9</v>
      </c>
      <c r="D30" s="2"/>
      <c r="E30" s="5">
        <v>4.5999999999999996</v>
      </c>
      <c r="F30" s="5">
        <f t="shared" si="1"/>
        <v>0</v>
      </c>
      <c r="G30" s="2">
        <v>64</v>
      </c>
      <c r="H30" s="4" t="s">
        <v>256</v>
      </c>
      <c r="I30" s="2" t="s">
        <v>9</v>
      </c>
      <c r="J30" s="4"/>
      <c r="K30" s="2">
        <v>3.5</v>
      </c>
      <c r="L30" s="5">
        <f t="shared" si="0"/>
        <v>0</v>
      </c>
    </row>
    <row r="31" spans="1:12">
      <c r="A31" s="2">
        <v>27</v>
      </c>
      <c r="B31" s="4" t="s">
        <v>102</v>
      </c>
      <c r="C31" s="2" t="s">
        <v>9</v>
      </c>
      <c r="D31" s="2"/>
      <c r="E31" s="5">
        <v>5.95</v>
      </c>
      <c r="F31" s="5">
        <f t="shared" si="1"/>
        <v>0</v>
      </c>
      <c r="G31" s="2">
        <v>65</v>
      </c>
      <c r="H31" s="4" t="s">
        <v>257</v>
      </c>
      <c r="I31" s="2" t="s">
        <v>9</v>
      </c>
      <c r="J31" s="4"/>
      <c r="K31" s="2">
        <v>6.35</v>
      </c>
      <c r="L31" s="5">
        <f t="shared" si="0"/>
        <v>0</v>
      </c>
    </row>
    <row r="32" spans="1:12">
      <c r="A32" s="2">
        <v>28</v>
      </c>
      <c r="B32" s="4" t="s">
        <v>104</v>
      </c>
      <c r="C32" s="2" t="s">
        <v>9</v>
      </c>
      <c r="D32" s="2"/>
      <c r="E32" s="5">
        <v>7.7</v>
      </c>
      <c r="F32" s="20">
        <f t="shared" si="1"/>
        <v>0</v>
      </c>
      <c r="G32" s="2">
        <v>66</v>
      </c>
      <c r="H32" s="4" t="s">
        <v>258</v>
      </c>
      <c r="I32" s="2" t="s">
        <v>9</v>
      </c>
      <c r="J32" s="4"/>
      <c r="K32" s="2">
        <v>7.7</v>
      </c>
      <c r="L32" s="5">
        <f t="shared" si="0"/>
        <v>0</v>
      </c>
    </row>
    <row r="33" spans="1:13">
      <c r="A33" s="2">
        <v>29</v>
      </c>
      <c r="B33" s="4" t="s">
        <v>68</v>
      </c>
      <c r="C33" s="2" t="s">
        <v>9</v>
      </c>
      <c r="D33" s="2"/>
      <c r="E33" s="5">
        <v>5.5</v>
      </c>
      <c r="F33" s="5">
        <f t="shared" si="1"/>
        <v>0</v>
      </c>
      <c r="G33" s="2">
        <v>67</v>
      </c>
      <c r="H33" s="4" t="s">
        <v>259</v>
      </c>
      <c r="I33" s="2" t="s">
        <v>9</v>
      </c>
      <c r="J33" s="4"/>
      <c r="K33" s="2">
        <v>3.65</v>
      </c>
      <c r="L33" s="5">
        <f t="shared" si="0"/>
        <v>0</v>
      </c>
    </row>
    <row r="34" spans="1:13">
      <c r="A34" s="2">
        <v>30</v>
      </c>
      <c r="B34" s="4" t="s">
        <v>70</v>
      </c>
      <c r="C34" s="2" t="s">
        <v>9</v>
      </c>
      <c r="D34" s="2"/>
      <c r="E34" s="5">
        <v>6</v>
      </c>
      <c r="F34" s="5">
        <f t="shared" si="1"/>
        <v>0</v>
      </c>
      <c r="G34" s="2">
        <v>68</v>
      </c>
      <c r="H34" s="4"/>
      <c r="I34" s="2" t="s">
        <v>9</v>
      </c>
      <c r="J34" s="4"/>
      <c r="K34" s="2"/>
      <c r="L34" s="5">
        <f t="shared" si="0"/>
        <v>0</v>
      </c>
      <c r="M34" s="10"/>
    </row>
    <row r="35" spans="1:13">
      <c r="A35" s="2">
        <v>31</v>
      </c>
      <c r="B35" s="4" t="s">
        <v>72</v>
      </c>
      <c r="C35" s="2" t="s">
        <v>9</v>
      </c>
      <c r="D35" s="2"/>
      <c r="E35" s="5">
        <v>5.5</v>
      </c>
      <c r="F35" s="20">
        <f t="shared" si="1"/>
        <v>0</v>
      </c>
      <c r="G35" s="2">
        <v>69</v>
      </c>
      <c r="H35" s="4"/>
      <c r="I35" s="2" t="s">
        <v>9</v>
      </c>
      <c r="J35" s="4"/>
      <c r="K35" s="2"/>
      <c r="L35" s="5">
        <f t="shared" si="0"/>
        <v>0</v>
      </c>
    </row>
    <row r="36" spans="1:13">
      <c r="A36" s="2">
        <v>32</v>
      </c>
      <c r="B36" s="4" t="s">
        <v>74</v>
      </c>
      <c r="C36" s="2" t="s">
        <v>9</v>
      </c>
      <c r="D36" s="2"/>
      <c r="E36" s="2">
        <v>2.35</v>
      </c>
      <c r="F36" s="20">
        <f t="shared" si="1"/>
        <v>0</v>
      </c>
      <c r="G36" s="2">
        <v>70</v>
      </c>
      <c r="H36" s="4"/>
      <c r="I36" s="2" t="s">
        <v>9</v>
      </c>
      <c r="J36" s="4"/>
      <c r="K36" s="2"/>
      <c r="L36" s="5">
        <f t="shared" si="0"/>
        <v>0</v>
      </c>
    </row>
    <row r="37" spans="1:13">
      <c r="A37" s="2">
        <v>33</v>
      </c>
      <c r="B37" s="4" t="s">
        <v>76</v>
      </c>
      <c r="C37" s="2" t="s">
        <v>9</v>
      </c>
      <c r="D37" s="2"/>
      <c r="E37" s="2">
        <v>3.4</v>
      </c>
      <c r="F37" s="20">
        <f t="shared" si="1"/>
        <v>0</v>
      </c>
      <c r="G37" s="2">
        <v>71</v>
      </c>
      <c r="H37" s="4"/>
      <c r="I37" s="2" t="s">
        <v>9</v>
      </c>
      <c r="J37" s="4"/>
      <c r="K37" s="2"/>
      <c r="L37" s="5">
        <f t="shared" si="0"/>
        <v>0</v>
      </c>
      <c r="M37" s="11"/>
    </row>
    <row r="38" spans="1:13">
      <c r="A38" s="2">
        <v>34</v>
      </c>
      <c r="B38" s="4" t="s">
        <v>78</v>
      </c>
      <c r="C38" s="2" t="s">
        <v>9</v>
      </c>
      <c r="D38" s="2"/>
      <c r="E38" s="2">
        <v>6.45</v>
      </c>
      <c r="F38" s="20">
        <f t="shared" si="1"/>
        <v>0</v>
      </c>
      <c r="G38" s="2">
        <v>72</v>
      </c>
      <c r="H38" s="4"/>
      <c r="I38" s="2" t="s">
        <v>9</v>
      </c>
      <c r="J38" s="4"/>
      <c r="K38" s="2"/>
      <c r="L38" s="5">
        <f t="shared" si="0"/>
        <v>0</v>
      </c>
    </row>
    <row r="39" spans="1:13">
      <c r="A39" s="2">
        <v>35</v>
      </c>
      <c r="B39" s="4" t="s">
        <v>80</v>
      </c>
      <c r="C39" s="2" t="s">
        <v>9</v>
      </c>
      <c r="D39" s="2"/>
      <c r="E39" s="2">
        <v>3.95</v>
      </c>
      <c r="F39" s="20">
        <f t="shared" si="1"/>
        <v>0</v>
      </c>
      <c r="G39" s="2">
        <v>73</v>
      </c>
      <c r="H39" s="4"/>
      <c r="I39" s="2" t="s">
        <v>9</v>
      </c>
      <c r="J39" s="4"/>
      <c r="K39" s="2"/>
      <c r="L39" s="5">
        <f t="shared" si="0"/>
        <v>0</v>
      </c>
    </row>
    <row r="40" spans="1:13" ht="15.75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5+F6+F7+F8+F9+F10+F11+F12+L2+L3+L4++L5+L6+L7+L8+L9</f>
        <v>0</v>
      </c>
    </row>
    <row r="42" spans="1:13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>
  <dimension ref="A1:M42"/>
  <sheetViews>
    <sheetView topLeftCell="A19" workbookViewId="0">
      <selection activeCell="N12" sqref="N12"/>
    </sheetView>
  </sheetViews>
  <sheetFormatPr defaultRowHeight="15"/>
  <cols>
    <col min="1" max="1" width="4.7109375" style="17" customWidth="1"/>
    <col min="2" max="2" width="28.140625" customWidth="1"/>
    <col min="3" max="3" width="6.140625" customWidth="1"/>
    <col min="6" max="6" width="8.5703125" style="17" customWidth="1"/>
    <col min="7" max="7" width="4.85546875" style="17" customWidth="1"/>
    <col min="8" max="8" width="23.7109375" customWidth="1"/>
    <col min="9" max="9" width="6" bestFit="1" customWidth="1"/>
    <col min="10" max="10" width="6" customWidth="1"/>
    <col min="12" max="12" width="8.85546875" style="17"/>
  </cols>
  <sheetData>
    <row r="1" spans="1:12" ht="15.75">
      <c r="A1" s="30"/>
      <c r="B1" s="30"/>
      <c r="C1" s="30"/>
      <c r="D1" s="30" t="str">
        <f>[1]Сводная!D1</f>
        <v>19    12    2015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>
      <c r="A2" s="32" t="s">
        <v>246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</v>
      </c>
      <c r="L2" s="5">
        <f>J2*K2</f>
        <v>0</v>
      </c>
    </row>
    <row r="3" spans="1:12">
      <c r="A3" s="32" t="s">
        <v>247</v>
      </c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2.1</v>
      </c>
      <c r="L3" s="5">
        <f t="shared" ref="L3:L39" si="0">J3*K3</f>
        <v>0</v>
      </c>
    </row>
    <row r="4" spans="1:12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2.25</v>
      </c>
      <c r="L4" s="5">
        <f t="shared" si="0"/>
        <v>0</v>
      </c>
    </row>
    <row r="5" spans="1:12">
      <c r="A5" s="2">
        <v>1</v>
      </c>
      <c r="B5" s="4" t="s">
        <v>248</v>
      </c>
      <c r="C5" s="2" t="s">
        <v>9</v>
      </c>
      <c r="D5" s="2"/>
      <c r="E5" s="5">
        <v>6.55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2</v>
      </c>
      <c r="L5" s="5">
        <f t="shared" si="0"/>
        <v>0</v>
      </c>
    </row>
    <row r="6" spans="1:12">
      <c r="A6" s="2">
        <v>2</v>
      </c>
      <c r="B6" s="4" t="s">
        <v>14</v>
      </c>
      <c r="C6" s="2" t="s">
        <v>9</v>
      </c>
      <c r="D6" s="2"/>
      <c r="E6" s="5">
        <v>4.7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7.7</v>
      </c>
      <c r="L6" s="5">
        <f>J6*K6</f>
        <v>0</v>
      </c>
    </row>
    <row r="7" spans="1:12">
      <c r="A7" s="2">
        <v>3</v>
      </c>
      <c r="B7" s="4" t="s">
        <v>156</v>
      </c>
      <c r="C7" s="2" t="s">
        <v>9</v>
      </c>
      <c r="D7" s="2"/>
      <c r="E7" s="5">
        <v>5.2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2</v>
      </c>
      <c r="L7" s="5">
        <f t="shared" si="0"/>
        <v>0</v>
      </c>
    </row>
    <row r="8" spans="1:12">
      <c r="A8" s="2">
        <v>4</v>
      </c>
      <c r="B8" s="4" t="s">
        <v>18</v>
      </c>
      <c r="C8" s="2" t="s">
        <v>9</v>
      </c>
      <c r="D8" s="2"/>
      <c r="E8" s="5">
        <v>7.05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2.25</v>
      </c>
      <c r="L8" s="5">
        <f t="shared" si="0"/>
        <v>0</v>
      </c>
    </row>
    <row r="9" spans="1:12">
      <c r="A9" s="2">
        <v>5</v>
      </c>
      <c r="B9" s="4" t="s">
        <v>20</v>
      </c>
      <c r="C9" s="2" t="s">
        <v>9</v>
      </c>
      <c r="D9" s="2"/>
      <c r="E9" s="5">
        <v>4.9000000000000004</v>
      </c>
      <c r="F9" s="20">
        <f t="shared" si="1"/>
        <v>0</v>
      </c>
      <c r="G9" s="2">
        <v>43</v>
      </c>
      <c r="H9" s="4" t="s">
        <v>21</v>
      </c>
      <c r="I9" s="2" t="s">
        <v>9</v>
      </c>
      <c r="J9" s="2"/>
      <c r="K9" s="5">
        <v>2.4</v>
      </c>
      <c r="L9" s="5">
        <f t="shared" si="0"/>
        <v>0</v>
      </c>
    </row>
    <row r="10" spans="1:12">
      <c r="A10" s="2">
        <v>6</v>
      </c>
      <c r="B10" s="4" t="s">
        <v>22</v>
      </c>
      <c r="C10" s="2" t="s">
        <v>9</v>
      </c>
      <c r="D10" s="2"/>
      <c r="E10" s="5">
        <v>5.7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>
      <c r="A11" s="2">
        <v>7</v>
      </c>
      <c r="B11" s="4" t="s">
        <v>24</v>
      </c>
      <c r="C11" s="2" t="s">
        <v>9</v>
      </c>
      <c r="D11" s="2"/>
      <c r="E11" s="5">
        <v>5.2</v>
      </c>
      <c r="F11" s="20">
        <f t="shared" si="1"/>
        <v>0</v>
      </c>
      <c r="G11" s="2">
        <v>45</v>
      </c>
      <c r="H11" s="4" t="s">
        <v>249</v>
      </c>
      <c r="I11" s="2" t="s">
        <v>9</v>
      </c>
      <c r="J11" s="2"/>
      <c r="K11" s="5">
        <v>2.4</v>
      </c>
      <c r="L11" s="5">
        <f t="shared" si="0"/>
        <v>0</v>
      </c>
    </row>
    <row r="12" spans="1:12">
      <c r="A12" s="2">
        <v>8</v>
      </c>
      <c r="B12" s="4" t="s">
        <v>250</v>
      </c>
      <c r="C12" s="2" t="s">
        <v>9</v>
      </c>
      <c r="D12" s="2"/>
      <c r="E12" s="5">
        <v>5.2</v>
      </c>
      <c r="F12" s="20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2.1</v>
      </c>
      <c r="L12" s="5">
        <f t="shared" si="0"/>
        <v>0</v>
      </c>
    </row>
    <row r="13" spans="1:12">
      <c r="A13" s="2">
        <v>9</v>
      </c>
      <c r="B13" s="4" t="s">
        <v>162</v>
      </c>
      <c r="C13" s="2" t="s">
        <v>9</v>
      </c>
      <c r="D13" s="2"/>
      <c r="E13" s="5">
        <v>5.35</v>
      </c>
      <c r="F13" s="20">
        <f t="shared" si="1"/>
        <v>0</v>
      </c>
      <c r="G13" s="2">
        <v>47</v>
      </c>
      <c r="H13" s="4" t="s">
        <v>251</v>
      </c>
      <c r="I13" s="2" t="s">
        <v>9</v>
      </c>
      <c r="J13" s="2"/>
      <c r="K13" s="5">
        <v>2.1</v>
      </c>
      <c r="L13" s="5">
        <f t="shared" si="0"/>
        <v>0</v>
      </c>
    </row>
    <row r="14" spans="1:12">
      <c r="A14" s="2">
        <v>10</v>
      </c>
      <c r="B14" s="4" t="s">
        <v>30</v>
      </c>
      <c r="C14" s="2" t="s">
        <v>9</v>
      </c>
      <c r="D14" s="2"/>
      <c r="E14" s="5">
        <v>5.85</v>
      </c>
      <c r="F14" s="20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2.1</v>
      </c>
      <c r="L14" s="5">
        <f t="shared" si="0"/>
        <v>0</v>
      </c>
    </row>
    <row r="15" spans="1:12">
      <c r="A15" s="2">
        <v>11</v>
      </c>
      <c r="B15" s="4" t="s">
        <v>128</v>
      </c>
      <c r="C15" s="2" t="s">
        <v>9</v>
      </c>
      <c r="D15" s="2"/>
      <c r="E15" s="5">
        <v>6.5</v>
      </c>
      <c r="F15" s="20">
        <f t="shared" si="1"/>
        <v>0</v>
      </c>
      <c r="G15" s="2">
        <v>49</v>
      </c>
      <c r="H15" s="4" t="s">
        <v>129</v>
      </c>
      <c r="I15" s="2" t="s">
        <v>9</v>
      </c>
      <c r="J15" s="2"/>
      <c r="K15" s="5">
        <v>7.95</v>
      </c>
      <c r="L15" s="5">
        <f t="shared" si="0"/>
        <v>0</v>
      </c>
    </row>
    <row r="16" spans="1:12">
      <c r="A16" s="2">
        <v>12</v>
      </c>
      <c r="B16" s="4" t="s">
        <v>34</v>
      </c>
      <c r="C16" s="2" t="s">
        <v>9</v>
      </c>
      <c r="D16" s="2"/>
      <c r="E16" s="5">
        <v>6</v>
      </c>
      <c r="F16" s="20">
        <f t="shared" si="1"/>
        <v>0</v>
      </c>
      <c r="G16" s="2">
        <v>50</v>
      </c>
      <c r="H16" s="4" t="s">
        <v>35</v>
      </c>
      <c r="I16" s="2" t="s">
        <v>9</v>
      </c>
      <c r="J16" s="2"/>
      <c r="K16" s="5">
        <v>6.45</v>
      </c>
      <c r="L16" s="5">
        <f t="shared" si="0"/>
        <v>0</v>
      </c>
    </row>
    <row r="17" spans="1:12">
      <c r="A17" s="2">
        <v>13</v>
      </c>
      <c r="B17" s="4" t="s">
        <v>36</v>
      </c>
      <c r="C17" s="2" t="s">
        <v>9</v>
      </c>
      <c r="D17" s="2"/>
      <c r="E17" s="5">
        <v>6.5</v>
      </c>
      <c r="F17" s="20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6.35</v>
      </c>
      <c r="L17" s="5">
        <f t="shared" si="0"/>
        <v>0</v>
      </c>
    </row>
    <row r="18" spans="1:12">
      <c r="A18" s="2">
        <v>14</v>
      </c>
      <c r="B18" s="4" t="s">
        <v>38</v>
      </c>
      <c r="C18" s="2" t="s">
        <v>9</v>
      </c>
      <c r="D18" s="2"/>
      <c r="E18" s="5">
        <v>4.8</v>
      </c>
      <c r="F18" s="20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2.9</v>
      </c>
      <c r="L18" s="5">
        <f t="shared" si="0"/>
        <v>0</v>
      </c>
    </row>
    <row r="19" spans="1:12">
      <c r="A19" s="2">
        <v>15</v>
      </c>
      <c r="B19" s="4" t="s">
        <v>40</v>
      </c>
      <c r="C19" s="2" t="s">
        <v>9</v>
      </c>
      <c r="D19" s="2"/>
      <c r="E19" s="5">
        <v>5.3</v>
      </c>
      <c r="F19" s="20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11</v>
      </c>
      <c r="L19" s="5">
        <f t="shared" si="0"/>
        <v>0</v>
      </c>
    </row>
    <row r="20" spans="1:12">
      <c r="A20" s="2">
        <v>16</v>
      </c>
      <c r="B20" s="4" t="s">
        <v>42</v>
      </c>
      <c r="C20" s="2" t="s">
        <v>9</v>
      </c>
      <c r="D20" s="2"/>
      <c r="E20" s="5">
        <v>2.35</v>
      </c>
      <c r="F20" s="20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22</v>
      </c>
      <c r="L20" s="5">
        <f t="shared" si="0"/>
        <v>0</v>
      </c>
    </row>
    <row r="21" spans="1:12">
      <c r="A21" s="2">
        <v>17</v>
      </c>
      <c r="B21" s="4" t="s">
        <v>44</v>
      </c>
      <c r="C21" s="2" t="s">
        <v>9</v>
      </c>
      <c r="D21" s="2"/>
      <c r="E21" s="5">
        <v>1.3</v>
      </c>
      <c r="F21" s="20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34.5</v>
      </c>
      <c r="L21" s="5">
        <f t="shared" si="0"/>
        <v>0</v>
      </c>
    </row>
    <row r="22" spans="1:12">
      <c r="A22" s="2">
        <v>18</v>
      </c>
      <c r="B22" s="4" t="s">
        <v>46</v>
      </c>
      <c r="C22" s="2" t="s">
        <v>9</v>
      </c>
      <c r="D22" s="2"/>
      <c r="E22" s="5">
        <v>5.7</v>
      </c>
      <c r="F22" s="20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18.5</v>
      </c>
      <c r="L22" s="5">
        <f t="shared" si="0"/>
        <v>0</v>
      </c>
    </row>
    <row r="23" spans="1:12">
      <c r="A23" s="2">
        <v>19</v>
      </c>
      <c r="B23" s="4" t="s">
        <v>48</v>
      </c>
      <c r="C23" s="2" t="s">
        <v>9</v>
      </c>
      <c r="D23" s="2"/>
      <c r="E23" s="5">
        <v>6.45</v>
      </c>
      <c r="F23" s="20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12.5</v>
      </c>
      <c r="L23" s="5">
        <f t="shared" si="0"/>
        <v>0</v>
      </c>
    </row>
    <row r="24" spans="1:12">
      <c r="A24" s="2">
        <v>20</v>
      </c>
      <c r="B24" s="4" t="s">
        <v>50</v>
      </c>
      <c r="C24" s="2" t="s">
        <v>9</v>
      </c>
      <c r="D24" s="2"/>
      <c r="E24" s="5">
        <v>6</v>
      </c>
      <c r="F24" s="20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9</v>
      </c>
      <c r="L24" s="5">
        <f t="shared" si="0"/>
        <v>0</v>
      </c>
    </row>
    <row r="25" spans="1:12">
      <c r="A25" s="2">
        <v>21</v>
      </c>
      <c r="B25" s="4" t="s">
        <v>96</v>
      </c>
      <c r="C25" s="2" t="s">
        <v>9</v>
      </c>
      <c r="D25" s="2"/>
      <c r="E25" s="5">
        <v>6.8</v>
      </c>
      <c r="F25" s="20">
        <f t="shared" si="1"/>
        <v>0</v>
      </c>
      <c r="G25" s="2">
        <v>59</v>
      </c>
      <c r="H25" s="4" t="s">
        <v>252</v>
      </c>
      <c r="I25" s="2" t="s">
        <v>9</v>
      </c>
      <c r="J25" s="4"/>
      <c r="K25" s="2">
        <v>9</v>
      </c>
      <c r="L25" s="5">
        <f t="shared" si="0"/>
        <v>0</v>
      </c>
    </row>
    <row r="26" spans="1:12">
      <c r="A26" s="2">
        <v>22</v>
      </c>
      <c r="B26" s="4" t="s">
        <v>54</v>
      </c>
      <c r="C26" s="2" t="s">
        <v>9</v>
      </c>
      <c r="D26" s="2"/>
      <c r="E26" s="5">
        <v>5.4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5.95</v>
      </c>
      <c r="L26" s="5">
        <f t="shared" si="0"/>
        <v>0</v>
      </c>
    </row>
    <row r="27" spans="1:12">
      <c r="A27" s="2">
        <v>23</v>
      </c>
      <c r="B27" s="4" t="s">
        <v>56</v>
      </c>
      <c r="C27" s="2" t="s">
        <v>9</v>
      </c>
      <c r="D27" s="2"/>
      <c r="E27" s="5">
        <v>4.45</v>
      </c>
      <c r="F27" s="20">
        <f t="shared" si="1"/>
        <v>0</v>
      </c>
      <c r="G27" s="2">
        <v>61</v>
      </c>
      <c r="H27" s="4" t="s">
        <v>253</v>
      </c>
      <c r="I27" s="2" t="s">
        <v>9</v>
      </c>
      <c r="J27" s="4"/>
      <c r="K27" s="2">
        <v>3.5</v>
      </c>
      <c r="L27" s="5">
        <f t="shared" si="0"/>
        <v>0</v>
      </c>
    </row>
    <row r="28" spans="1:12">
      <c r="A28" s="2">
        <v>24</v>
      </c>
      <c r="B28" s="4" t="s">
        <v>58</v>
      </c>
      <c r="C28" s="2" t="s">
        <v>9</v>
      </c>
      <c r="D28" s="2"/>
      <c r="E28" s="5">
        <v>4.95</v>
      </c>
      <c r="F28" s="20">
        <f t="shared" si="1"/>
        <v>0</v>
      </c>
      <c r="G28" s="2">
        <v>62</v>
      </c>
      <c r="H28" s="4" t="s">
        <v>254</v>
      </c>
      <c r="I28" s="2" t="s">
        <v>9</v>
      </c>
      <c r="J28" s="4"/>
      <c r="K28" s="2">
        <v>7.7</v>
      </c>
      <c r="L28" s="5">
        <f t="shared" si="0"/>
        <v>0</v>
      </c>
    </row>
    <row r="29" spans="1:12">
      <c r="A29" s="2">
        <v>25</v>
      </c>
      <c r="B29" s="4" t="s">
        <v>60</v>
      </c>
      <c r="C29" s="2" t="s">
        <v>9</v>
      </c>
      <c r="D29" s="2"/>
      <c r="E29" s="5">
        <v>5.7</v>
      </c>
      <c r="F29" s="20">
        <f t="shared" si="1"/>
        <v>0</v>
      </c>
      <c r="G29" s="2">
        <v>63</v>
      </c>
      <c r="H29" s="4" t="s">
        <v>255</v>
      </c>
      <c r="I29" s="2" t="s">
        <v>9</v>
      </c>
      <c r="J29" s="4"/>
      <c r="K29" s="2">
        <v>5.9</v>
      </c>
      <c r="L29" s="5">
        <f t="shared" si="0"/>
        <v>0</v>
      </c>
    </row>
    <row r="30" spans="1:12">
      <c r="A30" s="2">
        <v>26</v>
      </c>
      <c r="B30" s="4" t="s">
        <v>62</v>
      </c>
      <c r="C30" s="2" t="s">
        <v>9</v>
      </c>
      <c r="D30" s="2"/>
      <c r="E30" s="5">
        <v>4.5999999999999996</v>
      </c>
      <c r="F30" s="5">
        <f t="shared" si="1"/>
        <v>0</v>
      </c>
      <c r="G30" s="2">
        <v>64</v>
      </c>
      <c r="H30" s="4" t="s">
        <v>256</v>
      </c>
      <c r="I30" s="2" t="s">
        <v>9</v>
      </c>
      <c r="J30" s="4"/>
      <c r="K30" s="2">
        <v>3.5</v>
      </c>
      <c r="L30" s="5">
        <f t="shared" si="0"/>
        <v>0</v>
      </c>
    </row>
    <row r="31" spans="1:12">
      <c r="A31" s="2">
        <v>27</v>
      </c>
      <c r="B31" s="4" t="s">
        <v>102</v>
      </c>
      <c r="C31" s="2" t="s">
        <v>9</v>
      </c>
      <c r="D31" s="2"/>
      <c r="E31" s="5">
        <v>5.95</v>
      </c>
      <c r="F31" s="5">
        <f t="shared" si="1"/>
        <v>0</v>
      </c>
      <c r="G31" s="2">
        <v>65</v>
      </c>
      <c r="H31" s="4" t="s">
        <v>257</v>
      </c>
      <c r="I31" s="2" t="s">
        <v>9</v>
      </c>
      <c r="J31" s="4"/>
      <c r="K31" s="2">
        <v>6.35</v>
      </c>
      <c r="L31" s="5">
        <f t="shared" si="0"/>
        <v>0</v>
      </c>
    </row>
    <row r="32" spans="1:12">
      <c r="A32" s="2">
        <v>28</v>
      </c>
      <c r="B32" s="4" t="s">
        <v>104</v>
      </c>
      <c r="C32" s="2" t="s">
        <v>9</v>
      </c>
      <c r="D32" s="2"/>
      <c r="E32" s="5">
        <v>7.7</v>
      </c>
      <c r="F32" s="20">
        <f t="shared" si="1"/>
        <v>0</v>
      </c>
      <c r="G32" s="2">
        <v>66</v>
      </c>
      <c r="H32" s="4" t="s">
        <v>258</v>
      </c>
      <c r="I32" s="2" t="s">
        <v>9</v>
      </c>
      <c r="J32" s="4"/>
      <c r="K32" s="2">
        <v>7.7</v>
      </c>
      <c r="L32" s="5">
        <f t="shared" si="0"/>
        <v>0</v>
      </c>
    </row>
    <row r="33" spans="1:13">
      <c r="A33" s="2">
        <v>29</v>
      </c>
      <c r="B33" s="4" t="s">
        <v>68</v>
      </c>
      <c r="C33" s="2" t="s">
        <v>9</v>
      </c>
      <c r="D33" s="2"/>
      <c r="E33" s="5">
        <v>5.5</v>
      </c>
      <c r="F33" s="5">
        <f t="shared" si="1"/>
        <v>0</v>
      </c>
      <c r="G33" s="2">
        <v>67</v>
      </c>
      <c r="H33" s="4" t="s">
        <v>259</v>
      </c>
      <c r="I33" s="2" t="s">
        <v>9</v>
      </c>
      <c r="J33" s="4"/>
      <c r="K33" s="2">
        <v>3.65</v>
      </c>
      <c r="L33" s="5">
        <f t="shared" si="0"/>
        <v>0</v>
      </c>
    </row>
    <row r="34" spans="1:13">
      <c r="A34" s="2">
        <v>30</v>
      </c>
      <c r="B34" s="4" t="s">
        <v>70</v>
      </c>
      <c r="C34" s="2" t="s">
        <v>9</v>
      </c>
      <c r="D34" s="2"/>
      <c r="E34" s="5">
        <v>6</v>
      </c>
      <c r="F34" s="5">
        <f t="shared" si="1"/>
        <v>0</v>
      </c>
      <c r="G34" s="2">
        <v>68</v>
      </c>
      <c r="H34" s="4"/>
      <c r="I34" s="2" t="s">
        <v>9</v>
      </c>
      <c r="J34" s="4"/>
      <c r="K34" s="2"/>
      <c r="L34" s="5">
        <f t="shared" si="0"/>
        <v>0</v>
      </c>
      <c r="M34" s="10"/>
    </row>
    <row r="35" spans="1:13">
      <c r="A35" s="2">
        <v>31</v>
      </c>
      <c r="B35" s="4" t="s">
        <v>72</v>
      </c>
      <c r="C35" s="2" t="s">
        <v>9</v>
      </c>
      <c r="D35" s="2"/>
      <c r="E35" s="5">
        <v>5.5</v>
      </c>
      <c r="F35" s="20">
        <f t="shared" si="1"/>
        <v>0</v>
      </c>
      <c r="G35" s="2">
        <v>69</v>
      </c>
      <c r="H35" s="4"/>
      <c r="I35" s="2" t="s">
        <v>9</v>
      </c>
      <c r="J35" s="4"/>
      <c r="K35" s="2"/>
      <c r="L35" s="5">
        <f t="shared" si="0"/>
        <v>0</v>
      </c>
    </row>
    <row r="36" spans="1:13">
      <c r="A36" s="2">
        <v>32</v>
      </c>
      <c r="B36" s="4" t="s">
        <v>74</v>
      </c>
      <c r="C36" s="2" t="s">
        <v>9</v>
      </c>
      <c r="D36" s="2"/>
      <c r="E36" s="2">
        <v>2.35</v>
      </c>
      <c r="F36" s="20">
        <f t="shared" si="1"/>
        <v>0</v>
      </c>
      <c r="G36" s="2">
        <v>70</v>
      </c>
      <c r="H36" s="4"/>
      <c r="I36" s="2" t="s">
        <v>9</v>
      </c>
      <c r="J36" s="4"/>
      <c r="K36" s="2"/>
      <c r="L36" s="5">
        <f t="shared" si="0"/>
        <v>0</v>
      </c>
    </row>
    <row r="37" spans="1:13">
      <c r="A37" s="2">
        <v>33</v>
      </c>
      <c r="B37" s="4" t="s">
        <v>76</v>
      </c>
      <c r="C37" s="2" t="s">
        <v>9</v>
      </c>
      <c r="D37" s="2"/>
      <c r="E37" s="2">
        <v>3.4</v>
      </c>
      <c r="F37" s="20">
        <f t="shared" si="1"/>
        <v>0</v>
      </c>
      <c r="G37" s="2">
        <v>71</v>
      </c>
      <c r="H37" s="4"/>
      <c r="I37" s="2" t="s">
        <v>9</v>
      </c>
      <c r="J37" s="4"/>
      <c r="K37" s="2"/>
      <c r="L37" s="5">
        <f t="shared" si="0"/>
        <v>0</v>
      </c>
      <c r="M37" s="11"/>
    </row>
    <row r="38" spans="1:13">
      <c r="A38" s="2">
        <v>34</v>
      </c>
      <c r="B38" s="4" t="s">
        <v>78</v>
      </c>
      <c r="C38" s="2" t="s">
        <v>9</v>
      </c>
      <c r="D38" s="2"/>
      <c r="E38" s="2">
        <v>6.45</v>
      </c>
      <c r="F38" s="20">
        <f t="shared" si="1"/>
        <v>0</v>
      </c>
      <c r="G38" s="2">
        <v>72</v>
      </c>
      <c r="H38" s="4"/>
      <c r="I38" s="2" t="s">
        <v>9</v>
      </c>
      <c r="J38" s="4"/>
      <c r="K38" s="2"/>
      <c r="L38" s="5">
        <f t="shared" si="0"/>
        <v>0</v>
      </c>
    </row>
    <row r="39" spans="1:13">
      <c r="A39" s="2">
        <v>35</v>
      </c>
      <c r="B39" s="4" t="s">
        <v>80</v>
      </c>
      <c r="C39" s="2" t="s">
        <v>9</v>
      </c>
      <c r="D39" s="2"/>
      <c r="E39" s="2">
        <v>3.95</v>
      </c>
      <c r="F39" s="20">
        <f t="shared" si="1"/>
        <v>0</v>
      </c>
      <c r="G39" s="2">
        <v>73</v>
      </c>
      <c r="H39" s="4"/>
      <c r="I39" s="2" t="s">
        <v>9</v>
      </c>
      <c r="J39" s="4"/>
      <c r="K39" s="2"/>
      <c r="L39" s="5">
        <f t="shared" si="0"/>
        <v>0</v>
      </c>
    </row>
    <row r="40" spans="1:13" ht="15.75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5+F6+F7+F8+F9+F10+F11+F12+L2+L3+L4++L5+L6+L7+L8+L9</f>
        <v>0</v>
      </c>
    </row>
    <row r="42" spans="1:13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>
  <dimension ref="A1:M42"/>
  <sheetViews>
    <sheetView topLeftCell="A19" workbookViewId="0">
      <selection activeCell="H45" sqref="H45:H46"/>
    </sheetView>
  </sheetViews>
  <sheetFormatPr defaultRowHeight="15"/>
  <cols>
    <col min="1" max="1" width="4.7109375" style="17" customWidth="1"/>
    <col min="2" max="2" width="28.140625" customWidth="1"/>
    <col min="3" max="3" width="6.140625" customWidth="1"/>
    <col min="6" max="6" width="8.5703125" style="17" customWidth="1"/>
    <col min="7" max="7" width="4.85546875" style="17" customWidth="1"/>
    <col min="8" max="8" width="23.7109375" customWidth="1"/>
    <col min="9" max="9" width="6" bestFit="1" customWidth="1"/>
    <col min="10" max="10" width="6" customWidth="1"/>
    <col min="12" max="12" width="8.85546875" style="17"/>
  </cols>
  <sheetData>
    <row r="1" spans="1:12" ht="15.75">
      <c r="A1" s="30"/>
      <c r="B1" s="30"/>
      <c r="C1" s="30"/>
      <c r="D1" s="30" t="str">
        <f>[1]Сводная!D1</f>
        <v>19    12    2015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>
      <c r="A2" s="32" t="s">
        <v>246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</v>
      </c>
      <c r="L2" s="5">
        <f>J2*K2</f>
        <v>0</v>
      </c>
    </row>
    <row r="3" spans="1:12">
      <c r="A3" s="32" t="s">
        <v>247</v>
      </c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2.1</v>
      </c>
      <c r="L3" s="5">
        <f t="shared" ref="L3:L39" si="0">J3*K3</f>
        <v>0</v>
      </c>
    </row>
    <row r="4" spans="1:12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2.25</v>
      </c>
      <c r="L4" s="5">
        <f t="shared" si="0"/>
        <v>0</v>
      </c>
    </row>
    <row r="5" spans="1:12">
      <c r="A5" s="2">
        <v>1</v>
      </c>
      <c r="B5" s="4" t="s">
        <v>248</v>
      </c>
      <c r="C5" s="2" t="s">
        <v>9</v>
      </c>
      <c r="D5" s="2"/>
      <c r="E5" s="5">
        <v>6.55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2</v>
      </c>
      <c r="L5" s="5">
        <f t="shared" si="0"/>
        <v>0</v>
      </c>
    </row>
    <row r="6" spans="1:12">
      <c r="A6" s="2">
        <v>2</v>
      </c>
      <c r="B6" s="4" t="s">
        <v>14</v>
      </c>
      <c r="C6" s="2" t="s">
        <v>9</v>
      </c>
      <c r="D6" s="2"/>
      <c r="E6" s="5">
        <v>4.7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7.7</v>
      </c>
      <c r="L6" s="5">
        <f>J6*K6</f>
        <v>0</v>
      </c>
    </row>
    <row r="7" spans="1:12">
      <c r="A7" s="2">
        <v>3</v>
      </c>
      <c r="B7" s="4" t="s">
        <v>156</v>
      </c>
      <c r="C7" s="2" t="s">
        <v>9</v>
      </c>
      <c r="D7" s="2"/>
      <c r="E7" s="5">
        <v>5.2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2</v>
      </c>
      <c r="L7" s="5">
        <f t="shared" si="0"/>
        <v>0</v>
      </c>
    </row>
    <row r="8" spans="1:12">
      <c r="A8" s="2">
        <v>4</v>
      </c>
      <c r="B8" s="4" t="s">
        <v>18</v>
      </c>
      <c r="C8" s="2" t="s">
        <v>9</v>
      </c>
      <c r="D8" s="2"/>
      <c r="E8" s="5">
        <v>7.05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2.25</v>
      </c>
      <c r="L8" s="5">
        <f t="shared" si="0"/>
        <v>0</v>
      </c>
    </row>
    <row r="9" spans="1:12">
      <c r="A9" s="2">
        <v>5</v>
      </c>
      <c r="B9" s="4" t="s">
        <v>20</v>
      </c>
      <c r="C9" s="2" t="s">
        <v>9</v>
      </c>
      <c r="D9" s="2"/>
      <c r="E9" s="5">
        <v>4.9000000000000004</v>
      </c>
      <c r="F9" s="20">
        <f t="shared" si="1"/>
        <v>0</v>
      </c>
      <c r="G9" s="2">
        <v>43</v>
      </c>
      <c r="H9" s="4" t="s">
        <v>21</v>
      </c>
      <c r="I9" s="2" t="s">
        <v>9</v>
      </c>
      <c r="J9" s="2"/>
      <c r="K9" s="5">
        <v>2.4</v>
      </c>
      <c r="L9" s="5">
        <f t="shared" si="0"/>
        <v>0</v>
      </c>
    </row>
    <row r="10" spans="1:12">
      <c r="A10" s="2">
        <v>6</v>
      </c>
      <c r="B10" s="4" t="s">
        <v>22</v>
      </c>
      <c r="C10" s="2" t="s">
        <v>9</v>
      </c>
      <c r="D10" s="2"/>
      <c r="E10" s="5">
        <v>5.7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>
      <c r="A11" s="2">
        <v>7</v>
      </c>
      <c r="B11" s="4" t="s">
        <v>24</v>
      </c>
      <c r="C11" s="2" t="s">
        <v>9</v>
      </c>
      <c r="D11" s="2"/>
      <c r="E11" s="5">
        <v>5.2</v>
      </c>
      <c r="F11" s="20">
        <f t="shared" si="1"/>
        <v>0</v>
      </c>
      <c r="G11" s="2">
        <v>45</v>
      </c>
      <c r="H11" s="4" t="s">
        <v>249</v>
      </c>
      <c r="I11" s="2" t="s">
        <v>9</v>
      </c>
      <c r="J11" s="2"/>
      <c r="K11" s="5">
        <v>2.4</v>
      </c>
      <c r="L11" s="5">
        <f t="shared" si="0"/>
        <v>0</v>
      </c>
    </row>
    <row r="12" spans="1:12">
      <c r="A12" s="2">
        <v>8</v>
      </c>
      <c r="B12" s="4" t="s">
        <v>250</v>
      </c>
      <c r="C12" s="2" t="s">
        <v>9</v>
      </c>
      <c r="D12" s="2"/>
      <c r="E12" s="5">
        <v>5.2</v>
      </c>
      <c r="F12" s="20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2.1</v>
      </c>
      <c r="L12" s="5">
        <f t="shared" si="0"/>
        <v>0</v>
      </c>
    </row>
    <row r="13" spans="1:12">
      <c r="A13" s="2">
        <v>9</v>
      </c>
      <c r="B13" s="4" t="s">
        <v>162</v>
      </c>
      <c r="C13" s="2" t="s">
        <v>9</v>
      </c>
      <c r="D13" s="2"/>
      <c r="E13" s="5">
        <v>5.35</v>
      </c>
      <c r="F13" s="20">
        <f t="shared" si="1"/>
        <v>0</v>
      </c>
      <c r="G13" s="2">
        <v>47</v>
      </c>
      <c r="H13" s="4" t="s">
        <v>251</v>
      </c>
      <c r="I13" s="2" t="s">
        <v>9</v>
      </c>
      <c r="J13" s="2"/>
      <c r="K13" s="5">
        <v>2.1</v>
      </c>
      <c r="L13" s="5">
        <f t="shared" si="0"/>
        <v>0</v>
      </c>
    </row>
    <row r="14" spans="1:12">
      <c r="A14" s="2">
        <v>10</v>
      </c>
      <c r="B14" s="4" t="s">
        <v>30</v>
      </c>
      <c r="C14" s="2" t="s">
        <v>9</v>
      </c>
      <c r="D14" s="2"/>
      <c r="E14" s="5">
        <v>5.85</v>
      </c>
      <c r="F14" s="20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2.1</v>
      </c>
      <c r="L14" s="5">
        <f t="shared" si="0"/>
        <v>0</v>
      </c>
    </row>
    <row r="15" spans="1:12">
      <c r="A15" s="2">
        <v>11</v>
      </c>
      <c r="B15" s="4" t="s">
        <v>128</v>
      </c>
      <c r="C15" s="2" t="s">
        <v>9</v>
      </c>
      <c r="D15" s="2"/>
      <c r="E15" s="5">
        <v>6.5</v>
      </c>
      <c r="F15" s="20">
        <f t="shared" si="1"/>
        <v>0</v>
      </c>
      <c r="G15" s="2">
        <v>49</v>
      </c>
      <c r="H15" s="4" t="s">
        <v>129</v>
      </c>
      <c r="I15" s="2" t="s">
        <v>9</v>
      </c>
      <c r="J15" s="2"/>
      <c r="K15" s="5">
        <v>7.95</v>
      </c>
      <c r="L15" s="5">
        <f t="shared" si="0"/>
        <v>0</v>
      </c>
    </row>
    <row r="16" spans="1:12">
      <c r="A16" s="2">
        <v>12</v>
      </c>
      <c r="B16" s="4" t="s">
        <v>34</v>
      </c>
      <c r="C16" s="2" t="s">
        <v>9</v>
      </c>
      <c r="D16" s="2"/>
      <c r="E16" s="5">
        <v>6</v>
      </c>
      <c r="F16" s="20">
        <f t="shared" si="1"/>
        <v>0</v>
      </c>
      <c r="G16" s="2">
        <v>50</v>
      </c>
      <c r="H16" s="4" t="s">
        <v>35</v>
      </c>
      <c r="I16" s="2" t="s">
        <v>9</v>
      </c>
      <c r="J16" s="2"/>
      <c r="K16" s="5">
        <v>6.45</v>
      </c>
      <c r="L16" s="5">
        <f t="shared" si="0"/>
        <v>0</v>
      </c>
    </row>
    <row r="17" spans="1:12">
      <c r="A17" s="2">
        <v>13</v>
      </c>
      <c r="B17" s="4" t="s">
        <v>36</v>
      </c>
      <c r="C17" s="2" t="s">
        <v>9</v>
      </c>
      <c r="D17" s="2"/>
      <c r="E17" s="5">
        <v>6.5</v>
      </c>
      <c r="F17" s="20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6.35</v>
      </c>
      <c r="L17" s="5">
        <f t="shared" si="0"/>
        <v>0</v>
      </c>
    </row>
    <row r="18" spans="1:12">
      <c r="A18" s="2">
        <v>14</v>
      </c>
      <c r="B18" s="4" t="s">
        <v>38</v>
      </c>
      <c r="C18" s="2" t="s">
        <v>9</v>
      </c>
      <c r="D18" s="2"/>
      <c r="E18" s="5">
        <v>4.8</v>
      </c>
      <c r="F18" s="20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2.9</v>
      </c>
      <c r="L18" s="5">
        <f t="shared" si="0"/>
        <v>0</v>
      </c>
    </row>
    <row r="19" spans="1:12">
      <c r="A19" s="2">
        <v>15</v>
      </c>
      <c r="B19" s="4" t="s">
        <v>40</v>
      </c>
      <c r="C19" s="2" t="s">
        <v>9</v>
      </c>
      <c r="D19" s="2"/>
      <c r="E19" s="5">
        <v>5.3</v>
      </c>
      <c r="F19" s="20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11</v>
      </c>
      <c r="L19" s="5">
        <f t="shared" si="0"/>
        <v>0</v>
      </c>
    </row>
    <row r="20" spans="1:12">
      <c r="A20" s="2">
        <v>16</v>
      </c>
      <c r="B20" s="4" t="s">
        <v>42</v>
      </c>
      <c r="C20" s="2" t="s">
        <v>9</v>
      </c>
      <c r="D20" s="2"/>
      <c r="E20" s="5">
        <v>2.35</v>
      </c>
      <c r="F20" s="20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22</v>
      </c>
      <c r="L20" s="5">
        <f t="shared" si="0"/>
        <v>0</v>
      </c>
    </row>
    <row r="21" spans="1:12">
      <c r="A21" s="2">
        <v>17</v>
      </c>
      <c r="B21" s="4" t="s">
        <v>44</v>
      </c>
      <c r="C21" s="2" t="s">
        <v>9</v>
      </c>
      <c r="D21" s="2"/>
      <c r="E21" s="5">
        <v>1.3</v>
      </c>
      <c r="F21" s="20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34.5</v>
      </c>
      <c r="L21" s="5">
        <f t="shared" si="0"/>
        <v>0</v>
      </c>
    </row>
    <row r="22" spans="1:12">
      <c r="A22" s="2">
        <v>18</v>
      </c>
      <c r="B22" s="4" t="s">
        <v>46</v>
      </c>
      <c r="C22" s="2" t="s">
        <v>9</v>
      </c>
      <c r="D22" s="2"/>
      <c r="E22" s="5">
        <v>5.7</v>
      </c>
      <c r="F22" s="20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18.5</v>
      </c>
      <c r="L22" s="5">
        <f t="shared" si="0"/>
        <v>0</v>
      </c>
    </row>
    <row r="23" spans="1:12">
      <c r="A23" s="2">
        <v>19</v>
      </c>
      <c r="B23" s="4" t="s">
        <v>48</v>
      </c>
      <c r="C23" s="2" t="s">
        <v>9</v>
      </c>
      <c r="D23" s="2"/>
      <c r="E23" s="5">
        <v>6.45</v>
      </c>
      <c r="F23" s="20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12.5</v>
      </c>
      <c r="L23" s="5">
        <f t="shared" si="0"/>
        <v>0</v>
      </c>
    </row>
    <row r="24" spans="1:12">
      <c r="A24" s="2">
        <v>20</v>
      </c>
      <c r="B24" s="4" t="s">
        <v>50</v>
      </c>
      <c r="C24" s="2" t="s">
        <v>9</v>
      </c>
      <c r="D24" s="2"/>
      <c r="E24" s="5">
        <v>6</v>
      </c>
      <c r="F24" s="20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9</v>
      </c>
      <c r="L24" s="5">
        <f t="shared" si="0"/>
        <v>0</v>
      </c>
    </row>
    <row r="25" spans="1:12">
      <c r="A25" s="2">
        <v>21</v>
      </c>
      <c r="B25" s="4" t="s">
        <v>96</v>
      </c>
      <c r="C25" s="2" t="s">
        <v>9</v>
      </c>
      <c r="D25" s="2"/>
      <c r="E25" s="5">
        <v>6.8</v>
      </c>
      <c r="F25" s="20">
        <f t="shared" si="1"/>
        <v>0</v>
      </c>
      <c r="G25" s="2">
        <v>59</v>
      </c>
      <c r="H25" s="4" t="s">
        <v>252</v>
      </c>
      <c r="I25" s="2" t="s">
        <v>9</v>
      </c>
      <c r="J25" s="4"/>
      <c r="K25" s="2">
        <v>9</v>
      </c>
      <c r="L25" s="5">
        <f t="shared" si="0"/>
        <v>0</v>
      </c>
    </row>
    <row r="26" spans="1:12">
      <c r="A26" s="2">
        <v>22</v>
      </c>
      <c r="B26" s="4" t="s">
        <v>54</v>
      </c>
      <c r="C26" s="2" t="s">
        <v>9</v>
      </c>
      <c r="D26" s="2"/>
      <c r="E26" s="5">
        <v>5.4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5.95</v>
      </c>
      <c r="L26" s="5">
        <f t="shared" si="0"/>
        <v>0</v>
      </c>
    </row>
    <row r="27" spans="1:12">
      <c r="A27" s="2">
        <v>23</v>
      </c>
      <c r="B27" s="4" t="s">
        <v>56</v>
      </c>
      <c r="C27" s="2" t="s">
        <v>9</v>
      </c>
      <c r="D27" s="2"/>
      <c r="E27" s="5">
        <v>4.45</v>
      </c>
      <c r="F27" s="20">
        <f t="shared" si="1"/>
        <v>0</v>
      </c>
      <c r="G27" s="2">
        <v>61</v>
      </c>
      <c r="H27" s="4" t="s">
        <v>253</v>
      </c>
      <c r="I27" s="2" t="s">
        <v>9</v>
      </c>
      <c r="J27" s="4"/>
      <c r="K27" s="2">
        <v>3.5</v>
      </c>
      <c r="L27" s="5">
        <f t="shared" si="0"/>
        <v>0</v>
      </c>
    </row>
    <row r="28" spans="1:12">
      <c r="A28" s="2">
        <v>24</v>
      </c>
      <c r="B28" s="4" t="s">
        <v>58</v>
      </c>
      <c r="C28" s="2" t="s">
        <v>9</v>
      </c>
      <c r="D28" s="2"/>
      <c r="E28" s="5">
        <v>4.95</v>
      </c>
      <c r="F28" s="20">
        <f t="shared" si="1"/>
        <v>0</v>
      </c>
      <c r="G28" s="2">
        <v>62</v>
      </c>
      <c r="H28" s="4" t="s">
        <v>254</v>
      </c>
      <c r="I28" s="2" t="s">
        <v>9</v>
      </c>
      <c r="J28" s="4"/>
      <c r="K28" s="2">
        <v>7.7</v>
      </c>
      <c r="L28" s="5">
        <f t="shared" si="0"/>
        <v>0</v>
      </c>
    </row>
    <row r="29" spans="1:12">
      <c r="A29" s="2">
        <v>25</v>
      </c>
      <c r="B29" s="4" t="s">
        <v>60</v>
      </c>
      <c r="C29" s="2" t="s">
        <v>9</v>
      </c>
      <c r="D29" s="2"/>
      <c r="E29" s="5">
        <v>5.7</v>
      </c>
      <c r="F29" s="20">
        <f t="shared" si="1"/>
        <v>0</v>
      </c>
      <c r="G29" s="2">
        <v>63</v>
      </c>
      <c r="H29" s="4" t="s">
        <v>255</v>
      </c>
      <c r="I29" s="2" t="s">
        <v>9</v>
      </c>
      <c r="J29" s="4"/>
      <c r="K29" s="2">
        <v>5.9</v>
      </c>
      <c r="L29" s="5">
        <f t="shared" si="0"/>
        <v>0</v>
      </c>
    </row>
    <row r="30" spans="1:12">
      <c r="A30" s="2">
        <v>26</v>
      </c>
      <c r="B30" s="4" t="s">
        <v>62</v>
      </c>
      <c r="C30" s="2" t="s">
        <v>9</v>
      </c>
      <c r="D30" s="2"/>
      <c r="E30" s="5">
        <v>4.5999999999999996</v>
      </c>
      <c r="F30" s="5">
        <f t="shared" si="1"/>
        <v>0</v>
      </c>
      <c r="G30" s="2">
        <v>64</v>
      </c>
      <c r="H30" s="4" t="s">
        <v>256</v>
      </c>
      <c r="I30" s="2" t="s">
        <v>9</v>
      </c>
      <c r="J30" s="4"/>
      <c r="K30" s="2">
        <v>3.5</v>
      </c>
      <c r="L30" s="5">
        <f t="shared" si="0"/>
        <v>0</v>
      </c>
    </row>
    <row r="31" spans="1:12">
      <c r="A31" s="2">
        <v>27</v>
      </c>
      <c r="B31" s="4" t="s">
        <v>102</v>
      </c>
      <c r="C31" s="2" t="s">
        <v>9</v>
      </c>
      <c r="D31" s="2"/>
      <c r="E31" s="5">
        <v>5.95</v>
      </c>
      <c r="F31" s="5">
        <f t="shared" si="1"/>
        <v>0</v>
      </c>
      <c r="G31" s="2">
        <v>65</v>
      </c>
      <c r="H31" s="4" t="s">
        <v>257</v>
      </c>
      <c r="I31" s="2" t="s">
        <v>9</v>
      </c>
      <c r="J31" s="4"/>
      <c r="K31" s="2">
        <v>6.35</v>
      </c>
      <c r="L31" s="5">
        <f t="shared" si="0"/>
        <v>0</v>
      </c>
    </row>
    <row r="32" spans="1:12">
      <c r="A32" s="2">
        <v>28</v>
      </c>
      <c r="B32" s="4" t="s">
        <v>104</v>
      </c>
      <c r="C32" s="2" t="s">
        <v>9</v>
      </c>
      <c r="D32" s="2"/>
      <c r="E32" s="5">
        <v>7.7</v>
      </c>
      <c r="F32" s="20">
        <f t="shared" si="1"/>
        <v>0</v>
      </c>
      <c r="G32" s="2">
        <v>66</v>
      </c>
      <c r="H32" s="4" t="s">
        <v>258</v>
      </c>
      <c r="I32" s="2" t="s">
        <v>9</v>
      </c>
      <c r="J32" s="4"/>
      <c r="K32" s="2">
        <v>7.7</v>
      </c>
      <c r="L32" s="5">
        <f t="shared" si="0"/>
        <v>0</v>
      </c>
    </row>
    <row r="33" spans="1:13">
      <c r="A33" s="2">
        <v>29</v>
      </c>
      <c r="B33" s="4" t="s">
        <v>68</v>
      </c>
      <c r="C33" s="2" t="s">
        <v>9</v>
      </c>
      <c r="D33" s="2"/>
      <c r="E33" s="5">
        <v>5.5</v>
      </c>
      <c r="F33" s="5">
        <f t="shared" si="1"/>
        <v>0</v>
      </c>
      <c r="G33" s="2">
        <v>67</v>
      </c>
      <c r="H33" s="4" t="s">
        <v>259</v>
      </c>
      <c r="I33" s="2" t="s">
        <v>9</v>
      </c>
      <c r="J33" s="4"/>
      <c r="K33" s="2">
        <v>3.65</v>
      </c>
      <c r="L33" s="5">
        <f t="shared" si="0"/>
        <v>0</v>
      </c>
    </row>
    <row r="34" spans="1:13">
      <c r="A34" s="2">
        <v>30</v>
      </c>
      <c r="B34" s="4" t="s">
        <v>70</v>
      </c>
      <c r="C34" s="2" t="s">
        <v>9</v>
      </c>
      <c r="D34" s="2"/>
      <c r="E34" s="5">
        <v>6</v>
      </c>
      <c r="F34" s="5">
        <f t="shared" si="1"/>
        <v>0</v>
      </c>
      <c r="G34" s="2">
        <v>68</v>
      </c>
      <c r="H34" s="4"/>
      <c r="I34" s="2" t="s">
        <v>9</v>
      </c>
      <c r="J34" s="4"/>
      <c r="K34" s="2"/>
      <c r="L34" s="5">
        <f t="shared" si="0"/>
        <v>0</v>
      </c>
      <c r="M34" s="10"/>
    </row>
    <row r="35" spans="1:13">
      <c r="A35" s="2">
        <v>31</v>
      </c>
      <c r="B35" s="4" t="s">
        <v>72</v>
      </c>
      <c r="C35" s="2" t="s">
        <v>9</v>
      </c>
      <c r="D35" s="2"/>
      <c r="E35" s="5">
        <v>5.5</v>
      </c>
      <c r="F35" s="20">
        <f t="shared" si="1"/>
        <v>0</v>
      </c>
      <c r="G35" s="2">
        <v>69</v>
      </c>
      <c r="H35" s="4"/>
      <c r="I35" s="2" t="s">
        <v>9</v>
      </c>
      <c r="J35" s="4"/>
      <c r="K35" s="2"/>
      <c r="L35" s="5">
        <f t="shared" si="0"/>
        <v>0</v>
      </c>
    </row>
    <row r="36" spans="1:13">
      <c r="A36" s="2">
        <v>32</v>
      </c>
      <c r="B36" s="4" t="s">
        <v>74</v>
      </c>
      <c r="C36" s="2" t="s">
        <v>9</v>
      </c>
      <c r="D36" s="2"/>
      <c r="E36" s="2">
        <v>2.35</v>
      </c>
      <c r="F36" s="20">
        <f t="shared" si="1"/>
        <v>0</v>
      </c>
      <c r="G36" s="2">
        <v>70</v>
      </c>
      <c r="H36" s="4"/>
      <c r="I36" s="2" t="s">
        <v>9</v>
      </c>
      <c r="J36" s="4"/>
      <c r="K36" s="2"/>
      <c r="L36" s="5">
        <f t="shared" si="0"/>
        <v>0</v>
      </c>
    </row>
    <row r="37" spans="1:13">
      <c r="A37" s="2">
        <v>33</v>
      </c>
      <c r="B37" s="4" t="s">
        <v>76</v>
      </c>
      <c r="C37" s="2" t="s">
        <v>9</v>
      </c>
      <c r="D37" s="2"/>
      <c r="E37" s="2">
        <v>3.4</v>
      </c>
      <c r="F37" s="20">
        <f t="shared" si="1"/>
        <v>0</v>
      </c>
      <c r="G37" s="2">
        <v>71</v>
      </c>
      <c r="H37" s="4"/>
      <c r="I37" s="2" t="s">
        <v>9</v>
      </c>
      <c r="J37" s="4"/>
      <c r="K37" s="2"/>
      <c r="L37" s="5">
        <f t="shared" si="0"/>
        <v>0</v>
      </c>
      <c r="M37" s="11"/>
    </row>
    <row r="38" spans="1:13">
      <c r="A38" s="2">
        <v>34</v>
      </c>
      <c r="B38" s="4" t="s">
        <v>78</v>
      </c>
      <c r="C38" s="2" t="s">
        <v>9</v>
      </c>
      <c r="D38" s="2"/>
      <c r="E38" s="2">
        <v>6.45</v>
      </c>
      <c r="F38" s="20">
        <f t="shared" si="1"/>
        <v>0</v>
      </c>
      <c r="G38" s="2">
        <v>72</v>
      </c>
      <c r="H38" s="4"/>
      <c r="I38" s="2" t="s">
        <v>9</v>
      </c>
      <c r="J38" s="4"/>
      <c r="K38" s="2"/>
      <c r="L38" s="5">
        <f t="shared" si="0"/>
        <v>0</v>
      </c>
    </row>
    <row r="39" spans="1:13">
      <c r="A39" s="2">
        <v>35</v>
      </c>
      <c r="B39" s="4" t="s">
        <v>80</v>
      </c>
      <c r="C39" s="2" t="s">
        <v>9</v>
      </c>
      <c r="D39" s="2"/>
      <c r="E39" s="2">
        <v>3.95</v>
      </c>
      <c r="F39" s="20">
        <f t="shared" si="1"/>
        <v>0</v>
      </c>
      <c r="G39" s="2">
        <v>73</v>
      </c>
      <c r="H39" s="4"/>
      <c r="I39" s="2" t="s">
        <v>9</v>
      </c>
      <c r="J39" s="4"/>
      <c r="K39" s="2"/>
      <c r="L39" s="5">
        <f t="shared" si="0"/>
        <v>0</v>
      </c>
    </row>
    <row r="40" spans="1:13" ht="15.75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5+F6+F7+F8+F9+F10+F11+F12+L2+L3+L4++L5+L6+L7+L8+L9</f>
        <v>0</v>
      </c>
    </row>
    <row r="42" spans="1:13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>
  <dimension ref="A1:M42"/>
  <sheetViews>
    <sheetView topLeftCell="A19" workbookViewId="0">
      <selection activeCell="N12" sqref="N12"/>
    </sheetView>
  </sheetViews>
  <sheetFormatPr defaultRowHeight="15"/>
  <cols>
    <col min="1" max="1" width="4.7109375" style="17" customWidth="1"/>
    <col min="2" max="2" width="28.140625" customWidth="1"/>
    <col min="3" max="3" width="6.140625" customWidth="1"/>
    <col min="6" max="6" width="8.5703125" style="17" customWidth="1"/>
    <col min="7" max="7" width="4.85546875" style="17" customWidth="1"/>
    <col min="8" max="8" width="23.7109375" customWidth="1"/>
    <col min="9" max="9" width="6" bestFit="1" customWidth="1"/>
    <col min="10" max="10" width="6" customWidth="1"/>
    <col min="12" max="12" width="8.85546875" style="17"/>
  </cols>
  <sheetData>
    <row r="1" spans="1:12" ht="15.75">
      <c r="A1" s="30"/>
      <c r="B1" s="30"/>
      <c r="C1" s="30"/>
      <c r="D1" s="30" t="str">
        <f>[1]Сводная!D1</f>
        <v>19    12    2015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>
      <c r="A2" s="32" t="s">
        <v>246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</v>
      </c>
      <c r="L2" s="5">
        <f>J2*K2</f>
        <v>0</v>
      </c>
    </row>
    <row r="3" spans="1:12">
      <c r="A3" s="32" t="s">
        <v>247</v>
      </c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2.1</v>
      </c>
      <c r="L3" s="5">
        <f t="shared" ref="L3:L39" si="0">J3*K3</f>
        <v>0</v>
      </c>
    </row>
    <row r="4" spans="1:12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2.25</v>
      </c>
      <c r="L4" s="5">
        <f t="shared" si="0"/>
        <v>0</v>
      </c>
    </row>
    <row r="5" spans="1:12">
      <c r="A5" s="2">
        <v>1</v>
      </c>
      <c r="B5" s="4" t="s">
        <v>248</v>
      </c>
      <c r="C5" s="2" t="s">
        <v>9</v>
      </c>
      <c r="D5" s="2"/>
      <c r="E5" s="5">
        <v>6.55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2</v>
      </c>
      <c r="L5" s="5">
        <f t="shared" si="0"/>
        <v>0</v>
      </c>
    </row>
    <row r="6" spans="1:12">
      <c r="A6" s="2">
        <v>2</v>
      </c>
      <c r="B6" s="4" t="s">
        <v>14</v>
      </c>
      <c r="C6" s="2" t="s">
        <v>9</v>
      </c>
      <c r="D6" s="2"/>
      <c r="E6" s="5">
        <v>4.7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7.7</v>
      </c>
      <c r="L6" s="5">
        <f>J6*K6</f>
        <v>0</v>
      </c>
    </row>
    <row r="7" spans="1:12">
      <c r="A7" s="2">
        <v>3</v>
      </c>
      <c r="B7" s="4" t="s">
        <v>156</v>
      </c>
      <c r="C7" s="2" t="s">
        <v>9</v>
      </c>
      <c r="D7" s="2"/>
      <c r="E7" s="5">
        <v>5.2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2</v>
      </c>
      <c r="L7" s="5">
        <f t="shared" si="0"/>
        <v>0</v>
      </c>
    </row>
    <row r="8" spans="1:12">
      <c r="A8" s="2">
        <v>4</v>
      </c>
      <c r="B8" s="4" t="s">
        <v>18</v>
      </c>
      <c r="C8" s="2" t="s">
        <v>9</v>
      </c>
      <c r="D8" s="2"/>
      <c r="E8" s="5">
        <v>7.05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2.25</v>
      </c>
      <c r="L8" s="5">
        <f t="shared" si="0"/>
        <v>0</v>
      </c>
    </row>
    <row r="9" spans="1:12">
      <c r="A9" s="2">
        <v>5</v>
      </c>
      <c r="B9" s="4" t="s">
        <v>20</v>
      </c>
      <c r="C9" s="2" t="s">
        <v>9</v>
      </c>
      <c r="D9" s="2"/>
      <c r="E9" s="5">
        <v>4.9000000000000004</v>
      </c>
      <c r="F9" s="20">
        <f t="shared" si="1"/>
        <v>0</v>
      </c>
      <c r="G9" s="2">
        <v>43</v>
      </c>
      <c r="H9" s="4" t="s">
        <v>21</v>
      </c>
      <c r="I9" s="2" t="s">
        <v>9</v>
      </c>
      <c r="J9" s="2"/>
      <c r="K9" s="5">
        <v>2.4</v>
      </c>
      <c r="L9" s="5">
        <f t="shared" si="0"/>
        <v>0</v>
      </c>
    </row>
    <row r="10" spans="1:12">
      <c r="A10" s="2">
        <v>6</v>
      </c>
      <c r="B10" s="4" t="s">
        <v>22</v>
      </c>
      <c r="C10" s="2" t="s">
        <v>9</v>
      </c>
      <c r="D10" s="2"/>
      <c r="E10" s="5">
        <v>5.7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>
      <c r="A11" s="2">
        <v>7</v>
      </c>
      <c r="B11" s="4" t="s">
        <v>24</v>
      </c>
      <c r="C11" s="2" t="s">
        <v>9</v>
      </c>
      <c r="D11" s="2"/>
      <c r="E11" s="5">
        <v>5.2</v>
      </c>
      <c r="F11" s="20">
        <f t="shared" si="1"/>
        <v>0</v>
      </c>
      <c r="G11" s="2">
        <v>45</v>
      </c>
      <c r="H11" s="4" t="s">
        <v>249</v>
      </c>
      <c r="I11" s="2" t="s">
        <v>9</v>
      </c>
      <c r="J11" s="2"/>
      <c r="K11" s="5">
        <v>2.4</v>
      </c>
      <c r="L11" s="5">
        <f t="shared" si="0"/>
        <v>0</v>
      </c>
    </row>
    <row r="12" spans="1:12">
      <c r="A12" s="2">
        <v>8</v>
      </c>
      <c r="B12" s="4" t="s">
        <v>250</v>
      </c>
      <c r="C12" s="2" t="s">
        <v>9</v>
      </c>
      <c r="D12" s="2"/>
      <c r="E12" s="5">
        <v>5.2</v>
      </c>
      <c r="F12" s="20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2.1</v>
      </c>
      <c r="L12" s="5">
        <f t="shared" si="0"/>
        <v>0</v>
      </c>
    </row>
    <row r="13" spans="1:12">
      <c r="A13" s="2">
        <v>9</v>
      </c>
      <c r="B13" s="4" t="s">
        <v>162</v>
      </c>
      <c r="C13" s="2" t="s">
        <v>9</v>
      </c>
      <c r="D13" s="2"/>
      <c r="E13" s="5">
        <v>5.35</v>
      </c>
      <c r="F13" s="20">
        <f t="shared" si="1"/>
        <v>0</v>
      </c>
      <c r="G13" s="2">
        <v>47</v>
      </c>
      <c r="H13" s="4" t="s">
        <v>251</v>
      </c>
      <c r="I13" s="2" t="s">
        <v>9</v>
      </c>
      <c r="J13" s="2"/>
      <c r="K13" s="5">
        <v>2.1</v>
      </c>
      <c r="L13" s="5">
        <f t="shared" si="0"/>
        <v>0</v>
      </c>
    </row>
    <row r="14" spans="1:12">
      <c r="A14" s="2">
        <v>10</v>
      </c>
      <c r="B14" s="4" t="s">
        <v>30</v>
      </c>
      <c r="C14" s="2" t="s">
        <v>9</v>
      </c>
      <c r="D14" s="2"/>
      <c r="E14" s="5">
        <v>5.85</v>
      </c>
      <c r="F14" s="20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2.1</v>
      </c>
      <c r="L14" s="5">
        <f t="shared" si="0"/>
        <v>0</v>
      </c>
    </row>
    <row r="15" spans="1:12">
      <c r="A15" s="2">
        <v>11</v>
      </c>
      <c r="B15" s="4" t="s">
        <v>128</v>
      </c>
      <c r="C15" s="2" t="s">
        <v>9</v>
      </c>
      <c r="D15" s="2"/>
      <c r="E15" s="5">
        <v>6.5</v>
      </c>
      <c r="F15" s="20">
        <f t="shared" si="1"/>
        <v>0</v>
      </c>
      <c r="G15" s="2">
        <v>49</v>
      </c>
      <c r="H15" s="4" t="s">
        <v>129</v>
      </c>
      <c r="I15" s="2" t="s">
        <v>9</v>
      </c>
      <c r="J15" s="2"/>
      <c r="K15" s="5">
        <v>7.95</v>
      </c>
      <c r="L15" s="5">
        <f t="shared" si="0"/>
        <v>0</v>
      </c>
    </row>
    <row r="16" spans="1:12">
      <c r="A16" s="2">
        <v>12</v>
      </c>
      <c r="B16" s="4" t="s">
        <v>34</v>
      </c>
      <c r="C16" s="2" t="s">
        <v>9</v>
      </c>
      <c r="D16" s="2"/>
      <c r="E16" s="5">
        <v>6</v>
      </c>
      <c r="F16" s="20">
        <f t="shared" si="1"/>
        <v>0</v>
      </c>
      <c r="G16" s="2">
        <v>50</v>
      </c>
      <c r="H16" s="4" t="s">
        <v>35</v>
      </c>
      <c r="I16" s="2" t="s">
        <v>9</v>
      </c>
      <c r="J16" s="2"/>
      <c r="K16" s="5">
        <v>6.45</v>
      </c>
      <c r="L16" s="5">
        <f t="shared" si="0"/>
        <v>0</v>
      </c>
    </row>
    <row r="17" spans="1:12">
      <c r="A17" s="2">
        <v>13</v>
      </c>
      <c r="B17" s="4" t="s">
        <v>36</v>
      </c>
      <c r="C17" s="2" t="s">
        <v>9</v>
      </c>
      <c r="D17" s="2"/>
      <c r="E17" s="5">
        <v>6.5</v>
      </c>
      <c r="F17" s="20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6.35</v>
      </c>
      <c r="L17" s="5">
        <f t="shared" si="0"/>
        <v>0</v>
      </c>
    </row>
    <row r="18" spans="1:12">
      <c r="A18" s="2">
        <v>14</v>
      </c>
      <c r="B18" s="4" t="s">
        <v>38</v>
      </c>
      <c r="C18" s="2" t="s">
        <v>9</v>
      </c>
      <c r="D18" s="2"/>
      <c r="E18" s="5">
        <v>4.8</v>
      </c>
      <c r="F18" s="20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2.9</v>
      </c>
      <c r="L18" s="5">
        <f t="shared" si="0"/>
        <v>0</v>
      </c>
    </row>
    <row r="19" spans="1:12">
      <c r="A19" s="2">
        <v>15</v>
      </c>
      <c r="B19" s="4" t="s">
        <v>40</v>
      </c>
      <c r="C19" s="2" t="s">
        <v>9</v>
      </c>
      <c r="D19" s="2"/>
      <c r="E19" s="5">
        <v>5.3</v>
      </c>
      <c r="F19" s="20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11</v>
      </c>
      <c r="L19" s="5">
        <f t="shared" si="0"/>
        <v>0</v>
      </c>
    </row>
    <row r="20" spans="1:12">
      <c r="A20" s="2">
        <v>16</v>
      </c>
      <c r="B20" s="4" t="s">
        <v>42</v>
      </c>
      <c r="C20" s="2" t="s">
        <v>9</v>
      </c>
      <c r="D20" s="2"/>
      <c r="E20" s="5">
        <v>2.35</v>
      </c>
      <c r="F20" s="20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22</v>
      </c>
      <c r="L20" s="5">
        <f t="shared" si="0"/>
        <v>0</v>
      </c>
    </row>
    <row r="21" spans="1:12">
      <c r="A21" s="2">
        <v>17</v>
      </c>
      <c r="B21" s="4" t="s">
        <v>44</v>
      </c>
      <c r="C21" s="2" t="s">
        <v>9</v>
      </c>
      <c r="D21" s="2"/>
      <c r="E21" s="5">
        <v>1.3</v>
      </c>
      <c r="F21" s="20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34.5</v>
      </c>
      <c r="L21" s="5">
        <f t="shared" si="0"/>
        <v>0</v>
      </c>
    </row>
    <row r="22" spans="1:12">
      <c r="A22" s="2">
        <v>18</v>
      </c>
      <c r="B22" s="4" t="s">
        <v>46</v>
      </c>
      <c r="C22" s="2" t="s">
        <v>9</v>
      </c>
      <c r="D22" s="2"/>
      <c r="E22" s="5">
        <v>5.7</v>
      </c>
      <c r="F22" s="20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18.5</v>
      </c>
      <c r="L22" s="5">
        <f t="shared" si="0"/>
        <v>0</v>
      </c>
    </row>
    <row r="23" spans="1:12">
      <c r="A23" s="2">
        <v>19</v>
      </c>
      <c r="B23" s="4" t="s">
        <v>48</v>
      </c>
      <c r="C23" s="2" t="s">
        <v>9</v>
      </c>
      <c r="D23" s="2"/>
      <c r="E23" s="5">
        <v>6.45</v>
      </c>
      <c r="F23" s="20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12.5</v>
      </c>
      <c r="L23" s="5">
        <f t="shared" si="0"/>
        <v>0</v>
      </c>
    </row>
    <row r="24" spans="1:12">
      <c r="A24" s="2">
        <v>20</v>
      </c>
      <c r="B24" s="4" t="s">
        <v>50</v>
      </c>
      <c r="C24" s="2" t="s">
        <v>9</v>
      </c>
      <c r="D24" s="2"/>
      <c r="E24" s="5">
        <v>6</v>
      </c>
      <c r="F24" s="20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9</v>
      </c>
      <c r="L24" s="5">
        <f t="shared" si="0"/>
        <v>0</v>
      </c>
    </row>
    <row r="25" spans="1:12">
      <c r="A25" s="2">
        <v>21</v>
      </c>
      <c r="B25" s="4" t="s">
        <v>96</v>
      </c>
      <c r="C25" s="2" t="s">
        <v>9</v>
      </c>
      <c r="D25" s="2"/>
      <c r="E25" s="5">
        <v>6.8</v>
      </c>
      <c r="F25" s="20">
        <f t="shared" si="1"/>
        <v>0</v>
      </c>
      <c r="G25" s="2">
        <v>59</v>
      </c>
      <c r="H25" s="4" t="s">
        <v>252</v>
      </c>
      <c r="I25" s="2" t="s">
        <v>9</v>
      </c>
      <c r="J25" s="4"/>
      <c r="K25" s="2">
        <v>9</v>
      </c>
      <c r="L25" s="5">
        <f t="shared" si="0"/>
        <v>0</v>
      </c>
    </row>
    <row r="26" spans="1:12">
      <c r="A26" s="2">
        <v>22</v>
      </c>
      <c r="B26" s="4" t="s">
        <v>54</v>
      </c>
      <c r="C26" s="2" t="s">
        <v>9</v>
      </c>
      <c r="D26" s="2"/>
      <c r="E26" s="5">
        <v>5.4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5.95</v>
      </c>
      <c r="L26" s="5">
        <f t="shared" si="0"/>
        <v>0</v>
      </c>
    </row>
    <row r="27" spans="1:12">
      <c r="A27" s="2">
        <v>23</v>
      </c>
      <c r="B27" s="4" t="s">
        <v>56</v>
      </c>
      <c r="C27" s="2" t="s">
        <v>9</v>
      </c>
      <c r="D27" s="2"/>
      <c r="E27" s="5">
        <v>4.45</v>
      </c>
      <c r="F27" s="20">
        <f t="shared" si="1"/>
        <v>0</v>
      </c>
      <c r="G27" s="2">
        <v>61</v>
      </c>
      <c r="H27" s="4" t="s">
        <v>253</v>
      </c>
      <c r="I27" s="2" t="s">
        <v>9</v>
      </c>
      <c r="J27" s="4"/>
      <c r="K27" s="2">
        <v>3.5</v>
      </c>
      <c r="L27" s="5">
        <f t="shared" si="0"/>
        <v>0</v>
      </c>
    </row>
    <row r="28" spans="1:12">
      <c r="A28" s="2">
        <v>24</v>
      </c>
      <c r="B28" s="4" t="s">
        <v>58</v>
      </c>
      <c r="C28" s="2" t="s">
        <v>9</v>
      </c>
      <c r="D28" s="2"/>
      <c r="E28" s="5">
        <v>4.95</v>
      </c>
      <c r="F28" s="20">
        <f t="shared" si="1"/>
        <v>0</v>
      </c>
      <c r="G28" s="2">
        <v>62</v>
      </c>
      <c r="H28" s="4" t="s">
        <v>254</v>
      </c>
      <c r="I28" s="2" t="s">
        <v>9</v>
      </c>
      <c r="J28" s="4"/>
      <c r="K28" s="2">
        <v>7.7</v>
      </c>
      <c r="L28" s="5">
        <f t="shared" si="0"/>
        <v>0</v>
      </c>
    </row>
    <row r="29" spans="1:12">
      <c r="A29" s="2">
        <v>25</v>
      </c>
      <c r="B29" s="4" t="s">
        <v>60</v>
      </c>
      <c r="C29" s="2" t="s">
        <v>9</v>
      </c>
      <c r="D29" s="2"/>
      <c r="E29" s="5">
        <v>5.7</v>
      </c>
      <c r="F29" s="20">
        <f t="shared" si="1"/>
        <v>0</v>
      </c>
      <c r="G29" s="2">
        <v>63</v>
      </c>
      <c r="H29" s="4" t="s">
        <v>255</v>
      </c>
      <c r="I29" s="2" t="s">
        <v>9</v>
      </c>
      <c r="J29" s="4"/>
      <c r="K29" s="2">
        <v>5.9</v>
      </c>
      <c r="L29" s="5">
        <f t="shared" si="0"/>
        <v>0</v>
      </c>
    </row>
    <row r="30" spans="1:12">
      <c r="A30" s="2">
        <v>26</v>
      </c>
      <c r="B30" s="4" t="s">
        <v>62</v>
      </c>
      <c r="C30" s="2" t="s">
        <v>9</v>
      </c>
      <c r="D30" s="2"/>
      <c r="E30" s="5">
        <v>4.5999999999999996</v>
      </c>
      <c r="F30" s="5">
        <f t="shared" si="1"/>
        <v>0</v>
      </c>
      <c r="G30" s="2">
        <v>64</v>
      </c>
      <c r="H30" s="4" t="s">
        <v>256</v>
      </c>
      <c r="I30" s="2" t="s">
        <v>9</v>
      </c>
      <c r="J30" s="4"/>
      <c r="K30" s="2">
        <v>3.5</v>
      </c>
      <c r="L30" s="5">
        <f t="shared" si="0"/>
        <v>0</v>
      </c>
    </row>
    <row r="31" spans="1:12">
      <c r="A31" s="2">
        <v>27</v>
      </c>
      <c r="B31" s="4" t="s">
        <v>102</v>
      </c>
      <c r="C31" s="2" t="s">
        <v>9</v>
      </c>
      <c r="D31" s="2"/>
      <c r="E31" s="5">
        <v>5.95</v>
      </c>
      <c r="F31" s="5">
        <f t="shared" si="1"/>
        <v>0</v>
      </c>
      <c r="G31" s="2">
        <v>65</v>
      </c>
      <c r="H31" s="4" t="s">
        <v>257</v>
      </c>
      <c r="I31" s="2" t="s">
        <v>9</v>
      </c>
      <c r="J31" s="4"/>
      <c r="K31" s="2">
        <v>6.35</v>
      </c>
      <c r="L31" s="5">
        <f t="shared" si="0"/>
        <v>0</v>
      </c>
    </row>
    <row r="32" spans="1:12">
      <c r="A32" s="2">
        <v>28</v>
      </c>
      <c r="B32" s="4" t="s">
        <v>104</v>
      </c>
      <c r="C32" s="2" t="s">
        <v>9</v>
      </c>
      <c r="D32" s="2"/>
      <c r="E32" s="5">
        <v>7.7</v>
      </c>
      <c r="F32" s="20">
        <f t="shared" si="1"/>
        <v>0</v>
      </c>
      <c r="G32" s="2">
        <v>66</v>
      </c>
      <c r="H32" s="4" t="s">
        <v>258</v>
      </c>
      <c r="I32" s="2" t="s">
        <v>9</v>
      </c>
      <c r="J32" s="4"/>
      <c r="K32" s="2">
        <v>7.7</v>
      </c>
      <c r="L32" s="5">
        <f t="shared" si="0"/>
        <v>0</v>
      </c>
    </row>
    <row r="33" spans="1:13">
      <c r="A33" s="2">
        <v>29</v>
      </c>
      <c r="B33" s="4" t="s">
        <v>68</v>
      </c>
      <c r="C33" s="2" t="s">
        <v>9</v>
      </c>
      <c r="D33" s="2"/>
      <c r="E33" s="5">
        <v>5.5</v>
      </c>
      <c r="F33" s="5">
        <f t="shared" si="1"/>
        <v>0</v>
      </c>
      <c r="G33" s="2">
        <v>67</v>
      </c>
      <c r="H33" s="4" t="s">
        <v>259</v>
      </c>
      <c r="I33" s="2" t="s">
        <v>9</v>
      </c>
      <c r="J33" s="4"/>
      <c r="K33" s="2">
        <v>3.65</v>
      </c>
      <c r="L33" s="5">
        <f t="shared" si="0"/>
        <v>0</v>
      </c>
    </row>
    <row r="34" spans="1:13">
      <c r="A34" s="2">
        <v>30</v>
      </c>
      <c r="B34" s="4" t="s">
        <v>70</v>
      </c>
      <c r="C34" s="2" t="s">
        <v>9</v>
      </c>
      <c r="D34" s="2"/>
      <c r="E34" s="5">
        <v>6</v>
      </c>
      <c r="F34" s="5">
        <f t="shared" si="1"/>
        <v>0</v>
      </c>
      <c r="G34" s="2">
        <v>68</v>
      </c>
      <c r="H34" s="4"/>
      <c r="I34" s="2" t="s">
        <v>9</v>
      </c>
      <c r="J34" s="4"/>
      <c r="K34" s="2"/>
      <c r="L34" s="5">
        <f t="shared" si="0"/>
        <v>0</v>
      </c>
      <c r="M34" s="10"/>
    </row>
    <row r="35" spans="1:13">
      <c r="A35" s="2">
        <v>31</v>
      </c>
      <c r="B35" s="4" t="s">
        <v>72</v>
      </c>
      <c r="C35" s="2" t="s">
        <v>9</v>
      </c>
      <c r="D35" s="2"/>
      <c r="E35" s="5">
        <v>5.5</v>
      </c>
      <c r="F35" s="20">
        <f t="shared" si="1"/>
        <v>0</v>
      </c>
      <c r="G35" s="2">
        <v>69</v>
      </c>
      <c r="H35" s="4"/>
      <c r="I35" s="2" t="s">
        <v>9</v>
      </c>
      <c r="J35" s="4"/>
      <c r="K35" s="2"/>
      <c r="L35" s="5">
        <f t="shared" si="0"/>
        <v>0</v>
      </c>
    </row>
    <row r="36" spans="1:13">
      <c r="A36" s="2">
        <v>32</v>
      </c>
      <c r="B36" s="4" t="s">
        <v>74</v>
      </c>
      <c r="C36" s="2" t="s">
        <v>9</v>
      </c>
      <c r="D36" s="2"/>
      <c r="E36" s="2">
        <v>2.35</v>
      </c>
      <c r="F36" s="20">
        <f t="shared" si="1"/>
        <v>0</v>
      </c>
      <c r="G36" s="2">
        <v>70</v>
      </c>
      <c r="H36" s="4"/>
      <c r="I36" s="2" t="s">
        <v>9</v>
      </c>
      <c r="J36" s="4"/>
      <c r="K36" s="2"/>
      <c r="L36" s="5">
        <f t="shared" si="0"/>
        <v>0</v>
      </c>
    </row>
    <row r="37" spans="1:13">
      <c r="A37" s="2">
        <v>33</v>
      </c>
      <c r="B37" s="4" t="s">
        <v>76</v>
      </c>
      <c r="C37" s="2" t="s">
        <v>9</v>
      </c>
      <c r="D37" s="2"/>
      <c r="E37" s="2">
        <v>3.4</v>
      </c>
      <c r="F37" s="20">
        <f t="shared" si="1"/>
        <v>0</v>
      </c>
      <c r="G37" s="2">
        <v>71</v>
      </c>
      <c r="H37" s="4"/>
      <c r="I37" s="2" t="s">
        <v>9</v>
      </c>
      <c r="J37" s="4"/>
      <c r="K37" s="2"/>
      <c r="L37" s="5">
        <f t="shared" si="0"/>
        <v>0</v>
      </c>
      <c r="M37" s="11"/>
    </row>
    <row r="38" spans="1:13">
      <c r="A38" s="2">
        <v>34</v>
      </c>
      <c r="B38" s="4" t="s">
        <v>78</v>
      </c>
      <c r="C38" s="2" t="s">
        <v>9</v>
      </c>
      <c r="D38" s="2"/>
      <c r="E38" s="2">
        <v>6.45</v>
      </c>
      <c r="F38" s="20">
        <f t="shared" si="1"/>
        <v>0</v>
      </c>
      <c r="G38" s="2">
        <v>72</v>
      </c>
      <c r="H38" s="4"/>
      <c r="I38" s="2" t="s">
        <v>9</v>
      </c>
      <c r="J38" s="4"/>
      <c r="K38" s="2"/>
      <c r="L38" s="5">
        <f t="shared" si="0"/>
        <v>0</v>
      </c>
    </row>
    <row r="39" spans="1:13">
      <c r="A39" s="2">
        <v>35</v>
      </c>
      <c r="B39" s="4" t="s">
        <v>80</v>
      </c>
      <c r="C39" s="2" t="s">
        <v>9</v>
      </c>
      <c r="D39" s="2"/>
      <c r="E39" s="2">
        <v>3.95</v>
      </c>
      <c r="F39" s="20">
        <f t="shared" si="1"/>
        <v>0</v>
      </c>
      <c r="G39" s="2">
        <v>73</v>
      </c>
      <c r="H39" s="4"/>
      <c r="I39" s="2" t="s">
        <v>9</v>
      </c>
      <c r="J39" s="4"/>
      <c r="K39" s="2"/>
      <c r="L39" s="5">
        <f t="shared" si="0"/>
        <v>0</v>
      </c>
    </row>
    <row r="40" spans="1:13" ht="15.75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5+F6+F7+F8+F9+F10+F11+F12+L2+L3+L4++L5+L6+L7+L8+L9</f>
        <v>0</v>
      </c>
    </row>
    <row r="42" spans="1:13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>
  <dimension ref="A1:M42"/>
  <sheetViews>
    <sheetView topLeftCell="A19" workbookViewId="0">
      <selection activeCell="N12" sqref="N12"/>
    </sheetView>
  </sheetViews>
  <sheetFormatPr defaultRowHeight="15"/>
  <cols>
    <col min="1" max="1" width="4.7109375" style="17" customWidth="1"/>
    <col min="2" max="2" width="28.140625" customWidth="1"/>
    <col min="3" max="3" width="6.140625" customWidth="1"/>
    <col min="6" max="6" width="8.5703125" style="17" customWidth="1"/>
    <col min="7" max="7" width="4.85546875" style="17" customWidth="1"/>
    <col min="8" max="8" width="23.7109375" customWidth="1"/>
    <col min="9" max="9" width="6" bestFit="1" customWidth="1"/>
    <col min="10" max="10" width="6" customWidth="1"/>
    <col min="12" max="12" width="8.85546875" style="17"/>
  </cols>
  <sheetData>
    <row r="1" spans="1:12" ht="15.75">
      <c r="A1" s="30"/>
      <c r="B1" s="30"/>
      <c r="C1" s="30"/>
      <c r="D1" s="30" t="str">
        <f>[1]Сводная!D1</f>
        <v>19    12    2015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>
      <c r="A2" s="32" t="s">
        <v>246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</v>
      </c>
      <c r="L2" s="5">
        <f>J2*K2</f>
        <v>0</v>
      </c>
    </row>
    <row r="3" spans="1:12">
      <c r="A3" s="32" t="s">
        <v>247</v>
      </c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2.1</v>
      </c>
      <c r="L3" s="5">
        <f t="shared" ref="L3:L39" si="0">J3*K3</f>
        <v>0</v>
      </c>
    </row>
    <row r="4" spans="1:12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2.25</v>
      </c>
      <c r="L4" s="5">
        <f t="shared" si="0"/>
        <v>0</v>
      </c>
    </row>
    <row r="5" spans="1:12">
      <c r="A5" s="2">
        <v>1</v>
      </c>
      <c r="B5" s="4" t="s">
        <v>248</v>
      </c>
      <c r="C5" s="2" t="s">
        <v>9</v>
      </c>
      <c r="D5" s="2"/>
      <c r="E5" s="5">
        <v>6.55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2</v>
      </c>
      <c r="L5" s="5">
        <f t="shared" si="0"/>
        <v>0</v>
      </c>
    </row>
    <row r="6" spans="1:12">
      <c r="A6" s="2">
        <v>2</v>
      </c>
      <c r="B6" s="4" t="s">
        <v>14</v>
      </c>
      <c r="C6" s="2" t="s">
        <v>9</v>
      </c>
      <c r="D6" s="2"/>
      <c r="E6" s="5">
        <v>4.7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7.7</v>
      </c>
      <c r="L6" s="5">
        <f>J6*K6</f>
        <v>0</v>
      </c>
    </row>
    <row r="7" spans="1:12">
      <c r="A7" s="2">
        <v>3</v>
      </c>
      <c r="B7" s="4" t="s">
        <v>156</v>
      </c>
      <c r="C7" s="2" t="s">
        <v>9</v>
      </c>
      <c r="D7" s="2"/>
      <c r="E7" s="5">
        <v>5.2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2</v>
      </c>
      <c r="L7" s="5">
        <f t="shared" si="0"/>
        <v>0</v>
      </c>
    </row>
    <row r="8" spans="1:12">
      <c r="A8" s="2">
        <v>4</v>
      </c>
      <c r="B8" s="4" t="s">
        <v>18</v>
      </c>
      <c r="C8" s="2" t="s">
        <v>9</v>
      </c>
      <c r="D8" s="2"/>
      <c r="E8" s="5">
        <v>7.05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2.25</v>
      </c>
      <c r="L8" s="5">
        <f t="shared" si="0"/>
        <v>0</v>
      </c>
    </row>
    <row r="9" spans="1:12">
      <c r="A9" s="2">
        <v>5</v>
      </c>
      <c r="B9" s="4" t="s">
        <v>20</v>
      </c>
      <c r="C9" s="2" t="s">
        <v>9</v>
      </c>
      <c r="D9" s="2"/>
      <c r="E9" s="5">
        <v>4.9000000000000004</v>
      </c>
      <c r="F9" s="20">
        <f t="shared" si="1"/>
        <v>0</v>
      </c>
      <c r="G9" s="2">
        <v>43</v>
      </c>
      <c r="H9" s="4" t="s">
        <v>21</v>
      </c>
      <c r="I9" s="2" t="s">
        <v>9</v>
      </c>
      <c r="J9" s="2"/>
      <c r="K9" s="5">
        <v>2.4</v>
      </c>
      <c r="L9" s="5">
        <f t="shared" si="0"/>
        <v>0</v>
      </c>
    </row>
    <row r="10" spans="1:12">
      <c r="A10" s="2">
        <v>6</v>
      </c>
      <c r="B10" s="4" t="s">
        <v>22</v>
      </c>
      <c r="C10" s="2" t="s">
        <v>9</v>
      </c>
      <c r="D10" s="2"/>
      <c r="E10" s="5">
        <v>5.7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>
      <c r="A11" s="2">
        <v>7</v>
      </c>
      <c r="B11" s="4" t="s">
        <v>24</v>
      </c>
      <c r="C11" s="2" t="s">
        <v>9</v>
      </c>
      <c r="D11" s="2"/>
      <c r="E11" s="5">
        <v>5.2</v>
      </c>
      <c r="F11" s="20">
        <f t="shared" si="1"/>
        <v>0</v>
      </c>
      <c r="G11" s="2">
        <v>45</v>
      </c>
      <c r="H11" s="4" t="s">
        <v>249</v>
      </c>
      <c r="I11" s="2" t="s">
        <v>9</v>
      </c>
      <c r="J11" s="2"/>
      <c r="K11" s="5">
        <v>2.4</v>
      </c>
      <c r="L11" s="5">
        <f t="shared" si="0"/>
        <v>0</v>
      </c>
    </row>
    <row r="12" spans="1:12">
      <c r="A12" s="2">
        <v>8</v>
      </c>
      <c r="B12" s="4" t="s">
        <v>250</v>
      </c>
      <c r="C12" s="2" t="s">
        <v>9</v>
      </c>
      <c r="D12" s="2"/>
      <c r="E12" s="5">
        <v>5.2</v>
      </c>
      <c r="F12" s="20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2.1</v>
      </c>
      <c r="L12" s="5">
        <f t="shared" si="0"/>
        <v>0</v>
      </c>
    </row>
    <row r="13" spans="1:12">
      <c r="A13" s="2">
        <v>9</v>
      </c>
      <c r="B13" s="4" t="s">
        <v>162</v>
      </c>
      <c r="C13" s="2" t="s">
        <v>9</v>
      </c>
      <c r="D13" s="2"/>
      <c r="E13" s="5">
        <v>5.35</v>
      </c>
      <c r="F13" s="20">
        <f t="shared" si="1"/>
        <v>0</v>
      </c>
      <c r="G13" s="2">
        <v>47</v>
      </c>
      <c r="H13" s="4" t="s">
        <v>251</v>
      </c>
      <c r="I13" s="2" t="s">
        <v>9</v>
      </c>
      <c r="J13" s="2"/>
      <c r="K13" s="5">
        <v>2.1</v>
      </c>
      <c r="L13" s="5">
        <f t="shared" si="0"/>
        <v>0</v>
      </c>
    </row>
    <row r="14" spans="1:12">
      <c r="A14" s="2">
        <v>10</v>
      </c>
      <c r="B14" s="4" t="s">
        <v>30</v>
      </c>
      <c r="C14" s="2" t="s">
        <v>9</v>
      </c>
      <c r="D14" s="2"/>
      <c r="E14" s="5">
        <v>5.85</v>
      </c>
      <c r="F14" s="20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2.1</v>
      </c>
      <c r="L14" s="5">
        <f t="shared" si="0"/>
        <v>0</v>
      </c>
    </row>
    <row r="15" spans="1:12">
      <c r="A15" s="2">
        <v>11</v>
      </c>
      <c r="B15" s="4" t="s">
        <v>128</v>
      </c>
      <c r="C15" s="2" t="s">
        <v>9</v>
      </c>
      <c r="D15" s="2"/>
      <c r="E15" s="5">
        <v>6.5</v>
      </c>
      <c r="F15" s="20">
        <f t="shared" si="1"/>
        <v>0</v>
      </c>
      <c r="G15" s="2">
        <v>49</v>
      </c>
      <c r="H15" s="4" t="s">
        <v>129</v>
      </c>
      <c r="I15" s="2" t="s">
        <v>9</v>
      </c>
      <c r="J15" s="2"/>
      <c r="K15" s="5">
        <v>7.95</v>
      </c>
      <c r="L15" s="5">
        <f t="shared" si="0"/>
        <v>0</v>
      </c>
    </row>
    <row r="16" spans="1:12">
      <c r="A16" s="2">
        <v>12</v>
      </c>
      <c r="B16" s="4" t="s">
        <v>34</v>
      </c>
      <c r="C16" s="2" t="s">
        <v>9</v>
      </c>
      <c r="D16" s="2"/>
      <c r="E16" s="5">
        <v>6</v>
      </c>
      <c r="F16" s="20">
        <f t="shared" si="1"/>
        <v>0</v>
      </c>
      <c r="G16" s="2">
        <v>50</v>
      </c>
      <c r="H16" s="4" t="s">
        <v>35</v>
      </c>
      <c r="I16" s="2" t="s">
        <v>9</v>
      </c>
      <c r="J16" s="2"/>
      <c r="K16" s="5">
        <v>6.45</v>
      </c>
      <c r="L16" s="5">
        <f t="shared" si="0"/>
        <v>0</v>
      </c>
    </row>
    <row r="17" spans="1:12">
      <c r="A17" s="2">
        <v>13</v>
      </c>
      <c r="B17" s="4" t="s">
        <v>36</v>
      </c>
      <c r="C17" s="2" t="s">
        <v>9</v>
      </c>
      <c r="D17" s="2"/>
      <c r="E17" s="5">
        <v>6.5</v>
      </c>
      <c r="F17" s="20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6.35</v>
      </c>
      <c r="L17" s="5">
        <f t="shared" si="0"/>
        <v>0</v>
      </c>
    </row>
    <row r="18" spans="1:12">
      <c r="A18" s="2">
        <v>14</v>
      </c>
      <c r="B18" s="4" t="s">
        <v>38</v>
      </c>
      <c r="C18" s="2" t="s">
        <v>9</v>
      </c>
      <c r="D18" s="2"/>
      <c r="E18" s="5">
        <v>4.8</v>
      </c>
      <c r="F18" s="20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2.9</v>
      </c>
      <c r="L18" s="5">
        <f t="shared" si="0"/>
        <v>0</v>
      </c>
    </row>
    <row r="19" spans="1:12">
      <c r="A19" s="2">
        <v>15</v>
      </c>
      <c r="B19" s="4" t="s">
        <v>40</v>
      </c>
      <c r="C19" s="2" t="s">
        <v>9</v>
      </c>
      <c r="D19" s="2"/>
      <c r="E19" s="5">
        <v>5.3</v>
      </c>
      <c r="F19" s="20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11</v>
      </c>
      <c r="L19" s="5">
        <f t="shared" si="0"/>
        <v>0</v>
      </c>
    </row>
    <row r="20" spans="1:12">
      <c r="A20" s="2">
        <v>16</v>
      </c>
      <c r="B20" s="4" t="s">
        <v>42</v>
      </c>
      <c r="C20" s="2" t="s">
        <v>9</v>
      </c>
      <c r="D20" s="2"/>
      <c r="E20" s="5">
        <v>2.35</v>
      </c>
      <c r="F20" s="20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22</v>
      </c>
      <c r="L20" s="5">
        <f t="shared" si="0"/>
        <v>0</v>
      </c>
    </row>
    <row r="21" spans="1:12">
      <c r="A21" s="2">
        <v>17</v>
      </c>
      <c r="B21" s="4" t="s">
        <v>44</v>
      </c>
      <c r="C21" s="2" t="s">
        <v>9</v>
      </c>
      <c r="D21" s="2"/>
      <c r="E21" s="5">
        <v>1.3</v>
      </c>
      <c r="F21" s="20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34.5</v>
      </c>
      <c r="L21" s="5">
        <f t="shared" si="0"/>
        <v>0</v>
      </c>
    </row>
    <row r="22" spans="1:12">
      <c r="A22" s="2">
        <v>18</v>
      </c>
      <c r="B22" s="4" t="s">
        <v>46</v>
      </c>
      <c r="C22" s="2" t="s">
        <v>9</v>
      </c>
      <c r="D22" s="2"/>
      <c r="E22" s="5">
        <v>5.7</v>
      </c>
      <c r="F22" s="20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18.5</v>
      </c>
      <c r="L22" s="5">
        <f t="shared" si="0"/>
        <v>0</v>
      </c>
    </row>
    <row r="23" spans="1:12">
      <c r="A23" s="2">
        <v>19</v>
      </c>
      <c r="B23" s="4" t="s">
        <v>48</v>
      </c>
      <c r="C23" s="2" t="s">
        <v>9</v>
      </c>
      <c r="D23" s="2"/>
      <c r="E23" s="5">
        <v>6.45</v>
      </c>
      <c r="F23" s="20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12.5</v>
      </c>
      <c r="L23" s="5">
        <f t="shared" si="0"/>
        <v>0</v>
      </c>
    </row>
    <row r="24" spans="1:12">
      <c r="A24" s="2">
        <v>20</v>
      </c>
      <c r="B24" s="4" t="s">
        <v>50</v>
      </c>
      <c r="C24" s="2" t="s">
        <v>9</v>
      </c>
      <c r="D24" s="2"/>
      <c r="E24" s="5">
        <v>6</v>
      </c>
      <c r="F24" s="20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9</v>
      </c>
      <c r="L24" s="5">
        <f t="shared" si="0"/>
        <v>0</v>
      </c>
    </row>
    <row r="25" spans="1:12">
      <c r="A25" s="2">
        <v>21</v>
      </c>
      <c r="B25" s="4" t="s">
        <v>96</v>
      </c>
      <c r="C25" s="2" t="s">
        <v>9</v>
      </c>
      <c r="D25" s="2"/>
      <c r="E25" s="5">
        <v>6.8</v>
      </c>
      <c r="F25" s="20">
        <f t="shared" si="1"/>
        <v>0</v>
      </c>
      <c r="G25" s="2">
        <v>59</v>
      </c>
      <c r="H25" s="4" t="s">
        <v>252</v>
      </c>
      <c r="I25" s="2" t="s">
        <v>9</v>
      </c>
      <c r="J25" s="4"/>
      <c r="K25" s="2">
        <v>9</v>
      </c>
      <c r="L25" s="5">
        <f t="shared" si="0"/>
        <v>0</v>
      </c>
    </row>
    <row r="26" spans="1:12">
      <c r="A26" s="2">
        <v>22</v>
      </c>
      <c r="B26" s="4" t="s">
        <v>54</v>
      </c>
      <c r="C26" s="2" t="s">
        <v>9</v>
      </c>
      <c r="D26" s="2"/>
      <c r="E26" s="5">
        <v>5.4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5.95</v>
      </c>
      <c r="L26" s="5">
        <f t="shared" si="0"/>
        <v>0</v>
      </c>
    </row>
    <row r="27" spans="1:12">
      <c r="A27" s="2">
        <v>23</v>
      </c>
      <c r="B27" s="4" t="s">
        <v>56</v>
      </c>
      <c r="C27" s="2" t="s">
        <v>9</v>
      </c>
      <c r="D27" s="2"/>
      <c r="E27" s="5">
        <v>4.45</v>
      </c>
      <c r="F27" s="20">
        <f t="shared" si="1"/>
        <v>0</v>
      </c>
      <c r="G27" s="2">
        <v>61</v>
      </c>
      <c r="H27" s="4" t="s">
        <v>253</v>
      </c>
      <c r="I27" s="2" t="s">
        <v>9</v>
      </c>
      <c r="J27" s="4"/>
      <c r="K27" s="2">
        <v>3.5</v>
      </c>
      <c r="L27" s="5">
        <f t="shared" si="0"/>
        <v>0</v>
      </c>
    </row>
    <row r="28" spans="1:12">
      <c r="A28" s="2">
        <v>24</v>
      </c>
      <c r="B28" s="4" t="s">
        <v>58</v>
      </c>
      <c r="C28" s="2" t="s">
        <v>9</v>
      </c>
      <c r="D28" s="2"/>
      <c r="E28" s="5">
        <v>4.95</v>
      </c>
      <c r="F28" s="20">
        <f t="shared" si="1"/>
        <v>0</v>
      </c>
      <c r="G28" s="2">
        <v>62</v>
      </c>
      <c r="H28" s="4" t="s">
        <v>254</v>
      </c>
      <c r="I28" s="2" t="s">
        <v>9</v>
      </c>
      <c r="J28" s="4"/>
      <c r="K28" s="2">
        <v>7.7</v>
      </c>
      <c r="L28" s="5">
        <f t="shared" si="0"/>
        <v>0</v>
      </c>
    </row>
    <row r="29" spans="1:12">
      <c r="A29" s="2">
        <v>25</v>
      </c>
      <c r="B29" s="4" t="s">
        <v>60</v>
      </c>
      <c r="C29" s="2" t="s">
        <v>9</v>
      </c>
      <c r="D29" s="2"/>
      <c r="E29" s="5">
        <v>5.7</v>
      </c>
      <c r="F29" s="20">
        <f t="shared" si="1"/>
        <v>0</v>
      </c>
      <c r="G29" s="2">
        <v>63</v>
      </c>
      <c r="H29" s="4" t="s">
        <v>255</v>
      </c>
      <c r="I29" s="2" t="s">
        <v>9</v>
      </c>
      <c r="J29" s="4"/>
      <c r="K29" s="2">
        <v>5.9</v>
      </c>
      <c r="L29" s="5">
        <f t="shared" si="0"/>
        <v>0</v>
      </c>
    </row>
    <row r="30" spans="1:12">
      <c r="A30" s="2">
        <v>26</v>
      </c>
      <c r="B30" s="4" t="s">
        <v>62</v>
      </c>
      <c r="C30" s="2" t="s">
        <v>9</v>
      </c>
      <c r="D30" s="2"/>
      <c r="E30" s="5">
        <v>4.5999999999999996</v>
      </c>
      <c r="F30" s="5">
        <f t="shared" si="1"/>
        <v>0</v>
      </c>
      <c r="G30" s="2">
        <v>64</v>
      </c>
      <c r="H30" s="4" t="s">
        <v>256</v>
      </c>
      <c r="I30" s="2" t="s">
        <v>9</v>
      </c>
      <c r="J30" s="4"/>
      <c r="K30" s="2">
        <v>3.5</v>
      </c>
      <c r="L30" s="5">
        <f t="shared" si="0"/>
        <v>0</v>
      </c>
    </row>
    <row r="31" spans="1:12">
      <c r="A31" s="2">
        <v>27</v>
      </c>
      <c r="B31" s="4" t="s">
        <v>102</v>
      </c>
      <c r="C31" s="2" t="s">
        <v>9</v>
      </c>
      <c r="D31" s="2"/>
      <c r="E31" s="5">
        <v>5.95</v>
      </c>
      <c r="F31" s="5">
        <f t="shared" si="1"/>
        <v>0</v>
      </c>
      <c r="G31" s="2">
        <v>65</v>
      </c>
      <c r="H31" s="4" t="s">
        <v>257</v>
      </c>
      <c r="I31" s="2" t="s">
        <v>9</v>
      </c>
      <c r="J31" s="4"/>
      <c r="K31" s="2">
        <v>6.35</v>
      </c>
      <c r="L31" s="5">
        <f t="shared" si="0"/>
        <v>0</v>
      </c>
    </row>
    <row r="32" spans="1:12">
      <c r="A32" s="2">
        <v>28</v>
      </c>
      <c r="B32" s="4" t="s">
        <v>104</v>
      </c>
      <c r="C32" s="2" t="s">
        <v>9</v>
      </c>
      <c r="D32" s="2"/>
      <c r="E32" s="5">
        <v>7.7</v>
      </c>
      <c r="F32" s="20">
        <f t="shared" si="1"/>
        <v>0</v>
      </c>
      <c r="G32" s="2">
        <v>66</v>
      </c>
      <c r="H32" s="4" t="s">
        <v>258</v>
      </c>
      <c r="I32" s="2" t="s">
        <v>9</v>
      </c>
      <c r="J32" s="4"/>
      <c r="K32" s="2">
        <v>7.7</v>
      </c>
      <c r="L32" s="5">
        <f t="shared" si="0"/>
        <v>0</v>
      </c>
    </row>
    <row r="33" spans="1:13">
      <c r="A33" s="2">
        <v>29</v>
      </c>
      <c r="B33" s="4" t="s">
        <v>68</v>
      </c>
      <c r="C33" s="2" t="s">
        <v>9</v>
      </c>
      <c r="D33" s="2"/>
      <c r="E33" s="5">
        <v>5.5</v>
      </c>
      <c r="F33" s="5">
        <f t="shared" si="1"/>
        <v>0</v>
      </c>
      <c r="G33" s="2">
        <v>67</v>
      </c>
      <c r="H33" s="4" t="s">
        <v>259</v>
      </c>
      <c r="I33" s="2" t="s">
        <v>9</v>
      </c>
      <c r="J33" s="4"/>
      <c r="K33" s="2">
        <v>3.65</v>
      </c>
      <c r="L33" s="5">
        <f t="shared" si="0"/>
        <v>0</v>
      </c>
    </row>
    <row r="34" spans="1:13">
      <c r="A34" s="2">
        <v>30</v>
      </c>
      <c r="B34" s="4" t="s">
        <v>70</v>
      </c>
      <c r="C34" s="2" t="s">
        <v>9</v>
      </c>
      <c r="D34" s="2"/>
      <c r="E34" s="5">
        <v>6</v>
      </c>
      <c r="F34" s="5">
        <f t="shared" si="1"/>
        <v>0</v>
      </c>
      <c r="G34" s="2">
        <v>68</v>
      </c>
      <c r="H34" s="4"/>
      <c r="I34" s="2" t="s">
        <v>9</v>
      </c>
      <c r="J34" s="4"/>
      <c r="K34" s="2"/>
      <c r="L34" s="5">
        <f t="shared" si="0"/>
        <v>0</v>
      </c>
      <c r="M34" s="10"/>
    </row>
    <row r="35" spans="1:13">
      <c r="A35" s="2">
        <v>31</v>
      </c>
      <c r="B35" s="4" t="s">
        <v>72</v>
      </c>
      <c r="C35" s="2" t="s">
        <v>9</v>
      </c>
      <c r="D35" s="2"/>
      <c r="E35" s="5">
        <v>5.5</v>
      </c>
      <c r="F35" s="20">
        <f t="shared" si="1"/>
        <v>0</v>
      </c>
      <c r="G35" s="2">
        <v>69</v>
      </c>
      <c r="H35" s="4"/>
      <c r="I35" s="2" t="s">
        <v>9</v>
      </c>
      <c r="J35" s="4"/>
      <c r="K35" s="2"/>
      <c r="L35" s="5">
        <f t="shared" si="0"/>
        <v>0</v>
      </c>
    </row>
    <row r="36" spans="1:13">
      <c r="A36" s="2">
        <v>32</v>
      </c>
      <c r="B36" s="4" t="s">
        <v>74</v>
      </c>
      <c r="C36" s="2" t="s">
        <v>9</v>
      </c>
      <c r="D36" s="2"/>
      <c r="E36" s="2">
        <v>2.35</v>
      </c>
      <c r="F36" s="20">
        <f t="shared" si="1"/>
        <v>0</v>
      </c>
      <c r="G36" s="2">
        <v>70</v>
      </c>
      <c r="H36" s="4"/>
      <c r="I36" s="2" t="s">
        <v>9</v>
      </c>
      <c r="J36" s="4"/>
      <c r="K36" s="2"/>
      <c r="L36" s="5">
        <f t="shared" si="0"/>
        <v>0</v>
      </c>
    </row>
    <row r="37" spans="1:13">
      <c r="A37" s="2">
        <v>33</v>
      </c>
      <c r="B37" s="4" t="s">
        <v>76</v>
      </c>
      <c r="C37" s="2" t="s">
        <v>9</v>
      </c>
      <c r="D37" s="2"/>
      <c r="E37" s="2">
        <v>3.4</v>
      </c>
      <c r="F37" s="20">
        <f t="shared" si="1"/>
        <v>0</v>
      </c>
      <c r="G37" s="2">
        <v>71</v>
      </c>
      <c r="H37" s="4"/>
      <c r="I37" s="2" t="s">
        <v>9</v>
      </c>
      <c r="J37" s="4"/>
      <c r="K37" s="2"/>
      <c r="L37" s="5">
        <f t="shared" si="0"/>
        <v>0</v>
      </c>
      <c r="M37" s="11"/>
    </row>
    <row r="38" spans="1:13">
      <c r="A38" s="2">
        <v>34</v>
      </c>
      <c r="B38" s="4" t="s">
        <v>78</v>
      </c>
      <c r="C38" s="2" t="s">
        <v>9</v>
      </c>
      <c r="D38" s="2"/>
      <c r="E38" s="2">
        <v>6.45</v>
      </c>
      <c r="F38" s="20">
        <f t="shared" si="1"/>
        <v>0</v>
      </c>
      <c r="G38" s="2">
        <v>72</v>
      </c>
      <c r="H38" s="4"/>
      <c r="I38" s="2" t="s">
        <v>9</v>
      </c>
      <c r="J38" s="4"/>
      <c r="K38" s="2"/>
      <c r="L38" s="5">
        <f t="shared" si="0"/>
        <v>0</v>
      </c>
    </row>
    <row r="39" spans="1:13">
      <c r="A39" s="2">
        <v>35</v>
      </c>
      <c r="B39" s="4" t="s">
        <v>80</v>
      </c>
      <c r="C39" s="2" t="s">
        <v>9</v>
      </c>
      <c r="D39" s="2"/>
      <c r="E39" s="2">
        <v>3.95</v>
      </c>
      <c r="F39" s="20">
        <f t="shared" si="1"/>
        <v>0</v>
      </c>
      <c r="G39" s="2">
        <v>73</v>
      </c>
      <c r="H39" s="4"/>
      <c r="I39" s="2" t="s">
        <v>9</v>
      </c>
      <c r="J39" s="4"/>
      <c r="K39" s="2"/>
      <c r="L39" s="5">
        <f t="shared" si="0"/>
        <v>0</v>
      </c>
    </row>
    <row r="40" spans="1:13" ht="15.75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5+F6+F7+F8+F9+F10+F11+F12+L2+L3+L4++L5+L6+L7+L8+L9</f>
        <v>0</v>
      </c>
    </row>
    <row r="42" spans="1:13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>
  <dimension ref="A1:M42"/>
  <sheetViews>
    <sheetView topLeftCell="A19" workbookViewId="0">
      <selection activeCell="N12" sqref="N12"/>
    </sheetView>
  </sheetViews>
  <sheetFormatPr defaultRowHeight="15"/>
  <cols>
    <col min="1" max="1" width="4.7109375" style="17" customWidth="1"/>
    <col min="2" max="2" width="28.140625" customWidth="1"/>
    <col min="3" max="3" width="6.140625" customWidth="1"/>
    <col min="6" max="6" width="8.5703125" style="17" customWidth="1"/>
    <col min="7" max="7" width="4.85546875" style="17" customWidth="1"/>
    <col min="8" max="8" width="23.7109375" customWidth="1"/>
    <col min="9" max="9" width="6" bestFit="1" customWidth="1"/>
    <col min="10" max="10" width="6" customWidth="1"/>
    <col min="12" max="12" width="8.85546875" style="17"/>
  </cols>
  <sheetData>
    <row r="1" spans="1:12" ht="15.75">
      <c r="A1" s="30"/>
      <c r="B1" s="30"/>
      <c r="C1" s="30"/>
      <c r="D1" s="30" t="str">
        <f>[1]Сводная!D1</f>
        <v>19    12    2015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>
      <c r="A2" s="32" t="s">
        <v>246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</v>
      </c>
      <c r="L2" s="5">
        <f>J2*K2</f>
        <v>0</v>
      </c>
    </row>
    <row r="3" spans="1:12">
      <c r="A3" s="32" t="s">
        <v>247</v>
      </c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2.1</v>
      </c>
      <c r="L3" s="5">
        <f t="shared" ref="L3:L39" si="0">J3*K3</f>
        <v>0</v>
      </c>
    </row>
    <row r="4" spans="1:12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2.25</v>
      </c>
      <c r="L4" s="5">
        <f t="shared" si="0"/>
        <v>0</v>
      </c>
    </row>
    <row r="5" spans="1:12">
      <c r="A5" s="2">
        <v>1</v>
      </c>
      <c r="B5" s="4" t="s">
        <v>248</v>
      </c>
      <c r="C5" s="2" t="s">
        <v>9</v>
      </c>
      <c r="D5" s="2"/>
      <c r="E5" s="5">
        <v>6.55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2</v>
      </c>
      <c r="L5" s="5">
        <f t="shared" si="0"/>
        <v>0</v>
      </c>
    </row>
    <row r="6" spans="1:12">
      <c r="A6" s="2">
        <v>2</v>
      </c>
      <c r="B6" s="4" t="s">
        <v>14</v>
      </c>
      <c r="C6" s="2" t="s">
        <v>9</v>
      </c>
      <c r="D6" s="2"/>
      <c r="E6" s="5">
        <v>4.7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7.7</v>
      </c>
      <c r="L6" s="5">
        <f>J6*K6</f>
        <v>0</v>
      </c>
    </row>
    <row r="7" spans="1:12">
      <c r="A7" s="2">
        <v>3</v>
      </c>
      <c r="B7" s="4" t="s">
        <v>156</v>
      </c>
      <c r="C7" s="2" t="s">
        <v>9</v>
      </c>
      <c r="D7" s="2"/>
      <c r="E7" s="5">
        <v>5.2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2</v>
      </c>
      <c r="L7" s="5">
        <f t="shared" si="0"/>
        <v>0</v>
      </c>
    </row>
    <row r="8" spans="1:12">
      <c r="A8" s="2">
        <v>4</v>
      </c>
      <c r="B8" s="4" t="s">
        <v>18</v>
      </c>
      <c r="C8" s="2" t="s">
        <v>9</v>
      </c>
      <c r="D8" s="2"/>
      <c r="E8" s="5">
        <v>7.05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2.25</v>
      </c>
      <c r="L8" s="5">
        <f t="shared" si="0"/>
        <v>0</v>
      </c>
    </row>
    <row r="9" spans="1:12">
      <c r="A9" s="2">
        <v>5</v>
      </c>
      <c r="B9" s="4" t="s">
        <v>20</v>
      </c>
      <c r="C9" s="2" t="s">
        <v>9</v>
      </c>
      <c r="D9" s="2"/>
      <c r="E9" s="5">
        <v>4.9000000000000004</v>
      </c>
      <c r="F9" s="20">
        <f t="shared" si="1"/>
        <v>0</v>
      </c>
      <c r="G9" s="2">
        <v>43</v>
      </c>
      <c r="H9" s="4" t="s">
        <v>21</v>
      </c>
      <c r="I9" s="2" t="s">
        <v>9</v>
      </c>
      <c r="J9" s="2"/>
      <c r="K9" s="5">
        <v>2.4</v>
      </c>
      <c r="L9" s="5">
        <f t="shared" si="0"/>
        <v>0</v>
      </c>
    </row>
    <row r="10" spans="1:12">
      <c r="A10" s="2">
        <v>6</v>
      </c>
      <c r="B10" s="4" t="s">
        <v>22</v>
      </c>
      <c r="C10" s="2" t="s">
        <v>9</v>
      </c>
      <c r="D10" s="2"/>
      <c r="E10" s="5">
        <v>5.7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>
      <c r="A11" s="2">
        <v>7</v>
      </c>
      <c r="B11" s="4" t="s">
        <v>24</v>
      </c>
      <c r="C11" s="2" t="s">
        <v>9</v>
      </c>
      <c r="D11" s="2"/>
      <c r="E11" s="5">
        <v>5.2</v>
      </c>
      <c r="F11" s="20">
        <f t="shared" si="1"/>
        <v>0</v>
      </c>
      <c r="G11" s="2">
        <v>45</v>
      </c>
      <c r="H11" s="4" t="s">
        <v>249</v>
      </c>
      <c r="I11" s="2" t="s">
        <v>9</v>
      </c>
      <c r="J11" s="2"/>
      <c r="K11" s="5">
        <v>2.4</v>
      </c>
      <c r="L11" s="5">
        <f t="shared" si="0"/>
        <v>0</v>
      </c>
    </row>
    <row r="12" spans="1:12">
      <c r="A12" s="2">
        <v>8</v>
      </c>
      <c r="B12" s="4" t="s">
        <v>250</v>
      </c>
      <c r="C12" s="2" t="s">
        <v>9</v>
      </c>
      <c r="D12" s="2"/>
      <c r="E12" s="5">
        <v>5.2</v>
      </c>
      <c r="F12" s="20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2.1</v>
      </c>
      <c r="L12" s="5">
        <f t="shared" si="0"/>
        <v>0</v>
      </c>
    </row>
    <row r="13" spans="1:12">
      <c r="A13" s="2">
        <v>9</v>
      </c>
      <c r="B13" s="4" t="s">
        <v>162</v>
      </c>
      <c r="C13" s="2" t="s">
        <v>9</v>
      </c>
      <c r="D13" s="2"/>
      <c r="E13" s="5">
        <v>5.35</v>
      </c>
      <c r="F13" s="20">
        <f t="shared" si="1"/>
        <v>0</v>
      </c>
      <c r="G13" s="2">
        <v>47</v>
      </c>
      <c r="H13" s="4" t="s">
        <v>251</v>
      </c>
      <c r="I13" s="2" t="s">
        <v>9</v>
      </c>
      <c r="J13" s="2"/>
      <c r="K13" s="5">
        <v>2.1</v>
      </c>
      <c r="L13" s="5">
        <f t="shared" si="0"/>
        <v>0</v>
      </c>
    </row>
    <row r="14" spans="1:12">
      <c r="A14" s="2">
        <v>10</v>
      </c>
      <c r="B14" s="4" t="s">
        <v>30</v>
      </c>
      <c r="C14" s="2" t="s">
        <v>9</v>
      </c>
      <c r="D14" s="2"/>
      <c r="E14" s="5">
        <v>5.85</v>
      </c>
      <c r="F14" s="20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2.1</v>
      </c>
      <c r="L14" s="5">
        <f t="shared" si="0"/>
        <v>0</v>
      </c>
    </row>
    <row r="15" spans="1:12">
      <c r="A15" s="2">
        <v>11</v>
      </c>
      <c r="B15" s="4" t="s">
        <v>128</v>
      </c>
      <c r="C15" s="2" t="s">
        <v>9</v>
      </c>
      <c r="D15" s="2"/>
      <c r="E15" s="5">
        <v>6.5</v>
      </c>
      <c r="F15" s="20">
        <f t="shared" si="1"/>
        <v>0</v>
      </c>
      <c r="G15" s="2">
        <v>49</v>
      </c>
      <c r="H15" s="4" t="s">
        <v>129</v>
      </c>
      <c r="I15" s="2" t="s">
        <v>9</v>
      </c>
      <c r="J15" s="2"/>
      <c r="K15" s="5">
        <v>7.95</v>
      </c>
      <c r="L15" s="5">
        <f t="shared" si="0"/>
        <v>0</v>
      </c>
    </row>
    <row r="16" spans="1:12">
      <c r="A16" s="2">
        <v>12</v>
      </c>
      <c r="B16" s="4" t="s">
        <v>34</v>
      </c>
      <c r="C16" s="2" t="s">
        <v>9</v>
      </c>
      <c r="D16" s="2"/>
      <c r="E16" s="5">
        <v>6</v>
      </c>
      <c r="F16" s="20">
        <f t="shared" si="1"/>
        <v>0</v>
      </c>
      <c r="G16" s="2">
        <v>50</v>
      </c>
      <c r="H16" s="4" t="s">
        <v>35</v>
      </c>
      <c r="I16" s="2" t="s">
        <v>9</v>
      </c>
      <c r="J16" s="2"/>
      <c r="K16" s="5">
        <v>6.45</v>
      </c>
      <c r="L16" s="5">
        <f t="shared" si="0"/>
        <v>0</v>
      </c>
    </row>
    <row r="17" spans="1:12">
      <c r="A17" s="2">
        <v>13</v>
      </c>
      <c r="B17" s="4" t="s">
        <v>36</v>
      </c>
      <c r="C17" s="2" t="s">
        <v>9</v>
      </c>
      <c r="D17" s="2"/>
      <c r="E17" s="5">
        <v>6.5</v>
      </c>
      <c r="F17" s="20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6.35</v>
      </c>
      <c r="L17" s="5">
        <f t="shared" si="0"/>
        <v>0</v>
      </c>
    </row>
    <row r="18" spans="1:12">
      <c r="A18" s="2">
        <v>14</v>
      </c>
      <c r="B18" s="4" t="s">
        <v>38</v>
      </c>
      <c r="C18" s="2" t="s">
        <v>9</v>
      </c>
      <c r="D18" s="2"/>
      <c r="E18" s="5">
        <v>4.8</v>
      </c>
      <c r="F18" s="20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2.9</v>
      </c>
      <c r="L18" s="5">
        <f t="shared" si="0"/>
        <v>0</v>
      </c>
    </row>
    <row r="19" spans="1:12">
      <c r="A19" s="2">
        <v>15</v>
      </c>
      <c r="B19" s="4" t="s">
        <v>40</v>
      </c>
      <c r="C19" s="2" t="s">
        <v>9</v>
      </c>
      <c r="D19" s="2"/>
      <c r="E19" s="5">
        <v>5.3</v>
      </c>
      <c r="F19" s="20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11</v>
      </c>
      <c r="L19" s="5">
        <f t="shared" si="0"/>
        <v>0</v>
      </c>
    </row>
    <row r="20" spans="1:12">
      <c r="A20" s="2">
        <v>16</v>
      </c>
      <c r="B20" s="4" t="s">
        <v>42</v>
      </c>
      <c r="C20" s="2" t="s">
        <v>9</v>
      </c>
      <c r="D20" s="2"/>
      <c r="E20" s="5">
        <v>2.35</v>
      </c>
      <c r="F20" s="20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22</v>
      </c>
      <c r="L20" s="5">
        <f t="shared" si="0"/>
        <v>0</v>
      </c>
    </row>
    <row r="21" spans="1:12">
      <c r="A21" s="2">
        <v>17</v>
      </c>
      <c r="B21" s="4" t="s">
        <v>44</v>
      </c>
      <c r="C21" s="2" t="s">
        <v>9</v>
      </c>
      <c r="D21" s="2"/>
      <c r="E21" s="5">
        <v>1.3</v>
      </c>
      <c r="F21" s="20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34.5</v>
      </c>
      <c r="L21" s="5">
        <f t="shared" si="0"/>
        <v>0</v>
      </c>
    </row>
    <row r="22" spans="1:12">
      <c r="A22" s="2">
        <v>18</v>
      </c>
      <c r="B22" s="4" t="s">
        <v>46</v>
      </c>
      <c r="C22" s="2" t="s">
        <v>9</v>
      </c>
      <c r="D22" s="2"/>
      <c r="E22" s="5">
        <v>5.7</v>
      </c>
      <c r="F22" s="20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18.5</v>
      </c>
      <c r="L22" s="5">
        <f t="shared" si="0"/>
        <v>0</v>
      </c>
    </row>
    <row r="23" spans="1:12">
      <c r="A23" s="2">
        <v>19</v>
      </c>
      <c r="B23" s="4" t="s">
        <v>48</v>
      </c>
      <c r="C23" s="2" t="s">
        <v>9</v>
      </c>
      <c r="D23" s="2"/>
      <c r="E23" s="5">
        <v>6.45</v>
      </c>
      <c r="F23" s="20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12.5</v>
      </c>
      <c r="L23" s="5">
        <f t="shared" si="0"/>
        <v>0</v>
      </c>
    </row>
    <row r="24" spans="1:12">
      <c r="A24" s="2">
        <v>20</v>
      </c>
      <c r="B24" s="4" t="s">
        <v>50</v>
      </c>
      <c r="C24" s="2" t="s">
        <v>9</v>
      </c>
      <c r="D24" s="2"/>
      <c r="E24" s="5">
        <v>6</v>
      </c>
      <c r="F24" s="20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9</v>
      </c>
      <c r="L24" s="5">
        <f t="shared" si="0"/>
        <v>0</v>
      </c>
    </row>
    <row r="25" spans="1:12">
      <c r="A25" s="2">
        <v>21</v>
      </c>
      <c r="B25" s="4" t="s">
        <v>96</v>
      </c>
      <c r="C25" s="2" t="s">
        <v>9</v>
      </c>
      <c r="D25" s="2"/>
      <c r="E25" s="5">
        <v>6.8</v>
      </c>
      <c r="F25" s="20">
        <f t="shared" si="1"/>
        <v>0</v>
      </c>
      <c r="G25" s="2">
        <v>59</v>
      </c>
      <c r="H25" s="4" t="s">
        <v>252</v>
      </c>
      <c r="I25" s="2" t="s">
        <v>9</v>
      </c>
      <c r="J25" s="4"/>
      <c r="K25" s="2">
        <v>9</v>
      </c>
      <c r="L25" s="5">
        <f t="shared" si="0"/>
        <v>0</v>
      </c>
    </row>
    <row r="26" spans="1:12">
      <c r="A26" s="2">
        <v>22</v>
      </c>
      <c r="B26" s="4" t="s">
        <v>54</v>
      </c>
      <c r="C26" s="2" t="s">
        <v>9</v>
      </c>
      <c r="D26" s="2"/>
      <c r="E26" s="5">
        <v>5.4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5.95</v>
      </c>
      <c r="L26" s="5">
        <f t="shared" si="0"/>
        <v>0</v>
      </c>
    </row>
    <row r="27" spans="1:12">
      <c r="A27" s="2">
        <v>23</v>
      </c>
      <c r="B27" s="4" t="s">
        <v>56</v>
      </c>
      <c r="C27" s="2" t="s">
        <v>9</v>
      </c>
      <c r="D27" s="2"/>
      <c r="E27" s="5">
        <v>4.45</v>
      </c>
      <c r="F27" s="20">
        <f t="shared" si="1"/>
        <v>0</v>
      </c>
      <c r="G27" s="2">
        <v>61</v>
      </c>
      <c r="H27" s="4" t="s">
        <v>253</v>
      </c>
      <c r="I27" s="2" t="s">
        <v>9</v>
      </c>
      <c r="J27" s="4"/>
      <c r="K27" s="2">
        <v>3.5</v>
      </c>
      <c r="L27" s="5">
        <f t="shared" si="0"/>
        <v>0</v>
      </c>
    </row>
    <row r="28" spans="1:12">
      <c r="A28" s="2">
        <v>24</v>
      </c>
      <c r="B28" s="4" t="s">
        <v>58</v>
      </c>
      <c r="C28" s="2" t="s">
        <v>9</v>
      </c>
      <c r="D28" s="2"/>
      <c r="E28" s="5">
        <v>4.95</v>
      </c>
      <c r="F28" s="20">
        <f t="shared" si="1"/>
        <v>0</v>
      </c>
      <c r="G28" s="2">
        <v>62</v>
      </c>
      <c r="H28" s="4" t="s">
        <v>254</v>
      </c>
      <c r="I28" s="2" t="s">
        <v>9</v>
      </c>
      <c r="J28" s="4"/>
      <c r="K28" s="2">
        <v>7.7</v>
      </c>
      <c r="L28" s="5">
        <f t="shared" si="0"/>
        <v>0</v>
      </c>
    </row>
    <row r="29" spans="1:12">
      <c r="A29" s="2">
        <v>25</v>
      </c>
      <c r="B29" s="4" t="s">
        <v>60</v>
      </c>
      <c r="C29" s="2" t="s">
        <v>9</v>
      </c>
      <c r="D29" s="2"/>
      <c r="E29" s="5">
        <v>5.7</v>
      </c>
      <c r="F29" s="20">
        <f t="shared" si="1"/>
        <v>0</v>
      </c>
      <c r="G29" s="2">
        <v>63</v>
      </c>
      <c r="H29" s="4" t="s">
        <v>255</v>
      </c>
      <c r="I29" s="2" t="s">
        <v>9</v>
      </c>
      <c r="J29" s="4"/>
      <c r="K29" s="2">
        <v>5.9</v>
      </c>
      <c r="L29" s="5">
        <f t="shared" si="0"/>
        <v>0</v>
      </c>
    </row>
    <row r="30" spans="1:12">
      <c r="A30" s="2">
        <v>26</v>
      </c>
      <c r="B30" s="4" t="s">
        <v>62</v>
      </c>
      <c r="C30" s="2" t="s">
        <v>9</v>
      </c>
      <c r="D30" s="2"/>
      <c r="E30" s="5">
        <v>4.5999999999999996</v>
      </c>
      <c r="F30" s="5">
        <f t="shared" si="1"/>
        <v>0</v>
      </c>
      <c r="G30" s="2">
        <v>64</v>
      </c>
      <c r="H30" s="4" t="s">
        <v>256</v>
      </c>
      <c r="I30" s="2" t="s">
        <v>9</v>
      </c>
      <c r="J30" s="4"/>
      <c r="K30" s="2">
        <v>3.5</v>
      </c>
      <c r="L30" s="5">
        <f t="shared" si="0"/>
        <v>0</v>
      </c>
    </row>
    <row r="31" spans="1:12">
      <c r="A31" s="2">
        <v>27</v>
      </c>
      <c r="B31" s="4" t="s">
        <v>102</v>
      </c>
      <c r="C31" s="2" t="s">
        <v>9</v>
      </c>
      <c r="D31" s="2"/>
      <c r="E31" s="5">
        <v>5.95</v>
      </c>
      <c r="F31" s="5">
        <f t="shared" si="1"/>
        <v>0</v>
      </c>
      <c r="G31" s="2">
        <v>65</v>
      </c>
      <c r="H31" s="4" t="s">
        <v>257</v>
      </c>
      <c r="I31" s="2" t="s">
        <v>9</v>
      </c>
      <c r="J31" s="4"/>
      <c r="K31" s="2">
        <v>6.35</v>
      </c>
      <c r="L31" s="5">
        <f t="shared" si="0"/>
        <v>0</v>
      </c>
    </row>
    <row r="32" spans="1:12">
      <c r="A32" s="2">
        <v>28</v>
      </c>
      <c r="B32" s="4" t="s">
        <v>104</v>
      </c>
      <c r="C32" s="2" t="s">
        <v>9</v>
      </c>
      <c r="D32" s="2"/>
      <c r="E32" s="5">
        <v>7.7</v>
      </c>
      <c r="F32" s="20">
        <f t="shared" si="1"/>
        <v>0</v>
      </c>
      <c r="G32" s="2">
        <v>66</v>
      </c>
      <c r="H32" s="4" t="s">
        <v>258</v>
      </c>
      <c r="I32" s="2" t="s">
        <v>9</v>
      </c>
      <c r="J32" s="4"/>
      <c r="K32" s="2">
        <v>7.7</v>
      </c>
      <c r="L32" s="5">
        <f t="shared" si="0"/>
        <v>0</v>
      </c>
    </row>
    <row r="33" spans="1:13">
      <c r="A33" s="2">
        <v>29</v>
      </c>
      <c r="B33" s="4" t="s">
        <v>68</v>
      </c>
      <c r="C33" s="2" t="s">
        <v>9</v>
      </c>
      <c r="D33" s="2"/>
      <c r="E33" s="5">
        <v>5.5</v>
      </c>
      <c r="F33" s="5">
        <f t="shared" si="1"/>
        <v>0</v>
      </c>
      <c r="G33" s="2">
        <v>67</v>
      </c>
      <c r="H33" s="4" t="s">
        <v>259</v>
      </c>
      <c r="I33" s="2" t="s">
        <v>9</v>
      </c>
      <c r="J33" s="4"/>
      <c r="K33" s="2">
        <v>3.65</v>
      </c>
      <c r="L33" s="5">
        <f t="shared" si="0"/>
        <v>0</v>
      </c>
    </row>
    <row r="34" spans="1:13">
      <c r="A34" s="2">
        <v>30</v>
      </c>
      <c r="B34" s="4" t="s">
        <v>70</v>
      </c>
      <c r="C34" s="2" t="s">
        <v>9</v>
      </c>
      <c r="D34" s="2"/>
      <c r="E34" s="5">
        <v>6</v>
      </c>
      <c r="F34" s="5">
        <f t="shared" si="1"/>
        <v>0</v>
      </c>
      <c r="G34" s="2">
        <v>68</v>
      </c>
      <c r="H34" s="4"/>
      <c r="I34" s="2" t="s">
        <v>9</v>
      </c>
      <c r="J34" s="4"/>
      <c r="K34" s="2"/>
      <c r="L34" s="5">
        <f t="shared" si="0"/>
        <v>0</v>
      </c>
      <c r="M34" s="10"/>
    </row>
    <row r="35" spans="1:13">
      <c r="A35" s="2">
        <v>31</v>
      </c>
      <c r="B35" s="4" t="s">
        <v>72</v>
      </c>
      <c r="C35" s="2" t="s">
        <v>9</v>
      </c>
      <c r="D35" s="2"/>
      <c r="E35" s="5">
        <v>5.5</v>
      </c>
      <c r="F35" s="20">
        <f t="shared" si="1"/>
        <v>0</v>
      </c>
      <c r="G35" s="2">
        <v>69</v>
      </c>
      <c r="H35" s="4"/>
      <c r="I35" s="2" t="s">
        <v>9</v>
      </c>
      <c r="J35" s="4"/>
      <c r="K35" s="2"/>
      <c r="L35" s="5">
        <f t="shared" si="0"/>
        <v>0</v>
      </c>
    </row>
    <row r="36" spans="1:13">
      <c r="A36" s="2">
        <v>32</v>
      </c>
      <c r="B36" s="4" t="s">
        <v>74</v>
      </c>
      <c r="C36" s="2" t="s">
        <v>9</v>
      </c>
      <c r="D36" s="2"/>
      <c r="E36" s="2">
        <v>2.35</v>
      </c>
      <c r="F36" s="20">
        <f t="shared" si="1"/>
        <v>0</v>
      </c>
      <c r="G36" s="2">
        <v>70</v>
      </c>
      <c r="H36" s="4"/>
      <c r="I36" s="2" t="s">
        <v>9</v>
      </c>
      <c r="J36" s="4"/>
      <c r="K36" s="2"/>
      <c r="L36" s="5">
        <f t="shared" si="0"/>
        <v>0</v>
      </c>
    </row>
    <row r="37" spans="1:13">
      <c r="A37" s="2">
        <v>33</v>
      </c>
      <c r="B37" s="4" t="s">
        <v>76</v>
      </c>
      <c r="C37" s="2" t="s">
        <v>9</v>
      </c>
      <c r="D37" s="2"/>
      <c r="E37" s="2">
        <v>3.4</v>
      </c>
      <c r="F37" s="20">
        <f t="shared" si="1"/>
        <v>0</v>
      </c>
      <c r="G37" s="2">
        <v>71</v>
      </c>
      <c r="H37" s="4"/>
      <c r="I37" s="2" t="s">
        <v>9</v>
      </c>
      <c r="J37" s="4"/>
      <c r="K37" s="2"/>
      <c r="L37" s="5">
        <f t="shared" si="0"/>
        <v>0</v>
      </c>
      <c r="M37" s="11"/>
    </row>
    <row r="38" spans="1:13">
      <c r="A38" s="2">
        <v>34</v>
      </c>
      <c r="B38" s="4" t="s">
        <v>78</v>
      </c>
      <c r="C38" s="2" t="s">
        <v>9</v>
      </c>
      <c r="D38" s="2"/>
      <c r="E38" s="2">
        <v>6.45</v>
      </c>
      <c r="F38" s="20">
        <f t="shared" si="1"/>
        <v>0</v>
      </c>
      <c r="G38" s="2">
        <v>72</v>
      </c>
      <c r="H38" s="4"/>
      <c r="I38" s="2" t="s">
        <v>9</v>
      </c>
      <c r="J38" s="4"/>
      <c r="K38" s="2"/>
      <c r="L38" s="5">
        <f t="shared" si="0"/>
        <v>0</v>
      </c>
    </row>
    <row r="39" spans="1:13">
      <c r="A39" s="2">
        <v>35</v>
      </c>
      <c r="B39" s="4" t="s">
        <v>80</v>
      </c>
      <c r="C39" s="2" t="s">
        <v>9</v>
      </c>
      <c r="D39" s="2"/>
      <c r="E39" s="2">
        <v>3.95</v>
      </c>
      <c r="F39" s="20">
        <f t="shared" si="1"/>
        <v>0</v>
      </c>
      <c r="G39" s="2">
        <v>73</v>
      </c>
      <c r="H39" s="4"/>
      <c r="I39" s="2" t="s">
        <v>9</v>
      </c>
      <c r="J39" s="4"/>
      <c r="K39" s="2"/>
      <c r="L39" s="5">
        <f t="shared" si="0"/>
        <v>0</v>
      </c>
    </row>
    <row r="40" spans="1:13" ht="15.75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5+F6+F7+F8+F9+F10+F11+F12+L2+L3+L4++L5+L6+L7+L8+L9</f>
        <v>0</v>
      </c>
    </row>
    <row r="42" spans="1:13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>
  <dimension ref="A1:M42"/>
  <sheetViews>
    <sheetView topLeftCell="A19" workbookViewId="0">
      <selection activeCell="N12" sqref="N12"/>
    </sheetView>
  </sheetViews>
  <sheetFormatPr defaultRowHeight="15"/>
  <cols>
    <col min="1" max="1" width="4.7109375" style="17" customWidth="1"/>
    <col min="2" max="2" width="28.140625" customWidth="1"/>
    <col min="3" max="3" width="6.140625" customWidth="1"/>
    <col min="6" max="6" width="8.5703125" style="17" customWidth="1"/>
    <col min="7" max="7" width="4.85546875" style="17" customWidth="1"/>
    <col min="8" max="8" width="23.7109375" customWidth="1"/>
    <col min="9" max="9" width="6" bestFit="1" customWidth="1"/>
    <col min="10" max="10" width="6" customWidth="1"/>
    <col min="12" max="12" width="8.85546875" style="17"/>
  </cols>
  <sheetData>
    <row r="1" spans="1:12" ht="15.75">
      <c r="A1" s="30"/>
      <c r="B1" s="30"/>
      <c r="C1" s="30"/>
      <c r="D1" s="30" t="str">
        <f>[1]Сводная!D1</f>
        <v>19    12    2015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>
      <c r="A2" s="32" t="s">
        <v>246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</v>
      </c>
      <c r="L2" s="5">
        <f>J2*K2</f>
        <v>0</v>
      </c>
    </row>
    <row r="3" spans="1:12">
      <c r="A3" s="32" t="s">
        <v>247</v>
      </c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2.1</v>
      </c>
      <c r="L3" s="5">
        <f t="shared" ref="L3:L39" si="0">J3*K3</f>
        <v>0</v>
      </c>
    </row>
    <row r="4" spans="1:12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2.25</v>
      </c>
      <c r="L4" s="5">
        <f t="shared" si="0"/>
        <v>0</v>
      </c>
    </row>
    <row r="5" spans="1:12">
      <c r="A5" s="2">
        <v>1</v>
      </c>
      <c r="B5" s="4" t="s">
        <v>248</v>
      </c>
      <c r="C5" s="2" t="s">
        <v>9</v>
      </c>
      <c r="D5" s="2"/>
      <c r="E5" s="5">
        <v>6.55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2</v>
      </c>
      <c r="L5" s="5">
        <f t="shared" si="0"/>
        <v>0</v>
      </c>
    </row>
    <row r="6" spans="1:12">
      <c r="A6" s="2">
        <v>2</v>
      </c>
      <c r="B6" s="4" t="s">
        <v>14</v>
      </c>
      <c r="C6" s="2" t="s">
        <v>9</v>
      </c>
      <c r="D6" s="2"/>
      <c r="E6" s="5">
        <v>4.7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7.7</v>
      </c>
      <c r="L6" s="5">
        <f>J6*K6</f>
        <v>0</v>
      </c>
    </row>
    <row r="7" spans="1:12">
      <c r="A7" s="2">
        <v>3</v>
      </c>
      <c r="B7" s="4" t="s">
        <v>156</v>
      </c>
      <c r="C7" s="2" t="s">
        <v>9</v>
      </c>
      <c r="D7" s="2"/>
      <c r="E7" s="5">
        <v>5.2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2</v>
      </c>
      <c r="L7" s="5">
        <f t="shared" si="0"/>
        <v>0</v>
      </c>
    </row>
    <row r="8" spans="1:12">
      <c r="A8" s="2">
        <v>4</v>
      </c>
      <c r="B8" s="4" t="s">
        <v>18</v>
      </c>
      <c r="C8" s="2" t="s">
        <v>9</v>
      </c>
      <c r="D8" s="2"/>
      <c r="E8" s="5">
        <v>7.05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2.25</v>
      </c>
      <c r="L8" s="5">
        <f t="shared" si="0"/>
        <v>0</v>
      </c>
    </row>
    <row r="9" spans="1:12">
      <c r="A9" s="2">
        <v>5</v>
      </c>
      <c r="B9" s="4" t="s">
        <v>20</v>
      </c>
      <c r="C9" s="2" t="s">
        <v>9</v>
      </c>
      <c r="D9" s="2"/>
      <c r="E9" s="5">
        <v>4.9000000000000004</v>
      </c>
      <c r="F9" s="20">
        <f t="shared" si="1"/>
        <v>0</v>
      </c>
      <c r="G9" s="2">
        <v>43</v>
      </c>
      <c r="H9" s="4" t="s">
        <v>21</v>
      </c>
      <c r="I9" s="2" t="s">
        <v>9</v>
      </c>
      <c r="J9" s="2"/>
      <c r="K9" s="5">
        <v>2.4</v>
      </c>
      <c r="L9" s="5">
        <f t="shared" si="0"/>
        <v>0</v>
      </c>
    </row>
    <row r="10" spans="1:12">
      <c r="A10" s="2">
        <v>6</v>
      </c>
      <c r="B10" s="4" t="s">
        <v>22</v>
      </c>
      <c r="C10" s="2" t="s">
        <v>9</v>
      </c>
      <c r="D10" s="2"/>
      <c r="E10" s="5">
        <v>5.7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>
      <c r="A11" s="2">
        <v>7</v>
      </c>
      <c r="B11" s="4" t="s">
        <v>24</v>
      </c>
      <c r="C11" s="2" t="s">
        <v>9</v>
      </c>
      <c r="D11" s="2"/>
      <c r="E11" s="5">
        <v>5.2</v>
      </c>
      <c r="F11" s="20">
        <f t="shared" si="1"/>
        <v>0</v>
      </c>
      <c r="G11" s="2">
        <v>45</v>
      </c>
      <c r="H11" s="4" t="s">
        <v>249</v>
      </c>
      <c r="I11" s="2" t="s">
        <v>9</v>
      </c>
      <c r="J11" s="2"/>
      <c r="K11" s="5">
        <v>2.4</v>
      </c>
      <c r="L11" s="5">
        <f t="shared" si="0"/>
        <v>0</v>
      </c>
    </row>
    <row r="12" spans="1:12">
      <c r="A12" s="2">
        <v>8</v>
      </c>
      <c r="B12" s="4" t="s">
        <v>250</v>
      </c>
      <c r="C12" s="2" t="s">
        <v>9</v>
      </c>
      <c r="D12" s="2"/>
      <c r="E12" s="5">
        <v>5.2</v>
      </c>
      <c r="F12" s="20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2.1</v>
      </c>
      <c r="L12" s="5">
        <f t="shared" si="0"/>
        <v>0</v>
      </c>
    </row>
    <row r="13" spans="1:12">
      <c r="A13" s="2">
        <v>9</v>
      </c>
      <c r="B13" s="4" t="s">
        <v>162</v>
      </c>
      <c r="C13" s="2" t="s">
        <v>9</v>
      </c>
      <c r="D13" s="2"/>
      <c r="E13" s="5">
        <v>5.35</v>
      </c>
      <c r="F13" s="20">
        <f t="shared" si="1"/>
        <v>0</v>
      </c>
      <c r="G13" s="2">
        <v>47</v>
      </c>
      <c r="H13" s="4" t="s">
        <v>251</v>
      </c>
      <c r="I13" s="2" t="s">
        <v>9</v>
      </c>
      <c r="J13" s="2"/>
      <c r="K13" s="5">
        <v>2.1</v>
      </c>
      <c r="L13" s="5">
        <f t="shared" si="0"/>
        <v>0</v>
      </c>
    </row>
    <row r="14" spans="1:12">
      <c r="A14" s="2">
        <v>10</v>
      </c>
      <c r="B14" s="4" t="s">
        <v>30</v>
      </c>
      <c r="C14" s="2" t="s">
        <v>9</v>
      </c>
      <c r="D14" s="2"/>
      <c r="E14" s="5">
        <v>5.85</v>
      </c>
      <c r="F14" s="20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2.1</v>
      </c>
      <c r="L14" s="5">
        <f t="shared" si="0"/>
        <v>0</v>
      </c>
    </row>
    <row r="15" spans="1:12">
      <c r="A15" s="2">
        <v>11</v>
      </c>
      <c r="B15" s="4" t="s">
        <v>128</v>
      </c>
      <c r="C15" s="2" t="s">
        <v>9</v>
      </c>
      <c r="D15" s="2"/>
      <c r="E15" s="5">
        <v>6.5</v>
      </c>
      <c r="F15" s="20">
        <f t="shared" si="1"/>
        <v>0</v>
      </c>
      <c r="G15" s="2">
        <v>49</v>
      </c>
      <c r="H15" s="4" t="s">
        <v>129</v>
      </c>
      <c r="I15" s="2" t="s">
        <v>9</v>
      </c>
      <c r="J15" s="2"/>
      <c r="K15" s="5">
        <v>7.95</v>
      </c>
      <c r="L15" s="5">
        <f t="shared" si="0"/>
        <v>0</v>
      </c>
    </row>
    <row r="16" spans="1:12">
      <c r="A16" s="2">
        <v>12</v>
      </c>
      <c r="B16" s="4" t="s">
        <v>34</v>
      </c>
      <c r="C16" s="2" t="s">
        <v>9</v>
      </c>
      <c r="D16" s="2"/>
      <c r="E16" s="5">
        <v>6</v>
      </c>
      <c r="F16" s="20">
        <f t="shared" si="1"/>
        <v>0</v>
      </c>
      <c r="G16" s="2">
        <v>50</v>
      </c>
      <c r="H16" s="4" t="s">
        <v>35</v>
      </c>
      <c r="I16" s="2" t="s">
        <v>9</v>
      </c>
      <c r="J16" s="2"/>
      <c r="K16" s="5">
        <v>6.45</v>
      </c>
      <c r="L16" s="5">
        <f t="shared" si="0"/>
        <v>0</v>
      </c>
    </row>
    <row r="17" spans="1:12">
      <c r="A17" s="2">
        <v>13</v>
      </c>
      <c r="B17" s="4" t="s">
        <v>36</v>
      </c>
      <c r="C17" s="2" t="s">
        <v>9</v>
      </c>
      <c r="D17" s="2"/>
      <c r="E17" s="5">
        <v>6.5</v>
      </c>
      <c r="F17" s="20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6.35</v>
      </c>
      <c r="L17" s="5">
        <f t="shared" si="0"/>
        <v>0</v>
      </c>
    </row>
    <row r="18" spans="1:12">
      <c r="A18" s="2">
        <v>14</v>
      </c>
      <c r="B18" s="4" t="s">
        <v>38</v>
      </c>
      <c r="C18" s="2" t="s">
        <v>9</v>
      </c>
      <c r="D18" s="2"/>
      <c r="E18" s="5">
        <v>4.8</v>
      </c>
      <c r="F18" s="20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2.9</v>
      </c>
      <c r="L18" s="5">
        <f t="shared" si="0"/>
        <v>0</v>
      </c>
    </row>
    <row r="19" spans="1:12">
      <c r="A19" s="2">
        <v>15</v>
      </c>
      <c r="B19" s="4" t="s">
        <v>40</v>
      </c>
      <c r="C19" s="2" t="s">
        <v>9</v>
      </c>
      <c r="D19" s="2"/>
      <c r="E19" s="5">
        <v>5.3</v>
      </c>
      <c r="F19" s="20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11</v>
      </c>
      <c r="L19" s="5">
        <f t="shared" si="0"/>
        <v>0</v>
      </c>
    </row>
    <row r="20" spans="1:12">
      <c r="A20" s="2">
        <v>16</v>
      </c>
      <c r="B20" s="4" t="s">
        <v>42</v>
      </c>
      <c r="C20" s="2" t="s">
        <v>9</v>
      </c>
      <c r="D20" s="2"/>
      <c r="E20" s="5">
        <v>2.35</v>
      </c>
      <c r="F20" s="20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22</v>
      </c>
      <c r="L20" s="5">
        <f t="shared" si="0"/>
        <v>0</v>
      </c>
    </row>
    <row r="21" spans="1:12">
      <c r="A21" s="2">
        <v>17</v>
      </c>
      <c r="B21" s="4" t="s">
        <v>44</v>
      </c>
      <c r="C21" s="2" t="s">
        <v>9</v>
      </c>
      <c r="D21" s="2"/>
      <c r="E21" s="5">
        <v>1.3</v>
      </c>
      <c r="F21" s="20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34.5</v>
      </c>
      <c r="L21" s="5">
        <f t="shared" si="0"/>
        <v>0</v>
      </c>
    </row>
    <row r="22" spans="1:12">
      <c r="A22" s="2">
        <v>18</v>
      </c>
      <c r="B22" s="4" t="s">
        <v>46</v>
      </c>
      <c r="C22" s="2" t="s">
        <v>9</v>
      </c>
      <c r="D22" s="2"/>
      <c r="E22" s="5">
        <v>5.7</v>
      </c>
      <c r="F22" s="20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18.5</v>
      </c>
      <c r="L22" s="5">
        <f t="shared" si="0"/>
        <v>0</v>
      </c>
    </row>
    <row r="23" spans="1:12">
      <c r="A23" s="2">
        <v>19</v>
      </c>
      <c r="B23" s="4" t="s">
        <v>48</v>
      </c>
      <c r="C23" s="2" t="s">
        <v>9</v>
      </c>
      <c r="D23" s="2"/>
      <c r="E23" s="5">
        <v>6.45</v>
      </c>
      <c r="F23" s="20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12.5</v>
      </c>
      <c r="L23" s="5">
        <f t="shared" si="0"/>
        <v>0</v>
      </c>
    </row>
    <row r="24" spans="1:12">
      <c r="A24" s="2">
        <v>20</v>
      </c>
      <c r="B24" s="4" t="s">
        <v>50</v>
      </c>
      <c r="C24" s="2" t="s">
        <v>9</v>
      </c>
      <c r="D24" s="2"/>
      <c r="E24" s="5">
        <v>6</v>
      </c>
      <c r="F24" s="20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9</v>
      </c>
      <c r="L24" s="5">
        <f t="shared" si="0"/>
        <v>0</v>
      </c>
    </row>
    <row r="25" spans="1:12">
      <c r="A25" s="2">
        <v>21</v>
      </c>
      <c r="B25" s="4" t="s">
        <v>96</v>
      </c>
      <c r="C25" s="2" t="s">
        <v>9</v>
      </c>
      <c r="D25" s="2"/>
      <c r="E25" s="5">
        <v>6.8</v>
      </c>
      <c r="F25" s="20">
        <f t="shared" si="1"/>
        <v>0</v>
      </c>
      <c r="G25" s="2">
        <v>59</v>
      </c>
      <c r="H25" s="4" t="s">
        <v>252</v>
      </c>
      <c r="I25" s="2" t="s">
        <v>9</v>
      </c>
      <c r="J25" s="4"/>
      <c r="K25" s="2">
        <v>9</v>
      </c>
      <c r="L25" s="5">
        <f t="shared" si="0"/>
        <v>0</v>
      </c>
    </row>
    <row r="26" spans="1:12">
      <c r="A26" s="2">
        <v>22</v>
      </c>
      <c r="B26" s="4" t="s">
        <v>54</v>
      </c>
      <c r="C26" s="2" t="s">
        <v>9</v>
      </c>
      <c r="D26" s="2"/>
      <c r="E26" s="5">
        <v>5.4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5.95</v>
      </c>
      <c r="L26" s="5">
        <f t="shared" si="0"/>
        <v>0</v>
      </c>
    </row>
    <row r="27" spans="1:12">
      <c r="A27" s="2">
        <v>23</v>
      </c>
      <c r="B27" s="4" t="s">
        <v>56</v>
      </c>
      <c r="C27" s="2" t="s">
        <v>9</v>
      </c>
      <c r="D27" s="2"/>
      <c r="E27" s="5">
        <v>4.45</v>
      </c>
      <c r="F27" s="20">
        <f t="shared" si="1"/>
        <v>0</v>
      </c>
      <c r="G27" s="2">
        <v>61</v>
      </c>
      <c r="H27" s="4" t="s">
        <v>253</v>
      </c>
      <c r="I27" s="2" t="s">
        <v>9</v>
      </c>
      <c r="J27" s="4"/>
      <c r="K27" s="2">
        <v>3.5</v>
      </c>
      <c r="L27" s="5">
        <f t="shared" si="0"/>
        <v>0</v>
      </c>
    </row>
    <row r="28" spans="1:12">
      <c r="A28" s="2">
        <v>24</v>
      </c>
      <c r="B28" s="4" t="s">
        <v>58</v>
      </c>
      <c r="C28" s="2" t="s">
        <v>9</v>
      </c>
      <c r="D28" s="2"/>
      <c r="E28" s="5">
        <v>4.95</v>
      </c>
      <c r="F28" s="20">
        <f t="shared" si="1"/>
        <v>0</v>
      </c>
      <c r="G28" s="2">
        <v>62</v>
      </c>
      <c r="H28" s="4" t="s">
        <v>254</v>
      </c>
      <c r="I28" s="2" t="s">
        <v>9</v>
      </c>
      <c r="J28" s="4"/>
      <c r="K28" s="2">
        <v>7.7</v>
      </c>
      <c r="L28" s="5">
        <f t="shared" si="0"/>
        <v>0</v>
      </c>
    </row>
    <row r="29" spans="1:12">
      <c r="A29" s="2">
        <v>25</v>
      </c>
      <c r="B29" s="4" t="s">
        <v>60</v>
      </c>
      <c r="C29" s="2" t="s">
        <v>9</v>
      </c>
      <c r="D29" s="2"/>
      <c r="E29" s="5">
        <v>5.7</v>
      </c>
      <c r="F29" s="20">
        <f t="shared" si="1"/>
        <v>0</v>
      </c>
      <c r="G29" s="2">
        <v>63</v>
      </c>
      <c r="H29" s="4" t="s">
        <v>255</v>
      </c>
      <c r="I29" s="2" t="s">
        <v>9</v>
      </c>
      <c r="J29" s="4"/>
      <c r="K29" s="2">
        <v>5.9</v>
      </c>
      <c r="L29" s="5">
        <f t="shared" si="0"/>
        <v>0</v>
      </c>
    </row>
    <row r="30" spans="1:12">
      <c r="A30" s="2">
        <v>26</v>
      </c>
      <c r="B30" s="4" t="s">
        <v>62</v>
      </c>
      <c r="C30" s="2" t="s">
        <v>9</v>
      </c>
      <c r="D30" s="2"/>
      <c r="E30" s="5">
        <v>4.5999999999999996</v>
      </c>
      <c r="F30" s="5">
        <f t="shared" si="1"/>
        <v>0</v>
      </c>
      <c r="G30" s="2">
        <v>64</v>
      </c>
      <c r="H30" s="4" t="s">
        <v>256</v>
      </c>
      <c r="I30" s="2" t="s">
        <v>9</v>
      </c>
      <c r="J30" s="4"/>
      <c r="K30" s="2">
        <v>3.5</v>
      </c>
      <c r="L30" s="5">
        <f t="shared" si="0"/>
        <v>0</v>
      </c>
    </row>
    <row r="31" spans="1:12">
      <c r="A31" s="2">
        <v>27</v>
      </c>
      <c r="B31" s="4" t="s">
        <v>102</v>
      </c>
      <c r="C31" s="2" t="s">
        <v>9</v>
      </c>
      <c r="D31" s="2"/>
      <c r="E31" s="5">
        <v>5.95</v>
      </c>
      <c r="F31" s="5">
        <f t="shared" si="1"/>
        <v>0</v>
      </c>
      <c r="G31" s="2">
        <v>65</v>
      </c>
      <c r="H31" s="4" t="s">
        <v>257</v>
      </c>
      <c r="I31" s="2" t="s">
        <v>9</v>
      </c>
      <c r="J31" s="4"/>
      <c r="K31" s="2">
        <v>6.35</v>
      </c>
      <c r="L31" s="5">
        <f t="shared" si="0"/>
        <v>0</v>
      </c>
    </row>
    <row r="32" spans="1:12">
      <c r="A32" s="2">
        <v>28</v>
      </c>
      <c r="B32" s="4" t="s">
        <v>104</v>
      </c>
      <c r="C32" s="2" t="s">
        <v>9</v>
      </c>
      <c r="D32" s="2"/>
      <c r="E32" s="5">
        <v>7.7</v>
      </c>
      <c r="F32" s="20">
        <f t="shared" si="1"/>
        <v>0</v>
      </c>
      <c r="G32" s="2">
        <v>66</v>
      </c>
      <c r="H32" s="4" t="s">
        <v>258</v>
      </c>
      <c r="I32" s="2" t="s">
        <v>9</v>
      </c>
      <c r="J32" s="4"/>
      <c r="K32" s="2">
        <v>7.7</v>
      </c>
      <c r="L32" s="5">
        <f t="shared" si="0"/>
        <v>0</v>
      </c>
    </row>
    <row r="33" spans="1:13">
      <c r="A33" s="2">
        <v>29</v>
      </c>
      <c r="B33" s="4" t="s">
        <v>68</v>
      </c>
      <c r="C33" s="2" t="s">
        <v>9</v>
      </c>
      <c r="D33" s="2"/>
      <c r="E33" s="5">
        <v>5.5</v>
      </c>
      <c r="F33" s="5">
        <f t="shared" si="1"/>
        <v>0</v>
      </c>
      <c r="G33" s="2">
        <v>67</v>
      </c>
      <c r="H33" s="4" t="s">
        <v>259</v>
      </c>
      <c r="I33" s="2" t="s">
        <v>9</v>
      </c>
      <c r="J33" s="4"/>
      <c r="K33" s="2">
        <v>3.65</v>
      </c>
      <c r="L33" s="5">
        <f t="shared" si="0"/>
        <v>0</v>
      </c>
    </row>
    <row r="34" spans="1:13">
      <c r="A34" s="2">
        <v>30</v>
      </c>
      <c r="B34" s="4" t="s">
        <v>70</v>
      </c>
      <c r="C34" s="2" t="s">
        <v>9</v>
      </c>
      <c r="D34" s="2"/>
      <c r="E34" s="5">
        <v>6</v>
      </c>
      <c r="F34" s="5">
        <f t="shared" si="1"/>
        <v>0</v>
      </c>
      <c r="G34" s="2">
        <v>68</v>
      </c>
      <c r="H34" s="4"/>
      <c r="I34" s="2" t="s">
        <v>9</v>
      </c>
      <c r="J34" s="4"/>
      <c r="K34" s="2"/>
      <c r="L34" s="5">
        <f t="shared" si="0"/>
        <v>0</v>
      </c>
      <c r="M34" s="10"/>
    </row>
    <row r="35" spans="1:13">
      <c r="A35" s="2">
        <v>31</v>
      </c>
      <c r="B35" s="4" t="s">
        <v>72</v>
      </c>
      <c r="C35" s="2" t="s">
        <v>9</v>
      </c>
      <c r="D35" s="2"/>
      <c r="E35" s="5">
        <v>5.5</v>
      </c>
      <c r="F35" s="20">
        <f t="shared" si="1"/>
        <v>0</v>
      </c>
      <c r="G35" s="2">
        <v>69</v>
      </c>
      <c r="H35" s="4"/>
      <c r="I35" s="2" t="s">
        <v>9</v>
      </c>
      <c r="J35" s="4"/>
      <c r="K35" s="2"/>
      <c r="L35" s="5">
        <f t="shared" si="0"/>
        <v>0</v>
      </c>
    </row>
    <row r="36" spans="1:13">
      <c r="A36" s="2">
        <v>32</v>
      </c>
      <c r="B36" s="4" t="s">
        <v>74</v>
      </c>
      <c r="C36" s="2" t="s">
        <v>9</v>
      </c>
      <c r="D36" s="2"/>
      <c r="E36" s="2">
        <v>2.35</v>
      </c>
      <c r="F36" s="20">
        <f t="shared" si="1"/>
        <v>0</v>
      </c>
      <c r="G36" s="2">
        <v>70</v>
      </c>
      <c r="H36" s="4"/>
      <c r="I36" s="2" t="s">
        <v>9</v>
      </c>
      <c r="J36" s="4"/>
      <c r="K36" s="2"/>
      <c r="L36" s="5">
        <f t="shared" si="0"/>
        <v>0</v>
      </c>
    </row>
    <row r="37" spans="1:13">
      <c r="A37" s="2">
        <v>33</v>
      </c>
      <c r="B37" s="4" t="s">
        <v>76</v>
      </c>
      <c r="C37" s="2" t="s">
        <v>9</v>
      </c>
      <c r="D37" s="2"/>
      <c r="E37" s="2">
        <v>3.4</v>
      </c>
      <c r="F37" s="20">
        <f t="shared" si="1"/>
        <v>0</v>
      </c>
      <c r="G37" s="2">
        <v>71</v>
      </c>
      <c r="H37" s="4"/>
      <c r="I37" s="2" t="s">
        <v>9</v>
      </c>
      <c r="J37" s="4"/>
      <c r="K37" s="2"/>
      <c r="L37" s="5">
        <f t="shared" si="0"/>
        <v>0</v>
      </c>
      <c r="M37" s="11"/>
    </row>
    <row r="38" spans="1:13">
      <c r="A38" s="2">
        <v>34</v>
      </c>
      <c r="B38" s="4" t="s">
        <v>78</v>
      </c>
      <c r="C38" s="2" t="s">
        <v>9</v>
      </c>
      <c r="D38" s="2"/>
      <c r="E38" s="2">
        <v>6.45</v>
      </c>
      <c r="F38" s="20">
        <f t="shared" si="1"/>
        <v>0</v>
      </c>
      <c r="G38" s="2">
        <v>72</v>
      </c>
      <c r="H38" s="4"/>
      <c r="I38" s="2" t="s">
        <v>9</v>
      </c>
      <c r="J38" s="4"/>
      <c r="K38" s="2"/>
      <c r="L38" s="5">
        <f t="shared" si="0"/>
        <v>0</v>
      </c>
    </row>
    <row r="39" spans="1:13">
      <c r="A39" s="2">
        <v>35</v>
      </c>
      <c r="B39" s="4" t="s">
        <v>80</v>
      </c>
      <c r="C39" s="2" t="s">
        <v>9</v>
      </c>
      <c r="D39" s="2"/>
      <c r="E39" s="2">
        <v>3.95</v>
      </c>
      <c r="F39" s="20">
        <f t="shared" si="1"/>
        <v>0</v>
      </c>
      <c r="G39" s="2">
        <v>73</v>
      </c>
      <c r="H39" s="4"/>
      <c r="I39" s="2" t="s">
        <v>9</v>
      </c>
      <c r="J39" s="4"/>
      <c r="K39" s="2"/>
      <c r="L39" s="5">
        <f t="shared" si="0"/>
        <v>0</v>
      </c>
    </row>
    <row r="40" spans="1:13" ht="15.75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5+F6+F7+F8+F9+F10+F11+F12+L2+L3+L4++L5+L6+L7+L8+L9</f>
        <v>0</v>
      </c>
    </row>
    <row r="42" spans="1:13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>
  <dimension ref="A1:M42"/>
  <sheetViews>
    <sheetView topLeftCell="A19" workbookViewId="0">
      <selection activeCell="N12" sqref="N12"/>
    </sheetView>
  </sheetViews>
  <sheetFormatPr defaultRowHeight="15"/>
  <cols>
    <col min="1" max="1" width="4.7109375" style="17" customWidth="1"/>
    <col min="2" max="2" width="28.140625" customWidth="1"/>
    <col min="3" max="3" width="6.140625" customWidth="1"/>
    <col min="6" max="6" width="8.5703125" style="17" customWidth="1"/>
    <col min="7" max="7" width="4.85546875" style="17" customWidth="1"/>
    <col min="8" max="8" width="23.7109375" customWidth="1"/>
    <col min="9" max="9" width="6" bestFit="1" customWidth="1"/>
    <col min="10" max="10" width="6" customWidth="1"/>
    <col min="12" max="12" width="8.85546875" style="17"/>
  </cols>
  <sheetData>
    <row r="1" spans="1:12" ht="15.75">
      <c r="A1" s="30"/>
      <c r="B1" s="30"/>
      <c r="C1" s="30"/>
      <c r="D1" s="30" t="str">
        <f>[1]Сводная!D1</f>
        <v>19    12    2015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>
      <c r="A2" s="32" t="s">
        <v>246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</v>
      </c>
      <c r="L2" s="5">
        <f>J2*K2</f>
        <v>0</v>
      </c>
    </row>
    <row r="3" spans="1:12">
      <c r="A3" s="32" t="s">
        <v>247</v>
      </c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2.1</v>
      </c>
      <c r="L3" s="5">
        <f t="shared" ref="L3:L39" si="0">J3*K3</f>
        <v>0</v>
      </c>
    </row>
    <row r="4" spans="1:12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2.25</v>
      </c>
      <c r="L4" s="5">
        <f t="shared" si="0"/>
        <v>0</v>
      </c>
    </row>
    <row r="5" spans="1:12">
      <c r="A5" s="2">
        <v>1</v>
      </c>
      <c r="B5" s="4" t="s">
        <v>248</v>
      </c>
      <c r="C5" s="2" t="s">
        <v>9</v>
      </c>
      <c r="D5" s="2"/>
      <c r="E5" s="5">
        <v>6.55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2</v>
      </c>
      <c r="L5" s="5">
        <f t="shared" si="0"/>
        <v>0</v>
      </c>
    </row>
    <row r="6" spans="1:12">
      <c r="A6" s="2">
        <v>2</v>
      </c>
      <c r="B6" s="4" t="s">
        <v>14</v>
      </c>
      <c r="C6" s="2" t="s">
        <v>9</v>
      </c>
      <c r="D6" s="2"/>
      <c r="E6" s="5">
        <v>4.7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7.7</v>
      </c>
      <c r="L6" s="5">
        <f>J6*K6</f>
        <v>0</v>
      </c>
    </row>
    <row r="7" spans="1:12">
      <c r="A7" s="2">
        <v>3</v>
      </c>
      <c r="B7" s="4" t="s">
        <v>156</v>
      </c>
      <c r="C7" s="2" t="s">
        <v>9</v>
      </c>
      <c r="D7" s="2"/>
      <c r="E7" s="5">
        <v>5.2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2</v>
      </c>
      <c r="L7" s="5">
        <f t="shared" si="0"/>
        <v>0</v>
      </c>
    </row>
    <row r="8" spans="1:12">
      <c r="A8" s="2">
        <v>4</v>
      </c>
      <c r="B8" s="4" t="s">
        <v>18</v>
      </c>
      <c r="C8" s="2" t="s">
        <v>9</v>
      </c>
      <c r="D8" s="2"/>
      <c r="E8" s="5">
        <v>7.05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2.25</v>
      </c>
      <c r="L8" s="5">
        <f t="shared" si="0"/>
        <v>0</v>
      </c>
    </row>
    <row r="9" spans="1:12">
      <c r="A9" s="2">
        <v>5</v>
      </c>
      <c r="B9" s="4" t="s">
        <v>20</v>
      </c>
      <c r="C9" s="2" t="s">
        <v>9</v>
      </c>
      <c r="D9" s="2"/>
      <c r="E9" s="5">
        <v>4.9000000000000004</v>
      </c>
      <c r="F9" s="20">
        <f t="shared" si="1"/>
        <v>0</v>
      </c>
      <c r="G9" s="2">
        <v>43</v>
      </c>
      <c r="H9" s="4" t="s">
        <v>21</v>
      </c>
      <c r="I9" s="2" t="s">
        <v>9</v>
      </c>
      <c r="J9" s="2"/>
      <c r="K9" s="5">
        <v>2.4</v>
      </c>
      <c r="L9" s="5">
        <f t="shared" si="0"/>
        <v>0</v>
      </c>
    </row>
    <row r="10" spans="1:12">
      <c r="A10" s="2">
        <v>6</v>
      </c>
      <c r="B10" s="4" t="s">
        <v>22</v>
      </c>
      <c r="C10" s="2" t="s">
        <v>9</v>
      </c>
      <c r="D10" s="2"/>
      <c r="E10" s="5">
        <v>5.7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>
      <c r="A11" s="2">
        <v>7</v>
      </c>
      <c r="B11" s="4" t="s">
        <v>24</v>
      </c>
      <c r="C11" s="2" t="s">
        <v>9</v>
      </c>
      <c r="D11" s="2"/>
      <c r="E11" s="5">
        <v>5.2</v>
      </c>
      <c r="F11" s="20">
        <f t="shared" si="1"/>
        <v>0</v>
      </c>
      <c r="G11" s="2">
        <v>45</v>
      </c>
      <c r="H11" s="4" t="s">
        <v>249</v>
      </c>
      <c r="I11" s="2" t="s">
        <v>9</v>
      </c>
      <c r="J11" s="2"/>
      <c r="K11" s="5">
        <v>2.4</v>
      </c>
      <c r="L11" s="5">
        <f t="shared" si="0"/>
        <v>0</v>
      </c>
    </row>
    <row r="12" spans="1:12">
      <c r="A12" s="2">
        <v>8</v>
      </c>
      <c r="B12" s="4" t="s">
        <v>250</v>
      </c>
      <c r="C12" s="2" t="s">
        <v>9</v>
      </c>
      <c r="D12" s="2"/>
      <c r="E12" s="5">
        <v>5.2</v>
      </c>
      <c r="F12" s="20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2.1</v>
      </c>
      <c r="L12" s="5">
        <f t="shared" si="0"/>
        <v>0</v>
      </c>
    </row>
    <row r="13" spans="1:12">
      <c r="A13" s="2">
        <v>9</v>
      </c>
      <c r="B13" s="4" t="s">
        <v>162</v>
      </c>
      <c r="C13" s="2" t="s">
        <v>9</v>
      </c>
      <c r="D13" s="2"/>
      <c r="E13" s="5">
        <v>5.35</v>
      </c>
      <c r="F13" s="20">
        <f t="shared" si="1"/>
        <v>0</v>
      </c>
      <c r="G13" s="2">
        <v>47</v>
      </c>
      <c r="H13" s="4" t="s">
        <v>251</v>
      </c>
      <c r="I13" s="2" t="s">
        <v>9</v>
      </c>
      <c r="J13" s="2"/>
      <c r="K13" s="5">
        <v>2.1</v>
      </c>
      <c r="L13" s="5">
        <f t="shared" si="0"/>
        <v>0</v>
      </c>
    </row>
    <row r="14" spans="1:12">
      <c r="A14" s="2">
        <v>10</v>
      </c>
      <c r="B14" s="4" t="s">
        <v>30</v>
      </c>
      <c r="C14" s="2" t="s">
        <v>9</v>
      </c>
      <c r="D14" s="2"/>
      <c r="E14" s="5">
        <v>5.85</v>
      </c>
      <c r="F14" s="20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2.1</v>
      </c>
      <c r="L14" s="5">
        <f t="shared" si="0"/>
        <v>0</v>
      </c>
    </row>
    <row r="15" spans="1:12">
      <c r="A15" s="2">
        <v>11</v>
      </c>
      <c r="B15" s="4" t="s">
        <v>128</v>
      </c>
      <c r="C15" s="2" t="s">
        <v>9</v>
      </c>
      <c r="D15" s="2"/>
      <c r="E15" s="5">
        <v>6.5</v>
      </c>
      <c r="F15" s="20">
        <f t="shared" si="1"/>
        <v>0</v>
      </c>
      <c r="G15" s="2">
        <v>49</v>
      </c>
      <c r="H15" s="4" t="s">
        <v>129</v>
      </c>
      <c r="I15" s="2" t="s">
        <v>9</v>
      </c>
      <c r="J15" s="2"/>
      <c r="K15" s="5">
        <v>7.95</v>
      </c>
      <c r="L15" s="5">
        <f t="shared" si="0"/>
        <v>0</v>
      </c>
    </row>
    <row r="16" spans="1:12">
      <c r="A16" s="2">
        <v>12</v>
      </c>
      <c r="B16" s="4" t="s">
        <v>34</v>
      </c>
      <c r="C16" s="2" t="s">
        <v>9</v>
      </c>
      <c r="D16" s="2"/>
      <c r="E16" s="5">
        <v>6</v>
      </c>
      <c r="F16" s="20">
        <f t="shared" si="1"/>
        <v>0</v>
      </c>
      <c r="G16" s="2">
        <v>50</v>
      </c>
      <c r="H16" s="4" t="s">
        <v>35</v>
      </c>
      <c r="I16" s="2" t="s">
        <v>9</v>
      </c>
      <c r="J16" s="2"/>
      <c r="K16" s="5">
        <v>6.45</v>
      </c>
      <c r="L16" s="5">
        <f t="shared" si="0"/>
        <v>0</v>
      </c>
    </row>
    <row r="17" spans="1:12">
      <c r="A17" s="2">
        <v>13</v>
      </c>
      <c r="B17" s="4" t="s">
        <v>36</v>
      </c>
      <c r="C17" s="2" t="s">
        <v>9</v>
      </c>
      <c r="D17" s="2"/>
      <c r="E17" s="5">
        <v>6.5</v>
      </c>
      <c r="F17" s="20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6.35</v>
      </c>
      <c r="L17" s="5">
        <f t="shared" si="0"/>
        <v>0</v>
      </c>
    </row>
    <row r="18" spans="1:12">
      <c r="A18" s="2">
        <v>14</v>
      </c>
      <c r="B18" s="4" t="s">
        <v>38</v>
      </c>
      <c r="C18" s="2" t="s">
        <v>9</v>
      </c>
      <c r="D18" s="2"/>
      <c r="E18" s="5">
        <v>4.8</v>
      </c>
      <c r="F18" s="20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2.9</v>
      </c>
      <c r="L18" s="5">
        <f t="shared" si="0"/>
        <v>0</v>
      </c>
    </row>
    <row r="19" spans="1:12">
      <c r="A19" s="2">
        <v>15</v>
      </c>
      <c r="B19" s="4" t="s">
        <v>40</v>
      </c>
      <c r="C19" s="2" t="s">
        <v>9</v>
      </c>
      <c r="D19" s="2"/>
      <c r="E19" s="5">
        <v>5.3</v>
      </c>
      <c r="F19" s="20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11</v>
      </c>
      <c r="L19" s="5">
        <f t="shared" si="0"/>
        <v>0</v>
      </c>
    </row>
    <row r="20" spans="1:12">
      <c r="A20" s="2">
        <v>16</v>
      </c>
      <c r="B20" s="4" t="s">
        <v>42</v>
      </c>
      <c r="C20" s="2" t="s">
        <v>9</v>
      </c>
      <c r="D20" s="2"/>
      <c r="E20" s="5">
        <v>2.35</v>
      </c>
      <c r="F20" s="20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22</v>
      </c>
      <c r="L20" s="5">
        <f t="shared" si="0"/>
        <v>0</v>
      </c>
    </row>
    <row r="21" spans="1:12">
      <c r="A21" s="2">
        <v>17</v>
      </c>
      <c r="B21" s="4" t="s">
        <v>44</v>
      </c>
      <c r="C21" s="2" t="s">
        <v>9</v>
      </c>
      <c r="D21" s="2"/>
      <c r="E21" s="5">
        <v>1.3</v>
      </c>
      <c r="F21" s="20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34.5</v>
      </c>
      <c r="L21" s="5">
        <f t="shared" si="0"/>
        <v>0</v>
      </c>
    </row>
    <row r="22" spans="1:12">
      <c r="A22" s="2">
        <v>18</v>
      </c>
      <c r="B22" s="4" t="s">
        <v>46</v>
      </c>
      <c r="C22" s="2" t="s">
        <v>9</v>
      </c>
      <c r="D22" s="2"/>
      <c r="E22" s="5">
        <v>5.7</v>
      </c>
      <c r="F22" s="20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18.5</v>
      </c>
      <c r="L22" s="5">
        <f t="shared" si="0"/>
        <v>0</v>
      </c>
    </row>
    <row r="23" spans="1:12">
      <c r="A23" s="2">
        <v>19</v>
      </c>
      <c r="B23" s="4" t="s">
        <v>48</v>
      </c>
      <c r="C23" s="2" t="s">
        <v>9</v>
      </c>
      <c r="D23" s="2"/>
      <c r="E23" s="5">
        <v>6.45</v>
      </c>
      <c r="F23" s="20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12.5</v>
      </c>
      <c r="L23" s="5">
        <f t="shared" si="0"/>
        <v>0</v>
      </c>
    </row>
    <row r="24" spans="1:12">
      <c r="A24" s="2">
        <v>20</v>
      </c>
      <c r="B24" s="4" t="s">
        <v>50</v>
      </c>
      <c r="C24" s="2" t="s">
        <v>9</v>
      </c>
      <c r="D24" s="2"/>
      <c r="E24" s="5">
        <v>6</v>
      </c>
      <c r="F24" s="20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9</v>
      </c>
      <c r="L24" s="5">
        <f t="shared" si="0"/>
        <v>0</v>
      </c>
    </row>
    <row r="25" spans="1:12">
      <c r="A25" s="2">
        <v>21</v>
      </c>
      <c r="B25" s="4" t="s">
        <v>96</v>
      </c>
      <c r="C25" s="2" t="s">
        <v>9</v>
      </c>
      <c r="D25" s="2"/>
      <c r="E25" s="5">
        <v>6.8</v>
      </c>
      <c r="F25" s="20">
        <f t="shared" si="1"/>
        <v>0</v>
      </c>
      <c r="G25" s="2">
        <v>59</v>
      </c>
      <c r="H25" s="4" t="s">
        <v>252</v>
      </c>
      <c r="I25" s="2" t="s">
        <v>9</v>
      </c>
      <c r="J25" s="4"/>
      <c r="K25" s="2">
        <v>9</v>
      </c>
      <c r="L25" s="5">
        <f t="shared" si="0"/>
        <v>0</v>
      </c>
    </row>
    <row r="26" spans="1:12">
      <c r="A26" s="2">
        <v>22</v>
      </c>
      <c r="B26" s="4" t="s">
        <v>54</v>
      </c>
      <c r="C26" s="2" t="s">
        <v>9</v>
      </c>
      <c r="D26" s="2"/>
      <c r="E26" s="5">
        <v>5.4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5.95</v>
      </c>
      <c r="L26" s="5">
        <f t="shared" si="0"/>
        <v>0</v>
      </c>
    </row>
    <row r="27" spans="1:12">
      <c r="A27" s="2">
        <v>23</v>
      </c>
      <c r="B27" s="4" t="s">
        <v>56</v>
      </c>
      <c r="C27" s="2" t="s">
        <v>9</v>
      </c>
      <c r="D27" s="2"/>
      <c r="E27" s="5">
        <v>4.45</v>
      </c>
      <c r="F27" s="20">
        <f t="shared" si="1"/>
        <v>0</v>
      </c>
      <c r="G27" s="2">
        <v>61</v>
      </c>
      <c r="H27" s="4" t="s">
        <v>253</v>
      </c>
      <c r="I27" s="2" t="s">
        <v>9</v>
      </c>
      <c r="J27" s="4"/>
      <c r="K27" s="2">
        <v>3.5</v>
      </c>
      <c r="L27" s="5">
        <f t="shared" si="0"/>
        <v>0</v>
      </c>
    </row>
    <row r="28" spans="1:12">
      <c r="A28" s="2">
        <v>24</v>
      </c>
      <c r="B28" s="4" t="s">
        <v>58</v>
      </c>
      <c r="C28" s="2" t="s">
        <v>9</v>
      </c>
      <c r="D28" s="2"/>
      <c r="E28" s="5">
        <v>4.95</v>
      </c>
      <c r="F28" s="20">
        <f t="shared" si="1"/>
        <v>0</v>
      </c>
      <c r="G28" s="2">
        <v>62</v>
      </c>
      <c r="H28" s="4" t="s">
        <v>254</v>
      </c>
      <c r="I28" s="2" t="s">
        <v>9</v>
      </c>
      <c r="J28" s="4"/>
      <c r="K28" s="2">
        <v>7.7</v>
      </c>
      <c r="L28" s="5">
        <f t="shared" si="0"/>
        <v>0</v>
      </c>
    </row>
    <row r="29" spans="1:12">
      <c r="A29" s="2">
        <v>25</v>
      </c>
      <c r="B29" s="4" t="s">
        <v>60</v>
      </c>
      <c r="C29" s="2" t="s">
        <v>9</v>
      </c>
      <c r="D29" s="2"/>
      <c r="E29" s="5">
        <v>5.7</v>
      </c>
      <c r="F29" s="20">
        <f t="shared" si="1"/>
        <v>0</v>
      </c>
      <c r="G29" s="2">
        <v>63</v>
      </c>
      <c r="H29" s="4" t="s">
        <v>255</v>
      </c>
      <c r="I29" s="2" t="s">
        <v>9</v>
      </c>
      <c r="J29" s="4"/>
      <c r="K29" s="2">
        <v>5.9</v>
      </c>
      <c r="L29" s="5">
        <f t="shared" si="0"/>
        <v>0</v>
      </c>
    </row>
    <row r="30" spans="1:12">
      <c r="A30" s="2">
        <v>26</v>
      </c>
      <c r="B30" s="4" t="s">
        <v>62</v>
      </c>
      <c r="C30" s="2" t="s">
        <v>9</v>
      </c>
      <c r="D30" s="2"/>
      <c r="E30" s="5">
        <v>4.5999999999999996</v>
      </c>
      <c r="F30" s="5">
        <f t="shared" si="1"/>
        <v>0</v>
      </c>
      <c r="G30" s="2">
        <v>64</v>
      </c>
      <c r="H30" s="4" t="s">
        <v>256</v>
      </c>
      <c r="I30" s="2" t="s">
        <v>9</v>
      </c>
      <c r="J30" s="4"/>
      <c r="K30" s="2">
        <v>3.5</v>
      </c>
      <c r="L30" s="5">
        <f t="shared" si="0"/>
        <v>0</v>
      </c>
    </row>
    <row r="31" spans="1:12">
      <c r="A31" s="2">
        <v>27</v>
      </c>
      <c r="B31" s="4" t="s">
        <v>102</v>
      </c>
      <c r="C31" s="2" t="s">
        <v>9</v>
      </c>
      <c r="D31" s="2"/>
      <c r="E31" s="5">
        <v>5.95</v>
      </c>
      <c r="F31" s="5">
        <f t="shared" si="1"/>
        <v>0</v>
      </c>
      <c r="G31" s="2">
        <v>65</v>
      </c>
      <c r="H31" s="4" t="s">
        <v>257</v>
      </c>
      <c r="I31" s="2" t="s">
        <v>9</v>
      </c>
      <c r="J31" s="4"/>
      <c r="K31" s="2">
        <v>6.35</v>
      </c>
      <c r="L31" s="5">
        <f t="shared" si="0"/>
        <v>0</v>
      </c>
    </row>
    <row r="32" spans="1:12">
      <c r="A32" s="2">
        <v>28</v>
      </c>
      <c r="B32" s="4" t="s">
        <v>104</v>
      </c>
      <c r="C32" s="2" t="s">
        <v>9</v>
      </c>
      <c r="D32" s="2"/>
      <c r="E32" s="5">
        <v>7.7</v>
      </c>
      <c r="F32" s="20">
        <f t="shared" si="1"/>
        <v>0</v>
      </c>
      <c r="G32" s="2">
        <v>66</v>
      </c>
      <c r="H32" s="4" t="s">
        <v>258</v>
      </c>
      <c r="I32" s="2" t="s">
        <v>9</v>
      </c>
      <c r="J32" s="4"/>
      <c r="K32" s="2">
        <v>7.7</v>
      </c>
      <c r="L32" s="5">
        <f t="shared" si="0"/>
        <v>0</v>
      </c>
    </row>
    <row r="33" spans="1:13">
      <c r="A33" s="2">
        <v>29</v>
      </c>
      <c r="B33" s="4" t="s">
        <v>68</v>
      </c>
      <c r="C33" s="2" t="s">
        <v>9</v>
      </c>
      <c r="D33" s="2"/>
      <c r="E33" s="5">
        <v>5.5</v>
      </c>
      <c r="F33" s="5">
        <f t="shared" si="1"/>
        <v>0</v>
      </c>
      <c r="G33" s="2">
        <v>67</v>
      </c>
      <c r="H33" s="4" t="s">
        <v>259</v>
      </c>
      <c r="I33" s="2" t="s">
        <v>9</v>
      </c>
      <c r="J33" s="4"/>
      <c r="K33" s="2">
        <v>3.65</v>
      </c>
      <c r="L33" s="5">
        <f t="shared" si="0"/>
        <v>0</v>
      </c>
    </row>
    <row r="34" spans="1:13">
      <c r="A34" s="2">
        <v>30</v>
      </c>
      <c r="B34" s="4" t="s">
        <v>70</v>
      </c>
      <c r="C34" s="2" t="s">
        <v>9</v>
      </c>
      <c r="D34" s="2"/>
      <c r="E34" s="5">
        <v>6</v>
      </c>
      <c r="F34" s="5">
        <f t="shared" si="1"/>
        <v>0</v>
      </c>
      <c r="G34" s="2">
        <v>68</v>
      </c>
      <c r="H34" s="4"/>
      <c r="I34" s="2" t="s">
        <v>9</v>
      </c>
      <c r="J34" s="4"/>
      <c r="K34" s="2"/>
      <c r="L34" s="5">
        <f t="shared" si="0"/>
        <v>0</v>
      </c>
      <c r="M34" s="10"/>
    </row>
    <row r="35" spans="1:13">
      <c r="A35" s="2">
        <v>31</v>
      </c>
      <c r="B35" s="4" t="s">
        <v>72</v>
      </c>
      <c r="C35" s="2" t="s">
        <v>9</v>
      </c>
      <c r="D35" s="2"/>
      <c r="E35" s="5">
        <v>5.5</v>
      </c>
      <c r="F35" s="20">
        <f t="shared" si="1"/>
        <v>0</v>
      </c>
      <c r="G35" s="2">
        <v>69</v>
      </c>
      <c r="H35" s="4"/>
      <c r="I35" s="2" t="s">
        <v>9</v>
      </c>
      <c r="J35" s="4"/>
      <c r="K35" s="2"/>
      <c r="L35" s="5">
        <f t="shared" si="0"/>
        <v>0</v>
      </c>
    </row>
    <row r="36" spans="1:13">
      <c r="A36" s="2">
        <v>32</v>
      </c>
      <c r="B36" s="4" t="s">
        <v>74</v>
      </c>
      <c r="C36" s="2" t="s">
        <v>9</v>
      </c>
      <c r="D36" s="2"/>
      <c r="E36" s="2">
        <v>2.35</v>
      </c>
      <c r="F36" s="20">
        <f t="shared" si="1"/>
        <v>0</v>
      </c>
      <c r="G36" s="2">
        <v>70</v>
      </c>
      <c r="H36" s="4"/>
      <c r="I36" s="2" t="s">
        <v>9</v>
      </c>
      <c r="J36" s="4"/>
      <c r="K36" s="2"/>
      <c r="L36" s="5">
        <f t="shared" si="0"/>
        <v>0</v>
      </c>
    </row>
    <row r="37" spans="1:13">
      <c r="A37" s="2">
        <v>33</v>
      </c>
      <c r="B37" s="4" t="s">
        <v>76</v>
      </c>
      <c r="C37" s="2" t="s">
        <v>9</v>
      </c>
      <c r="D37" s="2"/>
      <c r="E37" s="2">
        <v>3.4</v>
      </c>
      <c r="F37" s="20">
        <f t="shared" si="1"/>
        <v>0</v>
      </c>
      <c r="G37" s="2">
        <v>71</v>
      </c>
      <c r="H37" s="4"/>
      <c r="I37" s="2" t="s">
        <v>9</v>
      </c>
      <c r="J37" s="4"/>
      <c r="K37" s="2"/>
      <c r="L37" s="5">
        <f t="shared" si="0"/>
        <v>0</v>
      </c>
      <c r="M37" s="11"/>
    </row>
    <row r="38" spans="1:13">
      <c r="A38" s="2">
        <v>34</v>
      </c>
      <c r="B38" s="4" t="s">
        <v>78</v>
      </c>
      <c r="C38" s="2" t="s">
        <v>9</v>
      </c>
      <c r="D38" s="2"/>
      <c r="E38" s="2">
        <v>6.45</v>
      </c>
      <c r="F38" s="20">
        <f t="shared" si="1"/>
        <v>0</v>
      </c>
      <c r="G38" s="2">
        <v>72</v>
      </c>
      <c r="H38" s="4"/>
      <c r="I38" s="2" t="s">
        <v>9</v>
      </c>
      <c r="J38" s="4"/>
      <c r="K38" s="2"/>
      <c r="L38" s="5">
        <f t="shared" si="0"/>
        <v>0</v>
      </c>
    </row>
    <row r="39" spans="1:13">
      <c r="A39" s="2">
        <v>35</v>
      </c>
      <c r="B39" s="4" t="s">
        <v>80</v>
      </c>
      <c r="C39" s="2" t="s">
        <v>9</v>
      </c>
      <c r="D39" s="2"/>
      <c r="E39" s="2">
        <v>3.95</v>
      </c>
      <c r="F39" s="20">
        <f t="shared" si="1"/>
        <v>0</v>
      </c>
      <c r="G39" s="2">
        <v>73</v>
      </c>
      <c r="H39" s="4"/>
      <c r="I39" s="2" t="s">
        <v>9</v>
      </c>
      <c r="J39" s="4"/>
      <c r="K39" s="2"/>
      <c r="L39" s="5">
        <f t="shared" si="0"/>
        <v>0</v>
      </c>
    </row>
    <row r="40" spans="1:13" ht="15.75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5+F6+F7+F8+F9+F10+F11+F12+L2+L3+L4++L5+L6+L7+L8+L9</f>
        <v>0</v>
      </c>
    </row>
    <row r="42" spans="1:13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>
  <dimension ref="A1:M42"/>
  <sheetViews>
    <sheetView topLeftCell="A19" workbookViewId="0">
      <selection activeCell="N12" sqref="N12"/>
    </sheetView>
  </sheetViews>
  <sheetFormatPr defaultRowHeight="15"/>
  <cols>
    <col min="1" max="1" width="4.7109375" style="17" customWidth="1"/>
    <col min="2" max="2" width="28.140625" customWidth="1"/>
    <col min="3" max="3" width="6.140625" customWidth="1"/>
    <col min="6" max="6" width="8.5703125" style="17" customWidth="1"/>
    <col min="7" max="7" width="4.85546875" style="17" customWidth="1"/>
    <col min="8" max="8" width="23.7109375" customWidth="1"/>
    <col min="9" max="9" width="6" bestFit="1" customWidth="1"/>
    <col min="10" max="10" width="6" customWidth="1"/>
    <col min="12" max="12" width="8.85546875" style="17"/>
  </cols>
  <sheetData>
    <row r="1" spans="1:12" ht="15.75">
      <c r="A1" s="30"/>
      <c r="B1" s="30"/>
      <c r="C1" s="30"/>
      <c r="D1" s="30" t="str">
        <f>[1]Сводная!D1</f>
        <v>19    12    2015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>
      <c r="A2" s="32" t="s">
        <v>246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</v>
      </c>
      <c r="L2" s="5">
        <f>J2*K2</f>
        <v>0</v>
      </c>
    </row>
    <row r="3" spans="1:12">
      <c r="A3" s="32" t="s">
        <v>247</v>
      </c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2.1</v>
      </c>
      <c r="L3" s="5">
        <f t="shared" ref="L3:L39" si="0">J3*K3</f>
        <v>0</v>
      </c>
    </row>
    <row r="4" spans="1:12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2.25</v>
      </c>
      <c r="L4" s="5">
        <f t="shared" si="0"/>
        <v>0</v>
      </c>
    </row>
    <row r="5" spans="1:12">
      <c r="A5" s="2">
        <v>1</v>
      </c>
      <c r="B5" s="4" t="s">
        <v>248</v>
      </c>
      <c r="C5" s="2" t="s">
        <v>9</v>
      </c>
      <c r="D5" s="2"/>
      <c r="E5" s="5">
        <v>6.55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2</v>
      </c>
      <c r="L5" s="5">
        <f t="shared" si="0"/>
        <v>0</v>
      </c>
    </row>
    <row r="6" spans="1:12">
      <c r="A6" s="2">
        <v>2</v>
      </c>
      <c r="B6" s="4" t="s">
        <v>14</v>
      </c>
      <c r="C6" s="2" t="s">
        <v>9</v>
      </c>
      <c r="D6" s="2"/>
      <c r="E6" s="5">
        <v>4.7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7.7</v>
      </c>
      <c r="L6" s="5">
        <f>J6*K6</f>
        <v>0</v>
      </c>
    </row>
    <row r="7" spans="1:12">
      <c r="A7" s="2">
        <v>3</v>
      </c>
      <c r="B7" s="4" t="s">
        <v>156</v>
      </c>
      <c r="C7" s="2" t="s">
        <v>9</v>
      </c>
      <c r="D7" s="2"/>
      <c r="E7" s="5">
        <v>5.2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2</v>
      </c>
      <c r="L7" s="5">
        <f t="shared" si="0"/>
        <v>0</v>
      </c>
    </row>
    <row r="8" spans="1:12">
      <c r="A8" s="2">
        <v>4</v>
      </c>
      <c r="B8" s="4" t="s">
        <v>18</v>
      </c>
      <c r="C8" s="2" t="s">
        <v>9</v>
      </c>
      <c r="D8" s="2"/>
      <c r="E8" s="5">
        <v>7.05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2.25</v>
      </c>
      <c r="L8" s="5">
        <f t="shared" si="0"/>
        <v>0</v>
      </c>
    </row>
    <row r="9" spans="1:12">
      <c r="A9" s="2">
        <v>5</v>
      </c>
      <c r="B9" s="4" t="s">
        <v>20</v>
      </c>
      <c r="C9" s="2" t="s">
        <v>9</v>
      </c>
      <c r="D9" s="2"/>
      <c r="E9" s="5">
        <v>4.9000000000000004</v>
      </c>
      <c r="F9" s="20">
        <f t="shared" si="1"/>
        <v>0</v>
      </c>
      <c r="G9" s="2">
        <v>43</v>
      </c>
      <c r="H9" s="4" t="s">
        <v>21</v>
      </c>
      <c r="I9" s="2" t="s">
        <v>9</v>
      </c>
      <c r="J9" s="2"/>
      <c r="K9" s="5">
        <v>2.4</v>
      </c>
      <c r="L9" s="5">
        <f t="shared" si="0"/>
        <v>0</v>
      </c>
    </row>
    <row r="10" spans="1:12">
      <c r="A10" s="2">
        <v>6</v>
      </c>
      <c r="B10" s="4" t="s">
        <v>22</v>
      </c>
      <c r="C10" s="2" t="s">
        <v>9</v>
      </c>
      <c r="D10" s="2"/>
      <c r="E10" s="5">
        <v>5.7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>
      <c r="A11" s="2">
        <v>7</v>
      </c>
      <c r="B11" s="4" t="s">
        <v>24</v>
      </c>
      <c r="C11" s="2" t="s">
        <v>9</v>
      </c>
      <c r="D11" s="2"/>
      <c r="E11" s="5">
        <v>5.2</v>
      </c>
      <c r="F11" s="20">
        <f t="shared" si="1"/>
        <v>0</v>
      </c>
      <c r="G11" s="2">
        <v>45</v>
      </c>
      <c r="H11" s="4" t="s">
        <v>249</v>
      </c>
      <c r="I11" s="2" t="s">
        <v>9</v>
      </c>
      <c r="J11" s="2"/>
      <c r="K11" s="5">
        <v>2.4</v>
      </c>
      <c r="L11" s="5">
        <f t="shared" si="0"/>
        <v>0</v>
      </c>
    </row>
    <row r="12" spans="1:12">
      <c r="A12" s="2">
        <v>8</v>
      </c>
      <c r="B12" s="4" t="s">
        <v>250</v>
      </c>
      <c r="C12" s="2" t="s">
        <v>9</v>
      </c>
      <c r="D12" s="2"/>
      <c r="E12" s="5">
        <v>5.2</v>
      </c>
      <c r="F12" s="20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2.1</v>
      </c>
      <c r="L12" s="5">
        <f t="shared" si="0"/>
        <v>0</v>
      </c>
    </row>
    <row r="13" spans="1:12">
      <c r="A13" s="2">
        <v>9</v>
      </c>
      <c r="B13" s="4" t="s">
        <v>162</v>
      </c>
      <c r="C13" s="2" t="s">
        <v>9</v>
      </c>
      <c r="D13" s="2"/>
      <c r="E13" s="5">
        <v>5.35</v>
      </c>
      <c r="F13" s="20">
        <f t="shared" si="1"/>
        <v>0</v>
      </c>
      <c r="G13" s="2">
        <v>47</v>
      </c>
      <c r="H13" s="4" t="s">
        <v>251</v>
      </c>
      <c r="I13" s="2" t="s">
        <v>9</v>
      </c>
      <c r="J13" s="2"/>
      <c r="K13" s="5">
        <v>2.1</v>
      </c>
      <c r="L13" s="5">
        <f t="shared" si="0"/>
        <v>0</v>
      </c>
    </row>
    <row r="14" spans="1:12">
      <c r="A14" s="2">
        <v>10</v>
      </c>
      <c r="B14" s="4" t="s">
        <v>30</v>
      </c>
      <c r="C14" s="2" t="s">
        <v>9</v>
      </c>
      <c r="D14" s="2"/>
      <c r="E14" s="5">
        <v>5.85</v>
      </c>
      <c r="F14" s="20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2.1</v>
      </c>
      <c r="L14" s="5">
        <f t="shared" si="0"/>
        <v>0</v>
      </c>
    </row>
    <row r="15" spans="1:12">
      <c r="A15" s="2">
        <v>11</v>
      </c>
      <c r="B15" s="4" t="s">
        <v>128</v>
      </c>
      <c r="C15" s="2" t="s">
        <v>9</v>
      </c>
      <c r="D15" s="2"/>
      <c r="E15" s="5">
        <v>6.5</v>
      </c>
      <c r="F15" s="20">
        <f t="shared" si="1"/>
        <v>0</v>
      </c>
      <c r="G15" s="2">
        <v>49</v>
      </c>
      <c r="H15" s="4" t="s">
        <v>129</v>
      </c>
      <c r="I15" s="2" t="s">
        <v>9</v>
      </c>
      <c r="J15" s="2"/>
      <c r="K15" s="5">
        <v>7.95</v>
      </c>
      <c r="L15" s="5">
        <f t="shared" si="0"/>
        <v>0</v>
      </c>
    </row>
    <row r="16" spans="1:12">
      <c r="A16" s="2">
        <v>12</v>
      </c>
      <c r="B16" s="4" t="s">
        <v>34</v>
      </c>
      <c r="C16" s="2" t="s">
        <v>9</v>
      </c>
      <c r="D16" s="2"/>
      <c r="E16" s="5">
        <v>6</v>
      </c>
      <c r="F16" s="20">
        <f t="shared" si="1"/>
        <v>0</v>
      </c>
      <c r="G16" s="2">
        <v>50</v>
      </c>
      <c r="H16" s="4" t="s">
        <v>35</v>
      </c>
      <c r="I16" s="2" t="s">
        <v>9</v>
      </c>
      <c r="J16" s="2"/>
      <c r="K16" s="5">
        <v>6.45</v>
      </c>
      <c r="L16" s="5">
        <f t="shared" si="0"/>
        <v>0</v>
      </c>
    </row>
    <row r="17" spans="1:12">
      <c r="A17" s="2">
        <v>13</v>
      </c>
      <c r="B17" s="4" t="s">
        <v>36</v>
      </c>
      <c r="C17" s="2" t="s">
        <v>9</v>
      </c>
      <c r="D17" s="2"/>
      <c r="E17" s="5">
        <v>6.5</v>
      </c>
      <c r="F17" s="20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6.35</v>
      </c>
      <c r="L17" s="5">
        <f t="shared" si="0"/>
        <v>0</v>
      </c>
    </row>
    <row r="18" spans="1:12">
      <c r="A18" s="2">
        <v>14</v>
      </c>
      <c r="B18" s="4" t="s">
        <v>38</v>
      </c>
      <c r="C18" s="2" t="s">
        <v>9</v>
      </c>
      <c r="D18" s="2"/>
      <c r="E18" s="5">
        <v>4.8</v>
      </c>
      <c r="F18" s="20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2.9</v>
      </c>
      <c r="L18" s="5">
        <f t="shared" si="0"/>
        <v>0</v>
      </c>
    </row>
    <row r="19" spans="1:12">
      <c r="A19" s="2">
        <v>15</v>
      </c>
      <c r="B19" s="4" t="s">
        <v>40</v>
      </c>
      <c r="C19" s="2" t="s">
        <v>9</v>
      </c>
      <c r="D19" s="2"/>
      <c r="E19" s="5">
        <v>5.3</v>
      </c>
      <c r="F19" s="20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11</v>
      </c>
      <c r="L19" s="5">
        <f t="shared" si="0"/>
        <v>0</v>
      </c>
    </row>
    <row r="20" spans="1:12">
      <c r="A20" s="2">
        <v>16</v>
      </c>
      <c r="B20" s="4" t="s">
        <v>42</v>
      </c>
      <c r="C20" s="2" t="s">
        <v>9</v>
      </c>
      <c r="D20" s="2"/>
      <c r="E20" s="5">
        <v>2.35</v>
      </c>
      <c r="F20" s="20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22</v>
      </c>
      <c r="L20" s="5">
        <f t="shared" si="0"/>
        <v>0</v>
      </c>
    </row>
    <row r="21" spans="1:12">
      <c r="A21" s="2">
        <v>17</v>
      </c>
      <c r="B21" s="4" t="s">
        <v>44</v>
      </c>
      <c r="C21" s="2" t="s">
        <v>9</v>
      </c>
      <c r="D21" s="2"/>
      <c r="E21" s="5">
        <v>1.3</v>
      </c>
      <c r="F21" s="20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34.5</v>
      </c>
      <c r="L21" s="5">
        <f t="shared" si="0"/>
        <v>0</v>
      </c>
    </row>
    <row r="22" spans="1:12">
      <c r="A22" s="2">
        <v>18</v>
      </c>
      <c r="B22" s="4" t="s">
        <v>46</v>
      </c>
      <c r="C22" s="2" t="s">
        <v>9</v>
      </c>
      <c r="D22" s="2"/>
      <c r="E22" s="5">
        <v>5.7</v>
      </c>
      <c r="F22" s="20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18.5</v>
      </c>
      <c r="L22" s="5">
        <f t="shared" si="0"/>
        <v>0</v>
      </c>
    </row>
    <row r="23" spans="1:12">
      <c r="A23" s="2">
        <v>19</v>
      </c>
      <c r="B23" s="4" t="s">
        <v>48</v>
      </c>
      <c r="C23" s="2" t="s">
        <v>9</v>
      </c>
      <c r="D23" s="2"/>
      <c r="E23" s="5">
        <v>6.45</v>
      </c>
      <c r="F23" s="20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12.5</v>
      </c>
      <c r="L23" s="5">
        <f t="shared" si="0"/>
        <v>0</v>
      </c>
    </row>
    <row r="24" spans="1:12">
      <c r="A24" s="2">
        <v>20</v>
      </c>
      <c r="B24" s="4" t="s">
        <v>50</v>
      </c>
      <c r="C24" s="2" t="s">
        <v>9</v>
      </c>
      <c r="D24" s="2"/>
      <c r="E24" s="5">
        <v>6</v>
      </c>
      <c r="F24" s="20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9</v>
      </c>
      <c r="L24" s="5">
        <f t="shared" si="0"/>
        <v>0</v>
      </c>
    </row>
    <row r="25" spans="1:12">
      <c r="A25" s="2">
        <v>21</v>
      </c>
      <c r="B25" s="4" t="s">
        <v>96</v>
      </c>
      <c r="C25" s="2" t="s">
        <v>9</v>
      </c>
      <c r="D25" s="2"/>
      <c r="E25" s="5">
        <v>6.8</v>
      </c>
      <c r="F25" s="20">
        <f t="shared" si="1"/>
        <v>0</v>
      </c>
      <c r="G25" s="2">
        <v>59</v>
      </c>
      <c r="H25" s="4" t="s">
        <v>252</v>
      </c>
      <c r="I25" s="2" t="s">
        <v>9</v>
      </c>
      <c r="J25" s="4"/>
      <c r="K25" s="2">
        <v>9</v>
      </c>
      <c r="L25" s="5">
        <f t="shared" si="0"/>
        <v>0</v>
      </c>
    </row>
    <row r="26" spans="1:12">
      <c r="A26" s="2">
        <v>22</v>
      </c>
      <c r="B26" s="4" t="s">
        <v>54</v>
      </c>
      <c r="C26" s="2" t="s">
        <v>9</v>
      </c>
      <c r="D26" s="2"/>
      <c r="E26" s="5">
        <v>5.4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5.95</v>
      </c>
      <c r="L26" s="5">
        <f t="shared" si="0"/>
        <v>0</v>
      </c>
    </row>
    <row r="27" spans="1:12">
      <c r="A27" s="2">
        <v>23</v>
      </c>
      <c r="B27" s="4" t="s">
        <v>56</v>
      </c>
      <c r="C27" s="2" t="s">
        <v>9</v>
      </c>
      <c r="D27" s="2"/>
      <c r="E27" s="5">
        <v>4.45</v>
      </c>
      <c r="F27" s="20">
        <f t="shared" si="1"/>
        <v>0</v>
      </c>
      <c r="G27" s="2">
        <v>61</v>
      </c>
      <c r="H27" s="4" t="s">
        <v>253</v>
      </c>
      <c r="I27" s="2" t="s">
        <v>9</v>
      </c>
      <c r="J27" s="4"/>
      <c r="K27" s="2">
        <v>3.5</v>
      </c>
      <c r="L27" s="5">
        <f t="shared" si="0"/>
        <v>0</v>
      </c>
    </row>
    <row r="28" spans="1:12">
      <c r="A28" s="2">
        <v>24</v>
      </c>
      <c r="B28" s="4" t="s">
        <v>58</v>
      </c>
      <c r="C28" s="2" t="s">
        <v>9</v>
      </c>
      <c r="D28" s="2"/>
      <c r="E28" s="5">
        <v>4.95</v>
      </c>
      <c r="F28" s="20">
        <f t="shared" si="1"/>
        <v>0</v>
      </c>
      <c r="G28" s="2">
        <v>62</v>
      </c>
      <c r="H28" s="4" t="s">
        <v>254</v>
      </c>
      <c r="I28" s="2" t="s">
        <v>9</v>
      </c>
      <c r="J28" s="4"/>
      <c r="K28" s="2">
        <v>7.7</v>
      </c>
      <c r="L28" s="5">
        <f t="shared" si="0"/>
        <v>0</v>
      </c>
    </row>
    <row r="29" spans="1:12">
      <c r="A29" s="2">
        <v>25</v>
      </c>
      <c r="B29" s="4" t="s">
        <v>60</v>
      </c>
      <c r="C29" s="2" t="s">
        <v>9</v>
      </c>
      <c r="D29" s="2"/>
      <c r="E29" s="5">
        <v>5.7</v>
      </c>
      <c r="F29" s="20">
        <f t="shared" si="1"/>
        <v>0</v>
      </c>
      <c r="G29" s="2">
        <v>63</v>
      </c>
      <c r="H29" s="4" t="s">
        <v>255</v>
      </c>
      <c r="I29" s="2" t="s">
        <v>9</v>
      </c>
      <c r="J29" s="4"/>
      <c r="K29" s="2">
        <v>5.9</v>
      </c>
      <c r="L29" s="5">
        <f t="shared" si="0"/>
        <v>0</v>
      </c>
    </row>
    <row r="30" spans="1:12">
      <c r="A30" s="2">
        <v>26</v>
      </c>
      <c r="B30" s="4" t="s">
        <v>62</v>
      </c>
      <c r="C30" s="2" t="s">
        <v>9</v>
      </c>
      <c r="D30" s="2"/>
      <c r="E30" s="5">
        <v>4.5999999999999996</v>
      </c>
      <c r="F30" s="5">
        <f t="shared" si="1"/>
        <v>0</v>
      </c>
      <c r="G30" s="2">
        <v>64</v>
      </c>
      <c r="H30" s="4" t="s">
        <v>256</v>
      </c>
      <c r="I30" s="2" t="s">
        <v>9</v>
      </c>
      <c r="J30" s="4"/>
      <c r="K30" s="2">
        <v>3.5</v>
      </c>
      <c r="L30" s="5">
        <f t="shared" si="0"/>
        <v>0</v>
      </c>
    </row>
    <row r="31" spans="1:12">
      <c r="A31" s="2">
        <v>27</v>
      </c>
      <c r="B31" s="4" t="s">
        <v>102</v>
      </c>
      <c r="C31" s="2" t="s">
        <v>9</v>
      </c>
      <c r="D31" s="2"/>
      <c r="E31" s="5">
        <v>5.95</v>
      </c>
      <c r="F31" s="5">
        <f t="shared" si="1"/>
        <v>0</v>
      </c>
      <c r="G31" s="2">
        <v>65</v>
      </c>
      <c r="H31" s="4" t="s">
        <v>257</v>
      </c>
      <c r="I31" s="2" t="s">
        <v>9</v>
      </c>
      <c r="J31" s="4"/>
      <c r="K31" s="2">
        <v>6.35</v>
      </c>
      <c r="L31" s="5">
        <f t="shared" si="0"/>
        <v>0</v>
      </c>
    </row>
    <row r="32" spans="1:12">
      <c r="A32" s="2">
        <v>28</v>
      </c>
      <c r="B32" s="4" t="s">
        <v>104</v>
      </c>
      <c r="C32" s="2" t="s">
        <v>9</v>
      </c>
      <c r="D32" s="2"/>
      <c r="E32" s="5">
        <v>7.7</v>
      </c>
      <c r="F32" s="20">
        <f t="shared" si="1"/>
        <v>0</v>
      </c>
      <c r="G32" s="2">
        <v>66</v>
      </c>
      <c r="H32" s="4" t="s">
        <v>258</v>
      </c>
      <c r="I32" s="2" t="s">
        <v>9</v>
      </c>
      <c r="J32" s="4"/>
      <c r="K32" s="2">
        <v>7.7</v>
      </c>
      <c r="L32" s="5">
        <f t="shared" si="0"/>
        <v>0</v>
      </c>
    </row>
    <row r="33" spans="1:13">
      <c r="A33" s="2">
        <v>29</v>
      </c>
      <c r="B33" s="4" t="s">
        <v>68</v>
      </c>
      <c r="C33" s="2" t="s">
        <v>9</v>
      </c>
      <c r="D33" s="2"/>
      <c r="E33" s="5">
        <v>5.5</v>
      </c>
      <c r="F33" s="5">
        <f t="shared" si="1"/>
        <v>0</v>
      </c>
      <c r="G33" s="2">
        <v>67</v>
      </c>
      <c r="H33" s="4" t="s">
        <v>259</v>
      </c>
      <c r="I33" s="2" t="s">
        <v>9</v>
      </c>
      <c r="J33" s="4"/>
      <c r="K33" s="2">
        <v>3.65</v>
      </c>
      <c r="L33" s="5">
        <f t="shared" si="0"/>
        <v>0</v>
      </c>
    </row>
    <row r="34" spans="1:13">
      <c r="A34" s="2">
        <v>30</v>
      </c>
      <c r="B34" s="4" t="s">
        <v>70</v>
      </c>
      <c r="C34" s="2" t="s">
        <v>9</v>
      </c>
      <c r="D34" s="2"/>
      <c r="E34" s="5">
        <v>6</v>
      </c>
      <c r="F34" s="5">
        <f t="shared" si="1"/>
        <v>0</v>
      </c>
      <c r="G34" s="2">
        <v>68</v>
      </c>
      <c r="H34" s="4"/>
      <c r="I34" s="2" t="s">
        <v>9</v>
      </c>
      <c r="J34" s="4"/>
      <c r="K34" s="2"/>
      <c r="L34" s="5">
        <f t="shared" si="0"/>
        <v>0</v>
      </c>
      <c r="M34" s="10"/>
    </row>
    <row r="35" spans="1:13">
      <c r="A35" s="2">
        <v>31</v>
      </c>
      <c r="B35" s="4" t="s">
        <v>72</v>
      </c>
      <c r="C35" s="2" t="s">
        <v>9</v>
      </c>
      <c r="D35" s="2"/>
      <c r="E35" s="5">
        <v>5.5</v>
      </c>
      <c r="F35" s="20">
        <f t="shared" si="1"/>
        <v>0</v>
      </c>
      <c r="G35" s="2">
        <v>69</v>
      </c>
      <c r="H35" s="4"/>
      <c r="I35" s="2" t="s">
        <v>9</v>
      </c>
      <c r="J35" s="4"/>
      <c r="K35" s="2"/>
      <c r="L35" s="5">
        <f t="shared" si="0"/>
        <v>0</v>
      </c>
    </row>
    <row r="36" spans="1:13">
      <c r="A36" s="2">
        <v>32</v>
      </c>
      <c r="B36" s="4" t="s">
        <v>74</v>
      </c>
      <c r="C36" s="2" t="s">
        <v>9</v>
      </c>
      <c r="D36" s="2"/>
      <c r="E36" s="2">
        <v>2.35</v>
      </c>
      <c r="F36" s="20">
        <f t="shared" si="1"/>
        <v>0</v>
      </c>
      <c r="G36" s="2">
        <v>70</v>
      </c>
      <c r="H36" s="4"/>
      <c r="I36" s="2" t="s">
        <v>9</v>
      </c>
      <c r="J36" s="4"/>
      <c r="K36" s="2"/>
      <c r="L36" s="5">
        <f t="shared" si="0"/>
        <v>0</v>
      </c>
    </row>
    <row r="37" spans="1:13">
      <c r="A37" s="2">
        <v>33</v>
      </c>
      <c r="B37" s="4" t="s">
        <v>76</v>
      </c>
      <c r="C37" s="2" t="s">
        <v>9</v>
      </c>
      <c r="D37" s="2"/>
      <c r="E37" s="2">
        <v>3.4</v>
      </c>
      <c r="F37" s="20">
        <f t="shared" si="1"/>
        <v>0</v>
      </c>
      <c r="G37" s="2">
        <v>71</v>
      </c>
      <c r="H37" s="4"/>
      <c r="I37" s="2" t="s">
        <v>9</v>
      </c>
      <c r="J37" s="4"/>
      <c r="K37" s="2"/>
      <c r="L37" s="5">
        <f t="shared" si="0"/>
        <v>0</v>
      </c>
      <c r="M37" s="11"/>
    </row>
    <row r="38" spans="1:13">
      <c r="A38" s="2">
        <v>34</v>
      </c>
      <c r="B38" s="4" t="s">
        <v>78</v>
      </c>
      <c r="C38" s="2" t="s">
        <v>9</v>
      </c>
      <c r="D38" s="2"/>
      <c r="E38" s="2">
        <v>6.45</v>
      </c>
      <c r="F38" s="20">
        <f t="shared" si="1"/>
        <v>0</v>
      </c>
      <c r="G38" s="2">
        <v>72</v>
      </c>
      <c r="H38" s="4"/>
      <c r="I38" s="2" t="s">
        <v>9</v>
      </c>
      <c r="J38" s="4"/>
      <c r="K38" s="2"/>
      <c r="L38" s="5">
        <f t="shared" si="0"/>
        <v>0</v>
      </c>
    </row>
    <row r="39" spans="1:13">
      <c r="A39" s="2">
        <v>35</v>
      </c>
      <c r="B39" s="4" t="s">
        <v>80</v>
      </c>
      <c r="C39" s="2" t="s">
        <v>9</v>
      </c>
      <c r="D39" s="2"/>
      <c r="E39" s="2">
        <v>3.95</v>
      </c>
      <c r="F39" s="20">
        <f t="shared" si="1"/>
        <v>0</v>
      </c>
      <c r="G39" s="2">
        <v>73</v>
      </c>
      <c r="H39" s="4"/>
      <c r="I39" s="2" t="s">
        <v>9</v>
      </c>
      <c r="J39" s="4"/>
      <c r="K39" s="2"/>
      <c r="L39" s="5">
        <f t="shared" si="0"/>
        <v>0</v>
      </c>
    </row>
    <row r="40" spans="1:13" ht="15.75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5+F6+F7+F8+F9+F10+F11+F12+L2+L3+L4++L5+L6+L7+L8+L9</f>
        <v>0</v>
      </c>
    </row>
    <row r="42" spans="1:13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>
  <sheetPr>
    <tabColor rgb="FFFF0000"/>
  </sheetPr>
  <dimension ref="A1:M42"/>
  <sheetViews>
    <sheetView workbookViewId="0">
      <selection activeCell="D6" sqref="D6"/>
    </sheetView>
  </sheetViews>
  <sheetFormatPr defaultRowHeight="15"/>
  <cols>
    <col min="1" max="1" width="4.7109375" style="17" customWidth="1"/>
    <col min="2" max="2" width="28.140625" customWidth="1"/>
    <col min="3" max="3" width="6.140625" customWidth="1"/>
    <col min="4" max="4" width="9.85546875" bestFit="1" customWidth="1"/>
    <col min="6" max="6" width="8.5703125" style="17" customWidth="1"/>
    <col min="7" max="7" width="4.85546875" style="17" customWidth="1"/>
    <col min="8" max="8" width="23.7109375" customWidth="1"/>
    <col min="9" max="9" width="6" bestFit="1" customWidth="1"/>
    <col min="10" max="10" width="6" customWidth="1"/>
    <col min="12" max="12" width="8.85546875" style="17"/>
  </cols>
  <sheetData>
    <row r="1" spans="1:12" ht="15.75">
      <c r="A1" s="30"/>
      <c r="B1" s="30"/>
      <c r="C1" s="30"/>
      <c r="D1" s="30" t="str">
        <f>[1]Сводная!D1</f>
        <v>19    12    2015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>
      <c r="A2" s="32" t="s">
        <v>246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>
        <f>'f1'!J2+'f2'!J2+'f3'!J2+'f4'!J2+'f5'!J2+'f6'!J2+'f7'!J2+'f8'!J2+'f9'!J2+'f10'!J2+'f11'!J2+'f12'!J2+'f13'!J2+'f14'!J2+'f15'!J2+'f16'!J2+'f17'!J2+'f18'!J2</f>
        <v>0</v>
      </c>
      <c r="K2" s="5">
        <v>1.4</v>
      </c>
      <c r="L2" s="5">
        <f>J2*K2</f>
        <v>0</v>
      </c>
    </row>
    <row r="3" spans="1:12">
      <c r="A3" s="32" t="s">
        <v>247</v>
      </c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>
        <f>'f1'!J3+'f2'!J3+'f3'!J3+'f4'!J3+'f5'!J3+'f6'!J3+'f7'!J3+'f8'!J3+'f9'!J3+'f10'!J3+'f11'!J3+'f12'!J3+'f13'!J3+'f14'!J3+'f15'!J3+'f16'!J3+'f17'!J3+'f18'!J3</f>
        <v>0</v>
      </c>
      <c r="K3" s="5">
        <v>2.1</v>
      </c>
      <c r="L3" s="5">
        <f t="shared" ref="L3:L39" si="0">J3*K3</f>
        <v>0</v>
      </c>
    </row>
    <row r="4" spans="1:12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>
        <f>'f1'!J4+'f2'!J4+'f3'!J4+'f4'!J4+'f5'!J4+'f6'!J4+'f7'!J4+'f8'!J4+'f9'!J4+'f10'!J4+'f11'!J4+'f12'!J4+'f13'!J4+'f14'!J4+'f15'!J4+'f16'!J4+'f17'!J4+'f18'!J4</f>
        <v>0</v>
      </c>
      <c r="K4" s="5">
        <v>2.25</v>
      </c>
      <c r="L4" s="5">
        <f t="shared" si="0"/>
        <v>0</v>
      </c>
    </row>
    <row r="5" spans="1:12">
      <c r="A5" s="2">
        <v>1</v>
      </c>
      <c r="B5" s="4" t="s">
        <v>248</v>
      </c>
      <c r="C5" s="2" t="s">
        <v>9</v>
      </c>
      <c r="D5" s="2">
        <f>'f1'!D5+'f2'!D5+'f3'!D5+'f4'!D5+'f5'!D5+'f6'!D5+'f7'!D5+'f8'!D5+'f9'!D5+'f10'!D5+'f11'!D5+'f12'!D5+'f13'!D5+'f14'!D5+'f15'!D5+'f16'!D5+'f17'!D5+'f18'!D5</f>
        <v>0</v>
      </c>
      <c r="E5" s="5">
        <v>6.55</v>
      </c>
      <c r="F5" s="20">
        <f>D5*E5</f>
        <v>0</v>
      </c>
      <c r="G5" s="2">
        <v>39</v>
      </c>
      <c r="H5" s="4" t="s">
        <v>13</v>
      </c>
      <c r="I5" s="2" t="s">
        <v>9</v>
      </c>
      <c r="J5" s="2">
        <f>'f1'!J5+'f2'!J5+'f3'!J5+'f4'!J5+'f5'!J5+'f6'!J5+'f7'!J5+'f8'!J5+'f9'!J5+'f10'!J5+'f11'!J5+'f12'!J5+'f13'!J5+'f14'!J5+'f15'!J5+'f16'!J5+'f17'!J5+'f18'!J5</f>
        <v>0</v>
      </c>
      <c r="K5" s="5">
        <v>2</v>
      </c>
      <c r="L5" s="5">
        <f t="shared" si="0"/>
        <v>0</v>
      </c>
    </row>
    <row r="6" spans="1:12">
      <c r="A6" s="2">
        <v>2</v>
      </c>
      <c r="B6" s="4" t="s">
        <v>14</v>
      </c>
      <c r="C6" s="2" t="s">
        <v>9</v>
      </c>
      <c r="D6" s="2">
        <f>'f1'!D6+'f2'!D6+'f3'!D6+'f4'!D6+'f5'!D6+'f6'!D6+'f7'!D6+'f8'!D6+'f9'!D6+'f10'!D6+'f11'!D6+'f12'!D6+'f13'!D6+'f14'!D6+'f15'!D6+'f16'!D6+'f17'!D6+'f18'!D6</f>
        <v>0</v>
      </c>
      <c r="E6" s="5">
        <v>4.7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>
        <f>'f1'!J6+'f2'!J6+'f3'!J6+'f4'!J6+'f5'!J6+'f6'!J6+'f7'!J6+'f8'!J6+'f9'!J6+'f10'!J6+'f11'!J6+'f12'!J6+'f13'!J6+'f14'!J6+'f15'!J6+'f16'!J6+'f17'!J6+'f18'!J6</f>
        <v>0</v>
      </c>
      <c r="K6" s="5">
        <v>7.7</v>
      </c>
      <c r="L6" s="5">
        <f>J6*K6</f>
        <v>0</v>
      </c>
    </row>
    <row r="7" spans="1:12">
      <c r="A7" s="2">
        <v>3</v>
      </c>
      <c r="B7" s="4" t="s">
        <v>156</v>
      </c>
      <c r="C7" s="2" t="s">
        <v>9</v>
      </c>
      <c r="D7" s="2">
        <f>'f1'!D7+'f2'!D7+'f3'!D7+'f4'!D7+'f5'!D7+'f6'!D7+'f7'!D7+'f8'!D7+'f9'!D7+'f10'!D7+'f11'!D7+'f12'!D7+'f13'!D7+'f14'!D7+'f15'!D7+'f16'!D7+'f17'!D7+'f18'!D7</f>
        <v>0</v>
      </c>
      <c r="E7" s="5">
        <v>5.2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>
        <f>'f1'!J7+'f2'!J7+'f3'!J7+'f4'!J7+'f5'!J7+'f6'!J7+'f7'!J7+'f8'!J7+'f9'!J7+'f10'!J7+'f11'!J7+'f12'!J7+'f13'!J7+'f14'!J7+'f15'!J7+'f16'!J7+'f17'!J7+'f18'!J7</f>
        <v>0</v>
      </c>
      <c r="K7" s="5">
        <v>2</v>
      </c>
      <c r="L7" s="5">
        <f t="shared" si="0"/>
        <v>0</v>
      </c>
    </row>
    <row r="8" spans="1:12">
      <c r="A8" s="2">
        <v>4</v>
      </c>
      <c r="B8" s="4" t="s">
        <v>18</v>
      </c>
      <c r="C8" s="2" t="s">
        <v>9</v>
      </c>
      <c r="D8" s="2">
        <f>'f1'!D8+'f2'!D8+'f3'!D8+'f4'!D8+'f5'!D8+'f6'!D8+'f7'!D8+'f8'!D8+'f9'!D8+'f10'!D8+'f11'!D8+'f12'!D8+'f13'!D8+'f14'!D8+'f15'!D8+'f16'!D8+'f17'!D8+'f18'!D8</f>
        <v>0</v>
      </c>
      <c r="E8" s="5">
        <v>7.05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>
        <f>'f1'!J8+'f2'!J8+'f3'!J8+'f4'!J8+'f5'!J8+'f6'!J8+'f7'!J8+'f8'!J8+'f9'!J8+'f10'!J8+'f11'!J8+'f12'!J8+'f13'!J8+'f14'!J8+'f15'!J8+'f16'!J8+'f17'!J8+'f18'!J8</f>
        <v>0</v>
      </c>
      <c r="K8" s="5">
        <v>2.25</v>
      </c>
      <c r="L8" s="5">
        <f t="shared" si="0"/>
        <v>0</v>
      </c>
    </row>
    <row r="9" spans="1:12">
      <c r="A9" s="2">
        <v>5</v>
      </c>
      <c r="B9" s="4" t="s">
        <v>20</v>
      </c>
      <c r="C9" s="2" t="s">
        <v>9</v>
      </c>
      <c r="D9" s="2">
        <f>'f1'!D9+'f2'!D9+'f3'!D9+'f4'!D9+'f5'!D9+'f6'!D9+'f7'!D9+'f8'!D9+'f9'!D9+'f10'!D9+'f11'!D9+'f12'!D9+'f13'!D9+'f14'!D9+'f15'!D9+'f16'!D9+'f17'!D9+'f18'!D9</f>
        <v>0</v>
      </c>
      <c r="E9" s="5">
        <v>4.9000000000000004</v>
      </c>
      <c r="F9" s="20">
        <f t="shared" si="1"/>
        <v>0</v>
      </c>
      <c r="G9" s="2">
        <v>43</v>
      </c>
      <c r="H9" s="4" t="s">
        <v>21</v>
      </c>
      <c r="I9" s="2" t="s">
        <v>9</v>
      </c>
      <c r="J9" s="2">
        <f>'f1'!J9+'f2'!J9+'f3'!J9+'f4'!J9+'f5'!J9+'f6'!J9+'f7'!J9+'f8'!J9+'f9'!J9+'f10'!J9+'f11'!J9+'f12'!J9+'f13'!J9+'f14'!J9+'f15'!J9+'f16'!J9+'f17'!J9+'f18'!J9</f>
        <v>0</v>
      </c>
      <c r="K9" s="5">
        <v>2.4</v>
      </c>
      <c r="L9" s="5">
        <f t="shared" si="0"/>
        <v>0</v>
      </c>
    </row>
    <row r="10" spans="1:12">
      <c r="A10" s="2">
        <v>6</v>
      </c>
      <c r="B10" s="4" t="s">
        <v>22</v>
      </c>
      <c r="C10" s="2" t="s">
        <v>9</v>
      </c>
      <c r="D10" s="2">
        <f>'f1'!D10+'f2'!D10+'f3'!D10+'f4'!D10+'f5'!D10+'f6'!D10+'f7'!D10+'f8'!D10+'f9'!D10+'f10'!D10+'f11'!D10+'f12'!D10+'f13'!D10+'f14'!D10+'f15'!D10+'f16'!D10+'f17'!D10+'f18'!D10</f>
        <v>0</v>
      </c>
      <c r="E10" s="5">
        <v>5.7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>
        <f>'f1'!J10+'f2'!J10+'f3'!J10+'f4'!J10+'f5'!J10+'f6'!J10+'f7'!J10+'f8'!J10+'f9'!J10+'f10'!J10+'f11'!J10+'f12'!J10+'f13'!J10+'f14'!J10+'f15'!J10+'f16'!J10+'f17'!J10+'f18'!J10</f>
        <v>0</v>
      </c>
      <c r="K10" s="5">
        <v>1.05</v>
      </c>
      <c r="L10" s="5">
        <f t="shared" si="0"/>
        <v>0</v>
      </c>
    </row>
    <row r="11" spans="1:12">
      <c r="A11" s="2">
        <v>7</v>
      </c>
      <c r="B11" s="4" t="s">
        <v>24</v>
      </c>
      <c r="C11" s="2" t="s">
        <v>9</v>
      </c>
      <c r="D11" s="2">
        <f>'f1'!D11+'f2'!D11+'f3'!D11+'f4'!D11+'f5'!D11+'f6'!D11+'f7'!D11+'f8'!D11+'f9'!D11+'f10'!D11+'f11'!D11+'f12'!D11+'f13'!D11+'f14'!D11+'f15'!D11+'f16'!D11+'f17'!D11+'f18'!D11</f>
        <v>0</v>
      </c>
      <c r="E11" s="5">
        <v>5.2</v>
      </c>
      <c r="F11" s="20">
        <f t="shared" si="1"/>
        <v>0</v>
      </c>
      <c r="G11" s="2">
        <v>45</v>
      </c>
      <c r="H11" s="4" t="s">
        <v>249</v>
      </c>
      <c r="I11" s="2" t="s">
        <v>9</v>
      </c>
      <c r="J11" s="2">
        <f>'f1'!J11+'f2'!J11+'f3'!J11+'f4'!J11+'f5'!J11+'f6'!J11+'f7'!J11+'f8'!J11+'f9'!J11+'f10'!J11+'f11'!J11+'f12'!J11+'f13'!J11+'f14'!J11+'f15'!J11+'f16'!J11+'f17'!J11+'f18'!J11</f>
        <v>0</v>
      </c>
      <c r="K11" s="5">
        <v>2.4</v>
      </c>
      <c r="L11" s="5">
        <f t="shared" si="0"/>
        <v>0</v>
      </c>
    </row>
    <row r="12" spans="1:12">
      <c r="A12" s="2">
        <v>8</v>
      </c>
      <c r="B12" s="4" t="s">
        <v>250</v>
      </c>
      <c r="C12" s="2" t="s">
        <v>9</v>
      </c>
      <c r="D12" s="2">
        <f>'f1'!D12+'f2'!D12+'f3'!D12+'f4'!D12+'f5'!D12+'f6'!D12+'f7'!D12+'f8'!D12+'f9'!D12+'f10'!D12+'f11'!D12+'f12'!D12+'f13'!D12+'f14'!D12+'f15'!D12+'f16'!D12+'f17'!D12+'f18'!D12</f>
        <v>0</v>
      </c>
      <c r="E12" s="5">
        <v>5.2</v>
      </c>
      <c r="F12" s="20">
        <f t="shared" si="1"/>
        <v>0</v>
      </c>
      <c r="G12" s="2">
        <v>46</v>
      </c>
      <c r="H12" s="4" t="s">
        <v>126</v>
      </c>
      <c r="I12" s="2" t="s">
        <v>9</v>
      </c>
      <c r="J12" s="2">
        <f>'f1'!J12+'f2'!J12+'f3'!J12+'f4'!J12+'f5'!J12+'f6'!J12+'f7'!J12+'f8'!J12+'f9'!J12+'f10'!J12+'f11'!J12+'f12'!J12+'f13'!J12+'f14'!J12+'f15'!J12+'f16'!J12+'f17'!J12+'f18'!J12</f>
        <v>0</v>
      </c>
      <c r="K12" s="5">
        <v>2.1</v>
      </c>
      <c r="L12" s="5">
        <f t="shared" si="0"/>
        <v>0</v>
      </c>
    </row>
    <row r="13" spans="1:12">
      <c r="A13" s="2">
        <v>9</v>
      </c>
      <c r="B13" s="4" t="s">
        <v>162</v>
      </c>
      <c r="C13" s="2" t="s">
        <v>9</v>
      </c>
      <c r="D13" s="2">
        <f>'f1'!D13+'f2'!D13+'f3'!D13+'f4'!D13+'f5'!D13+'f6'!D13+'f7'!D13+'f8'!D13+'f9'!D13+'f10'!D13+'f11'!D13+'f12'!D13+'f13'!D13+'f14'!D13+'f15'!D13+'f16'!D13+'f17'!D13+'f18'!D13</f>
        <v>0</v>
      </c>
      <c r="E13" s="5">
        <v>5.35</v>
      </c>
      <c r="F13" s="20">
        <f t="shared" si="1"/>
        <v>0</v>
      </c>
      <c r="G13" s="2">
        <v>47</v>
      </c>
      <c r="H13" s="4" t="s">
        <v>251</v>
      </c>
      <c r="I13" s="2" t="s">
        <v>9</v>
      </c>
      <c r="J13" s="2">
        <f>'f1'!J13+'f2'!J13+'f3'!J13+'f4'!J13+'f5'!J13+'f6'!J13+'f7'!J13+'f8'!J13+'f9'!J13+'f10'!J13+'f11'!J13+'f12'!J13+'f13'!J13+'f14'!J13+'f15'!J13+'f16'!J13+'f17'!J13+'f18'!J13</f>
        <v>0</v>
      </c>
      <c r="K13" s="5">
        <v>2.1</v>
      </c>
      <c r="L13" s="5">
        <f t="shared" si="0"/>
        <v>0</v>
      </c>
    </row>
    <row r="14" spans="1:12">
      <c r="A14" s="2">
        <v>10</v>
      </c>
      <c r="B14" s="4" t="s">
        <v>30</v>
      </c>
      <c r="C14" s="2" t="s">
        <v>9</v>
      </c>
      <c r="D14" s="2">
        <f>'f1'!D14+'f2'!D14+'f3'!D14+'f4'!D14+'f5'!D14+'f6'!D14+'f7'!D14+'f8'!D14+'f9'!D14+'f10'!D14+'f11'!D14+'f12'!D14+'f13'!D14+'f14'!D14+'f15'!D14+'f16'!D14+'f17'!D14+'f18'!D14</f>
        <v>0</v>
      </c>
      <c r="E14" s="5">
        <v>5.85</v>
      </c>
      <c r="F14" s="20">
        <f t="shared" si="1"/>
        <v>0</v>
      </c>
      <c r="G14" s="2">
        <v>48</v>
      </c>
      <c r="H14" s="4" t="s">
        <v>31</v>
      </c>
      <c r="I14" s="2" t="s">
        <v>9</v>
      </c>
      <c r="J14" s="2">
        <f>'f1'!J14+'f2'!J14+'f3'!J14+'f4'!J14+'f5'!J14+'f6'!J14+'f7'!J14+'f8'!J14+'f9'!J14+'f10'!J14+'f11'!J14+'f12'!J14+'f13'!J14+'f14'!J14+'f15'!J14+'f16'!J14+'f17'!J14+'f18'!J14</f>
        <v>0</v>
      </c>
      <c r="K14" s="5">
        <v>2.1</v>
      </c>
      <c r="L14" s="5">
        <f t="shared" si="0"/>
        <v>0</v>
      </c>
    </row>
    <row r="15" spans="1:12">
      <c r="A15" s="2">
        <v>11</v>
      </c>
      <c r="B15" s="4" t="s">
        <v>128</v>
      </c>
      <c r="C15" s="2" t="s">
        <v>9</v>
      </c>
      <c r="D15" s="2">
        <f>'f1'!D15+'f2'!D15+'f3'!D15+'f4'!D15+'f5'!D15+'f6'!D15+'f7'!D15+'f8'!D15+'f9'!D15+'f10'!D15+'f11'!D15+'f12'!D15+'f13'!D15+'f14'!D15+'f15'!D15+'f16'!D15+'f17'!D15+'f18'!D15</f>
        <v>0</v>
      </c>
      <c r="E15" s="5">
        <v>6.5</v>
      </c>
      <c r="F15" s="20">
        <f t="shared" si="1"/>
        <v>0</v>
      </c>
      <c r="G15" s="2">
        <v>49</v>
      </c>
      <c r="H15" s="4" t="s">
        <v>129</v>
      </c>
      <c r="I15" s="2" t="s">
        <v>9</v>
      </c>
      <c r="J15" s="2">
        <f>'f1'!J15+'f2'!J15+'f3'!J15+'f4'!J15+'f5'!J15+'f6'!J15+'f7'!J15+'f8'!J15+'f9'!J15+'f10'!J15+'f11'!J15+'f12'!J15+'f13'!J15+'f14'!J15+'f15'!J15+'f16'!J15+'f17'!J15+'f18'!J15</f>
        <v>0</v>
      </c>
      <c r="K15" s="5">
        <v>7.95</v>
      </c>
      <c r="L15" s="5">
        <f t="shared" si="0"/>
        <v>0</v>
      </c>
    </row>
    <row r="16" spans="1:12">
      <c r="A16" s="2">
        <v>12</v>
      </c>
      <c r="B16" s="4" t="s">
        <v>34</v>
      </c>
      <c r="C16" s="2" t="s">
        <v>9</v>
      </c>
      <c r="D16" s="2">
        <f>'f1'!D16+'f2'!D16+'f3'!D16+'f4'!D16+'f5'!D16+'f6'!D16+'f7'!D16+'f8'!D16+'f9'!D16+'f10'!D16+'f11'!D16+'f12'!D16+'f13'!D16+'f14'!D16+'f15'!D16+'f16'!D16+'f17'!D16+'f18'!D16</f>
        <v>0</v>
      </c>
      <c r="E16" s="5">
        <v>6</v>
      </c>
      <c r="F16" s="20">
        <f t="shared" si="1"/>
        <v>0</v>
      </c>
      <c r="G16" s="2">
        <v>50</v>
      </c>
      <c r="H16" s="4" t="s">
        <v>35</v>
      </c>
      <c r="I16" s="2" t="s">
        <v>9</v>
      </c>
      <c r="J16" s="2">
        <f>'f1'!J16+'f2'!J16+'f3'!J16+'f4'!J16+'f5'!J16+'f6'!J16+'f7'!J16+'f8'!J16+'f9'!J16+'f10'!J16+'f11'!J16+'f12'!J16+'f13'!J16+'f14'!J16+'f15'!J16+'f16'!J16+'f17'!J16+'f18'!J16</f>
        <v>0</v>
      </c>
      <c r="K16" s="5">
        <v>6.45</v>
      </c>
      <c r="L16" s="5">
        <f t="shared" si="0"/>
        <v>0</v>
      </c>
    </row>
    <row r="17" spans="1:12">
      <c r="A17" s="2">
        <v>13</v>
      </c>
      <c r="B17" s="4" t="s">
        <v>36</v>
      </c>
      <c r="C17" s="2" t="s">
        <v>9</v>
      </c>
      <c r="D17" s="2">
        <f>'f1'!D17+'f2'!D17+'f3'!D17+'f4'!D17+'f5'!D17+'f6'!D17+'f7'!D17+'f8'!D17+'f9'!D17+'f10'!D17+'f11'!D17+'f12'!D17+'f13'!D17+'f14'!D17+'f15'!D17+'f16'!D17+'f17'!D17+'f18'!D17</f>
        <v>0</v>
      </c>
      <c r="E17" s="5">
        <v>6.5</v>
      </c>
      <c r="F17" s="20">
        <f t="shared" si="1"/>
        <v>0</v>
      </c>
      <c r="G17" s="2">
        <v>51</v>
      </c>
      <c r="H17" s="4" t="s">
        <v>130</v>
      </c>
      <c r="I17" s="2" t="s">
        <v>9</v>
      </c>
      <c r="J17" s="2">
        <f>'f1'!J17+'f2'!J17+'f3'!J17+'f4'!J17+'f5'!J17+'f6'!J17+'f7'!J17+'f8'!J17+'f9'!J17+'f10'!J17+'f11'!J17+'f12'!J17+'f13'!J17+'f14'!J17+'f15'!J17+'f16'!J17+'f17'!J17+'f18'!J17</f>
        <v>0</v>
      </c>
      <c r="K17" s="5">
        <v>6.35</v>
      </c>
      <c r="L17" s="5">
        <f t="shared" si="0"/>
        <v>0</v>
      </c>
    </row>
    <row r="18" spans="1:12">
      <c r="A18" s="2">
        <v>14</v>
      </c>
      <c r="B18" s="4" t="s">
        <v>38</v>
      </c>
      <c r="C18" s="2" t="s">
        <v>9</v>
      </c>
      <c r="D18" s="2">
        <f>'f1'!D18+'f2'!D18+'f3'!D18+'f4'!D18+'f5'!D18+'f6'!D18+'f7'!D18+'f8'!D18+'f9'!D18+'f10'!D18+'f11'!D18+'f12'!D18+'f13'!D18+'f14'!D18+'f15'!D18+'f16'!D18+'f17'!D18+'f18'!D18</f>
        <v>0</v>
      </c>
      <c r="E18" s="5">
        <v>4.8</v>
      </c>
      <c r="F18" s="20">
        <f t="shared" si="1"/>
        <v>0</v>
      </c>
      <c r="G18" s="2">
        <v>52</v>
      </c>
      <c r="H18" s="4" t="s">
        <v>131</v>
      </c>
      <c r="I18" s="2" t="s">
        <v>9</v>
      </c>
      <c r="J18" s="2">
        <f>'f1'!J18+'f2'!J18+'f3'!J18+'f4'!J18+'f5'!J18+'f6'!J18+'f7'!J18+'f8'!J18+'f9'!J18+'f10'!J18+'f11'!J18+'f12'!J18+'f13'!J18+'f14'!J18+'f15'!J18+'f16'!J18+'f17'!J18+'f18'!J18</f>
        <v>0</v>
      </c>
      <c r="K18" s="5">
        <v>2.9</v>
      </c>
      <c r="L18" s="5">
        <f t="shared" si="0"/>
        <v>0</v>
      </c>
    </row>
    <row r="19" spans="1:12">
      <c r="A19" s="2">
        <v>15</v>
      </c>
      <c r="B19" s="4" t="s">
        <v>40</v>
      </c>
      <c r="C19" s="2" t="s">
        <v>9</v>
      </c>
      <c r="D19" s="2">
        <f>'f1'!D19+'f2'!D19+'f3'!D19+'f4'!D19+'f5'!D19+'f6'!D19+'f7'!D19+'f8'!D19+'f9'!D19+'f10'!D19+'f11'!D19+'f12'!D19+'f13'!D19+'f14'!D19+'f15'!D19+'f16'!D19+'f17'!D19+'f18'!D19</f>
        <v>0</v>
      </c>
      <c r="E19" s="5">
        <v>5.3</v>
      </c>
      <c r="F19" s="20">
        <f t="shared" si="1"/>
        <v>0</v>
      </c>
      <c r="G19" s="2">
        <v>53</v>
      </c>
      <c r="H19" s="4" t="s">
        <v>94</v>
      </c>
      <c r="I19" s="2" t="s">
        <v>9</v>
      </c>
      <c r="J19" s="2">
        <f>'f1'!J19+'f2'!J19+'f3'!J19+'f4'!J19+'f5'!J19+'f6'!J19+'f7'!J19+'f8'!J19+'f9'!J19+'f10'!J19+'f11'!J19+'f12'!J19+'f13'!J19+'f14'!J19+'f15'!J19+'f16'!J19+'f17'!J19+'f18'!J19</f>
        <v>0</v>
      </c>
      <c r="K19" s="5">
        <v>11</v>
      </c>
      <c r="L19" s="5">
        <f t="shared" si="0"/>
        <v>0</v>
      </c>
    </row>
    <row r="20" spans="1:12">
      <c r="A20" s="2">
        <v>16</v>
      </c>
      <c r="B20" s="4" t="s">
        <v>42</v>
      </c>
      <c r="C20" s="2" t="s">
        <v>9</v>
      </c>
      <c r="D20" s="2">
        <f>'f1'!D20+'f2'!D20+'f3'!D20+'f4'!D20+'f5'!D20+'f6'!D20+'f7'!D20+'f8'!D20+'f9'!D20+'f10'!D20+'f11'!D20+'f12'!D20+'f13'!D20+'f14'!D20+'f15'!D20+'f16'!D20+'f17'!D20+'f18'!D20</f>
        <v>0</v>
      </c>
      <c r="E20" s="5">
        <v>2.35</v>
      </c>
      <c r="F20" s="20">
        <f t="shared" si="1"/>
        <v>0</v>
      </c>
      <c r="G20" s="2">
        <v>54</v>
      </c>
      <c r="H20" s="4" t="s">
        <v>95</v>
      </c>
      <c r="I20" s="2" t="s">
        <v>9</v>
      </c>
      <c r="J20" s="2">
        <f>'f1'!J20+'f2'!J20+'f3'!J20+'f4'!J20+'f5'!J20+'f6'!J20+'f7'!J20+'f8'!J20+'f9'!J20+'f10'!J20+'f11'!J20+'f12'!J20+'f13'!J20+'f14'!J20+'f15'!J20+'f16'!J20+'f17'!J20+'f18'!J20</f>
        <v>0</v>
      </c>
      <c r="K20" s="5">
        <v>22</v>
      </c>
      <c r="L20" s="5">
        <f t="shared" si="0"/>
        <v>0</v>
      </c>
    </row>
    <row r="21" spans="1:12">
      <c r="A21" s="2">
        <v>17</v>
      </c>
      <c r="B21" s="4" t="s">
        <v>44</v>
      </c>
      <c r="C21" s="2" t="s">
        <v>9</v>
      </c>
      <c r="D21" s="2">
        <f>'f1'!D21+'f2'!D21+'f3'!D21+'f4'!D21+'f5'!D21+'f6'!D21+'f7'!D21+'f8'!D21+'f9'!D21+'f10'!D21+'f11'!D21+'f12'!D21+'f13'!D21+'f14'!D21+'f15'!D21+'f16'!D21+'f17'!D21+'f18'!D21</f>
        <v>0</v>
      </c>
      <c r="E21" s="5">
        <v>1.3</v>
      </c>
      <c r="F21" s="20">
        <f t="shared" si="1"/>
        <v>0</v>
      </c>
      <c r="G21" s="2">
        <v>55</v>
      </c>
      <c r="H21" s="4" t="s">
        <v>45</v>
      </c>
      <c r="I21" s="2" t="s">
        <v>9</v>
      </c>
      <c r="J21" s="2">
        <f>'f1'!J21+'f2'!J21+'f3'!J21+'f4'!J21+'f5'!J21+'f6'!J21+'f7'!J21+'f8'!J21+'f9'!J21+'f10'!J21+'f11'!J21+'f12'!J21+'f13'!J21+'f14'!J21+'f15'!J21+'f16'!J21+'f17'!J21+'f18'!J21</f>
        <v>0</v>
      </c>
      <c r="K21" s="5">
        <v>34.5</v>
      </c>
      <c r="L21" s="5">
        <f t="shared" si="0"/>
        <v>0</v>
      </c>
    </row>
    <row r="22" spans="1:12">
      <c r="A22" s="2">
        <v>18</v>
      </c>
      <c r="B22" s="4" t="s">
        <v>46</v>
      </c>
      <c r="C22" s="2" t="s">
        <v>9</v>
      </c>
      <c r="D22" s="2">
        <f>'f1'!D22+'f2'!D22+'f3'!D22+'f4'!D22+'f5'!D22+'f6'!D22+'f7'!D22+'f8'!D22+'f9'!D22+'f10'!D22+'f11'!D22+'f12'!D22+'f13'!D22+'f14'!D22+'f15'!D22+'f16'!D22+'f17'!D22+'f18'!D22</f>
        <v>0</v>
      </c>
      <c r="E22" s="5">
        <v>5.7</v>
      </c>
      <c r="F22" s="20">
        <f t="shared" si="1"/>
        <v>0</v>
      </c>
      <c r="G22" s="2">
        <v>56</v>
      </c>
      <c r="H22" s="4" t="s">
        <v>47</v>
      </c>
      <c r="I22" s="2" t="s">
        <v>9</v>
      </c>
      <c r="J22" s="2">
        <f>'f1'!J22+'f2'!J22+'f3'!J22+'f4'!J22+'f5'!J22+'f6'!J22+'f7'!J22+'f8'!J22+'f9'!J22+'f10'!J22+'f11'!J22+'f12'!J22+'f13'!J22+'f14'!J22+'f15'!J22+'f16'!J22+'f17'!J22+'f18'!J22</f>
        <v>0</v>
      </c>
      <c r="K22" s="5">
        <v>18.5</v>
      </c>
      <c r="L22" s="5">
        <f t="shared" si="0"/>
        <v>0</v>
      </c>
    </row>
    <row r="23" spans="1:12">
      <c r="A23" s="2">
        <v>19</v>
      </c>
      <c r="B23" s="4" t="s">
        <v>48</v>
      </c>
      <c r="C23" s="2" t="s">
        <v>9</v>
      </c>
      <c r="D23" s="2">
        <f>'f1'!D23+'f2'!D23+'f3'!D23+'f4'!D23+'f5'!D23+'f6'!D23+'f7'!D23+'f8'!D23+'f9'!D23+'f10'!D23+'f11'!D23+'f12'!D23+'f13'!D23+'f14'!D23+'f15'!D23+'f16'!D23+'f17'!D23+'f18'!D23</f>
        <v>0</v>
      </c>
      <c r="E23" s="5">
        <v>6.45</v>
      </c>
      <c r="F23" s="20">
        <f t="shared" si="1"/>
        <v>0</v>
      </c>
      <c r="G23" s="2">
        <v>57</v>
      </c>
      <c r="H23" s="4" t="s">
        <v>132</v>
      </c>
      <c r="I23" s="2" t="s">
        <v>9</v>
      </c>
      <c r="J23" s="2">
        <f>'f1'!J23+'f2'!J23+'f3'!J23+'f4'!J23+'f5'!J23+'f6'!J23+'f7'!J23+'f8'!J23+'f9'!J23+'f10'!J23+'f11'!J23+'f12'!J23+'f13'!J23+'f14'!J23+'f15'!J23+'f16'!J23+'f17'!J23+'f18'!J23</f>
        <v>0</v>
      </c>
      <c r="K23" s="2">
        <v>12.5</v>
      </c>
      <c r="L23" s="5">
        <f t="shared" si="0"/>
        <v>0</v>
      </c>
    </row>
    <row r="24" spans="1:12">
      <c r="A24" s="2">
        <v>20</v>
      </c>
      <c r="B24" s="4" t="s">
        <v>50</v>
      </c>
      <c r="C24" s="2" t="s">
        <v>9</v>
      </c>
      <c r="D24" s="2">
        <f>'f1'!D24+'f2'!D24+'f3'!D24+'f4'!D24+'f5'!D24+'f6'!D24+'f7'!D24+'f8'!D24+'f9'!D24+'f10'!D24+'f11'!D24+'f12'!D24+'f13'!D24+'f14'!D24+'f15'!D24+'f16'!D24+'f17'!D24+'f18'!D24</f>
        <v>0</v>
      </c>
      <c r="E24" s="5">
        <v>6</v>
      </c>
      <c r="F24" s="20">
        <f t="shared" si="1"/>
        <v>0</v>
      </c>
      <c r="G24" s="2">
        <v>58</v>
      </c>
      <c r="H24" s="4" t="s">
        <v>242</v>
      </c>
      <c r="I24" s="2" t="s">
        <v>9</v>
      </c>
      <c r="J24" s="2">
        <f>'f1'!J24+'f2'!J24+'f3'!J24+'f4'!J24+'f5'!J24+'f6'!J24+'f7'!J24+'f8'!J24+'f9'!J24+'f10'!J24+'f11'!J24+'f12'!J24+'f13'!J24+'f14'!J24+'f15'!J24+'f16'!J24+'f17'!J24+'f18'!J24</f>
        <v>0</v>
      </c>
      <c r="K24" s="2">
        <v>9</v>
      </c>
      <c r="L24" s="5">
        <f t="shared" si="0"/>
        <v>0</v>
      </c>
    </row>
    <row r="25" spans="1:12">
      <c r="A25" s="2">
        <v>21</v>
      </c>
      <c r="B25" s="4" t="s">
        <v>96</v>
      </c>
      <c r="C25" s="2" t="s">
        <v>9</v>
      </c>
      <c r="D25" s="2">
        <f>'f1'!D25+'f2'!D25+'f3'!D25+'f4'!D25+'f5'!D25+'f6'!D25+'f7'!D25+'f8'!D25+'f9'!D25+'f10'!D25+'f11'!D25+'f12'!D25+'f13'!D25+'f14'!D25+'f15'!D25+'f16'!D25+'f17'!D25+'f18'!D25</f>
        <v>0</v>
      </c>
      <c r="E25" s="5">
        <v>6.8</v>
      </c>
      <c r="F25" s="20">
        <f t="shared" si="1"/>
        <v>0</v>
      </c>
      <c r="G25" s="2">
        <v>59</v>
      </c>
      <c r="H25" s="4" t="s">
        <v>252</v>
      </c>
      <c r="I25" s="2" t="s">
        <v>9</v>
      </c>
      <c r="J25" s="2">
        <f>'f1'!J25+'f2'!J25+'f3'!J25+'f4'!J25+'f5'!J25+'f6'!J25+'f7'!J25+'f8'!J25+'f9'!J25+'f10'!J25+'f11'!J25+'f12'!J25+'f13'!J25+'f14'!J25+'f15'!J25+'f16'!J25+'f17'!J25+'f18'!J25</f>
        <v>0</v>
      </c>
      <c r="K25" s="2">
        <v>9</v>
      </c>
      <c r="L25" s="5">
        <f t="shared" si="0"/>
        <v>0</v>
      </c>
    </row>
    <row r="26" spans="1:12">
      <c r="A26" s="2">
        <v>22</v>
      </c>
      <c r="B26" s="4" t="s">
        <v>54</v>
      </c>
      <c r="C26" s="2" t="s">
        <v>9</v>
      </c>
      <c r="D26" s="2">
        <f>'f1'!D26+'f2'!D26+'f3'!D26+'f4'!D26+'f5'!D26+'f6'!D26+'f7'!D26+'f8'!D26+'f9'!D26+'f10'!D26+'f11'!D26+'f12'!D26+'f13'!D26+'f14'!D26+'f15'!D26+'f16'!D26+'f17'!D26+'f18'!D26</f>
        <v>0</v>
      </c>
      <c r="E26" s="5">
        <v>5.4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2">
        <f>'f1'!J26+'f2'!J26+'f3'!J26+'f4'!J26+'f5'!J26+'f6'!J26+'f7'!J26+'f8'!J26+'f9'!J26+'f10'!J26+'f11'!J26+'f12'!J26+'f13'!J26+'f14'!J26+'f15'!J26+'f16'!J26+'f17'!J26+'f18'!J26</f>
        <v>0</v>
      </c>
      <c r="K26" s="2">
        <v>5.95</v>
      </c>
      <c r="L26" s="5">
        <f t="shared" si="0"/>
        <v>0</v>
      </c>
    </row>
    <row r="27" spans="1:12">
      <c r="A27" s="2">
        <v>23</v>
      </c>
      <c r="B27" s="4" t="s">
        <v>56</v>
      </c>
      <c r="C27" s="2" t="s">
        <v>9</v>
      </c>
      <c r="D27" s="2">
        <f>'f1'!D27+'f2'!D27+'f3'!D27+'f4'!D27+'f5'!D27+'f6'!D27+'f7'!D27+'f8'!D27+'f9'!D27+'f10'!D27+'f11'!D27+'f12'!D27+'f13'!D27+'f14'!D27+'f15'!D27+'f16'!D27+'f17'!D27+'f18'!D27</f>
        <v>0</v>
      </c>
      <c r="E27" s="5">
        <v>4.45</v>
      </c>
      <c r="F27" s="20">
        <f t="shared" si="1"/>
        <v>0</v>
      </c>
      <c r="G27" s="2">
        <v>61</v>
      </c>
      <c r="H27" s="4" t="s">
        <v>253</v>
      </c>
      <c r="I27" s="2" t="s">
        <v>9</v>
      </c>
      <c r="J27" s="2">
        <f>'f1'!J27+'f2'!J27+'f3'!J27+'f4'!J27+'f5'!J27+'f6'!J27+'f7'!J27+'f8'!J27+'f9'!J27+'f10'!J27+'f11'!J27+'f12'!J27+'f13'!J27+'f14'!J27+'f15'!J27+'f16'!J27+'f17'!J27+'f18'!J27</f>
        <v>0</v>
      </c>
      <c r="K27" s="2">
        <v>3.5</v>
      </c>
      <c r="L27" s="5">
        <f t="shared" si="0"/>
        <v>0</v>
      </c>
    </row>
    <row r="28" spans="1:12">
      <c r="A28" s="2">
        <v>24</v>
      </c>
      <c r="B28" s="4" t="s">
        <v>58</v>
      </c>
      <c r="C28" s="2" t="s">
        <v>9</v>
      </c>
      <c r="D28" s="2">
        <f>'f1'!D28+'f2'!D28+'f3'!D28+'f4'!D28+'f5'!D28+'f6'!D28+'f7'!D28+'f8'!D28+'f9'!D28+'f10'!D28+'f11'!D28+'f12'!D28+'f13'!D28+'f14'!D28+'f15'!D28+'f16'!D28+'f17'!D28+'f18'!D28</f>
        <v>0</v>
      </c>
      <c r="E28" s="5">
        <v>4.95</v>
      </c>
      <c r="F28" s="20">
        <f t="shared" si="1"/>
        <v>0</v>
      </c>
      <c r="G28" s="2">
        <v>62</v>
      </c>
      <c r="H28" s="4" t="s">
        <v>254</v>
      </c>
      <c r="I28" s="2" t="s">
        <v>9</v>
      </c>
      <c r="J28" s="2">
        <f>'f1'!J28+'f2'!J28+'f3'!J28+'f4'!J28+'f5'!J28+'f6'!J28+'f7'!J28+'f8'!J28+'f9'!J28+'f10'!J28+'f11'!J28+'f12'!J28+'f13'!J28+'f14'!J28+'f15'!J28+'f16'!J28+'f17'!J28+'f18'!J28</f>
        <v>0</v>
      </c>
      <c r="K28" s="2">
        <v>7.7</v>
      </c>
      <c r="L28" s="5">
        <f t="shared" si="0"/>
        <v>0</v>
      </c>
    </row>
    <row r="29" spans="1:12">
      <c r="A29" s="2">
        <v>25</v>
      </c>
      <c r="B29" s="4" t="s">
        <v>60</v>
      </c>
      <c r="C29" s="2" t="s">
        <v>9</v>
      </c>
      <c r="D29" s="2">
        <f>'f1'!D29+'f2'!D29+'f3'!D29+'f4'!D29+'f5'!D29+'f6'!D29+'f7'!D29+'f8'!D29+'f9'!D29+'f10'!D29+'f11'!D29+'f12'!D29+'f13'!D29+'f14'!D29+'f15'!D29+'f16'!D29+'f17'!D29+'f18'!D29</f>
        <v>0</v>
      </c>
      <c r="E29" s="5">
        <v>5.7</v>
      </c>
      <c r="F29" s="20">
        <f t="shared" si="1"/>
        <v>0</v>
      </c>
      <c r="G29" s="2">
        <v>63</v>
      </c>
      <c r="H29" s="4" t="s">
        <v>255</v>
      </c>
      <c r="I29" s="2" t="s">
        <v>9</v>
      </c>
      <c r="J29" s="2">
        <f>'f1'!J29+'f2'!J29+'f3'!J29+'f4'!J29+'f5'!J29+'f6'!J29+'f7'!J29+'f8'!J29+'f9'!J29+'f10'!J29+'f11'!J29+'f12'!J29+'f13'!J29+'f14'!J29+'f15'!J29+'f16'!J29+'f17'!J29+'f18'!J29</f>
        <v>0</v>
      </c>
      <c r="K29" s="2">
        <v>5.9</v>
      </c>
      <c r="L29" s="5">
        <f t="shared" si="0"/>
        <v>0</v>
      </c>
    </row>
    <row r="30" spans="1:12">
      <c r="A30" s="2">
        <v>26</v>
      </c>
      <c r="B30" s="4" t="s">
        <v>62</v>
      </c>
      <c r="C30" s="2" t="s">
        <v>9</v>
      </c>
      <c r="D30" s="2">
        <f>'f1'!D30+'f2'!D30+'f3'!D30+'f4'!D30+'f5'!D30+'f6'!D30+'f7'!D30+'f8'!D30+'f9'!D30+'f10'!D30+'f11'!D30+'f12'!D30+'f13'!D30+'f14'!D30+'f15'!D30+'f16'!D30+'f17'!D30+'f18'!D30</f>
        <v>0</v>
      </c>
      <c r="E30" s="5">
        <v>4.5999999999999996</v>
      </c>
      <c r="F30" s="5">
        <f t="shared" si="1"/>
        <v>0</v>
      </c>
      <c r="G30" s="2">
        <v>64</v>
      </c>
      <c r="H30" s="4" t="s">
        <v>256</v>
      </c>
      <c r="I30" s="2" t="s">
        <v>9</v>
      </c>
      <c r="J30" s="2">
        <f>'f1'!J30+'f2'!J30+'f3'!J30+'f4'!J30+'f5'!J30+'f6'!J30+'f7'!J30+'f8'!J30+'f9'!J30+'f10'!J30+'f11'!J30+'f12'!J30+'f13'!J30+'f14'!J30+'f15'!J30+'f16'!J30+'f17'!J30+'f18'!J30</f>
        <v>0</v>
      </c>
      <c r="K30" s="2">
        <v>3.5</v>
      </c>
      <c r="L30" s="5">
        <f t="shared" si="0"/>
        <v>0</v>
      </c>
    </row>
    <row r="31" spans="1:12">
      <c r="A31" s="2">
        <v>27</v>
      </c>
      <c r="B31" s="4" t="s">
        <v>102</v>
      </c>
      <c r="C31" s="2" t="s">
        <v>9</v>
      </c>
      <c r="D31" s="2">
        <f>'f1'!D31+'f2'!D31+'f3'!D31+'f4'!D31+'f5'!D31+'f6'!D31+'f7'!D31+'f8'!D31+'f9'!D31+'f10'!D31+'f11'!D31+'f12'!D31+'f13'!D31+'f14'!D31+'f15'!D31+'f16'!D31+'f17'!D31+'f18'!D31</f>
        <v>0</v>
      </c>
      <c r="E31" s="5">
        <v>5.95</v>
      </c>
      <c r="F31" s="5">
        <f t="shared" si="1"/>
        <v>0</v>
      </c>
      <c r="G31" s="2">
        <v>65</v>
      </c>
      <c r="H31" s="4" t="s">
        <v>257</v>
      </c>
      <c r="I31" s="2" t="s">
        <v>9</v>
      </c>
      <c r="J31" s="2">
        <f>'f1'!J31+'f2'!J31+'f3'!J31+'f4'!J31+'f5'!J31+'f6'!J31+'f7'!J31+'f8'!J31+'f9'!J31+'f10'!J31+'f11'!J31+'f12'!J31+'f13'!J31+'f14'!J31+'f15'!J31+'f16'!J31+'f17'!J31+'f18'!J31</f>
        <v>0</v>
      </c>
      <c r="K31" s="2">
        <v>6.35</v>
      </c>
      <c r="L31" s="5">
        <f t="shared" si="0"/>
        <v>0</v>
      </c>
    </row>
    <row r="32" spans="1:12">
      <c r="A32" s="2">
        <v>28</v>
      </c>
      <c r="B32" s="4" t="s">
        <v>104</v>
      </c>
      <c r="C32" s="2" t="s">
        <v>9</v>
      </c>
      <c r="D32" s="2">
        <f>'f1'!D32+'f2'!D32+'f3'!D32+'f4'!D32+'f5'!D32+'f6'!D32+'f7'!D32+'f8'!D32+'f9'!D32+'f10'!D32+'f11'!D32+'f12'!D32+'f13'!D32+'f14'!D32+'f15'!D32+'f16'!D32+'f17'!D32+'f18'!D32</f>
        <v>0</v>
      </c>
      <c r="E32" s="5">
        <v>7.7</v>
      </c>
      <c r="F32" s="20">
        <f t="shared" si="1"/>
        <v>0</v>
      </c>
      <c r="G32" s="2">
        <v>66</v>
      </c>
      <c r="H32" s="4" t="s">
        <v>258</v>
      </c>
      <c r="I32" s="2" t="s">
        <v>9</v>
      </c>
      <c r="J32" s="2">
        <f>'f1'!J32+'f2'!J32+'f3'!J32+'f4'!J32+'f5'!J32+'f6'!J32+'f7'!J32+'f8'!J32+'f9'!J32+'f10'!J32+'f11'!J32+'f12'!J32+'f13'!J32+'f14'!J32+'f15'!J32+'f16'!J32+'f17'!J32+'f18'!J32</f>
        <v>0</v>
      </c>
      <c r="K32" s="2">
        <v>7.7</v>
      </c>
      <c r="L32" s="5">
        <f t="shared" si="0"/>
        <v>0</v>
      </c>
    </row>
    <row r="33" spans="1:13">
      <c r="A33" s="2">
        <v>29</v>
      </c>
      <c r="B33" s="4" t="s">
        <v>68</v>
      </c>
      <c r="C33" s="2" t="s">
        <v>9</v>
      </c>
      <c r="D33" s="2">
        <f>'f1'!D33+'f2'!D33+'f3'!D33+'f4'!D33+'f5'!D33+'f6'!D33+'f7'!D33+'f8'!D33+'f9'!D33+'f10'!D33+'f11'!D33+'f12'!D33+'f13'!D33+'f14'!D33+'f15'!D33+'f16'!D33+'f17'!D33+'f18'!D33</f>
        <v>0</v>
      </c>
      <c r="E33" s="5">
        <v>5.5</v>
      </c>
      <c r="F33" s="5">
        <f t="shared" si="1"/>
        <v>0</v>
      </c>
      <c r="G33" s="2">
        <v>67</v>
      </c>
      <c r="H33" s="4" t="s">
        <v>259</v>
      </c>
      <c r="I33" s="2" t="s">
        <v>9</v>
      </c>
      <c r="J33" s="2">
        <f>'f1'!J33+'f2'!J33+'f3'!J33+'f4'!J33+'f5'!J33+'f6'!J33+'f7'!J33+'f8'!J33+'f9'!J33+'f10'!J33+'f11'!J33+'f12'!J33+'f13'!J33+'f14'!J33+'f15'!J33+'f16'!J33+'f17'!J33+'f18'!J33</f>
        <v>0</v>
      </c>
      <c r="K33" s="2">
        <v>3.65</v>
      </c>
      <c r="L33" s="5">
        <f t="shared" si="0"/>
        <v>0</v>
      </c>
    </row>
    <row r="34" spans="1:13">
      <c r="A34" s="2">
        <v>30</v>
      </c>
      <c r="B34" s="4" t="s">
        <v>70</v>
      </c>
      <c r="C34" s="2" t="s">
        <v>9</v>
      </c>
      <c r="D34" s="2">
        <f>'f1'!D34+'f2'!D34+'f3'!D34+'f4'!D34+'f5'!D34+'f6'!D34+'f7'!D34+'f8'!D34+'f9'!D34+'f10'!D34+'f11'!D34+'f12'!D34+'f13'!D34+'f14'!D34+'f15'!D34+'f16'!D34+'f17'!D34+'f18'!D34</f>
        <v>0</v>
      </c>
      <c r="E34" s="5">
        <v>6</v>
      </c>
      <c r="F34" s="5">
        <f t="shared" si="1"/>
        <v>0</v>
      </c>
      <c r="G34" s="2">
        <v>68</v>
      </c>
      <c r="H34" s="4"/>
      <c r="I34" s="2" t="s">
        <v>9</v>
      </c>
      <c r="J34" s="2">
        <f>'f1'!J34+'f2'!J34+'f3'!J34+'f4'!J34+'f5'!J34+'f6'!J34+'f7'!J34+'f8'!J34+'f9'!J34+'f10'!J34+'f11'!J34+'f12'!J34+'f13'!J34+'f14'!J34+'f15'!J34+'f16'!J34+'f17'!J34+'f18'!J34</f>
        <v>0</v>
      </c>
      <c r="K34" s="2"/>
      <c r="L34" s="5">
        <f t="shared" si="0"/>
        <v>0</v>
      </c>
      <c r="M34" s="10"/>
    </row>
    <row r="35" spans="1:13">
      <c r="A35" s="2">
        <v>31</v>
      </c>
      <c r="B35" s="4" t="s">
        <v>72</v>
      </c>
      <c r="C35" s="2" t="s">
        <v>9</v>
      </c>
      <c r="D35" s="2">
        <f>'f1'!D35+'f2'!D35+'f3'!D35+'f4'!D35+'f5'!D35+'f6'!D35+'f7'!D35+'f8'!D35+'f9'!D35+'f10'!D35+'f11'!D35+'f12'!D35+'f13'!D35+'f14'!D35+'f15'!D35+'f16'!D35+'f17'!D35+'f18'!D35</f>
        <v>0</v>
      </c>
      <c r="E35" s="5">
        <v>5.5</v>
      </c>
      <c r="F35" s="20">
        <f t="shared" si="1"/>
        <v>0</v>
      </c>
      <c r="G35" s="2">
        <v>69</v>
      </c>
      <c r="H35" s="4"/>
      <c r="I35" s="2" t="s">
        <v>9</v>
      </c>
      <c r="J35" s="2">
        <f>'f1'!J35+'f2'!J35+'f3'!J35+'f4'!J35+'f5'!J35+'f6'!J35+'f7'!J35+'f8'!J35+'f9'!J35+'f10'!J35+'f11'!J35+'f12'!J35+'f13'!J35+'f14'!J35+'f15'!J35+'f16'!J35+'f17'!J35+'f18'!J35</f>
        <v>0</v>
      </c>
      <c r="K35" s="2"/>
      <c r="L35" s="5">
        <f t="shared" si="0"/>
        <v>0</v>
      </c>
    </row>
    <row r="36" spans="1:13">
      <c r="A36" s="2">
        <v>32</v>
      </c>
      <c r="B36" s="4" t="s">
        <v>74</v>
      </c>
      <c r="C36" s="2" t="s">
        <v>9</v>
      </c>
      <c r="D36" s="2">
        <f>'f1'!D36+'f2'!D36+'f3'!D36+'f4'!D36+'f5'!D36+'f6'!D36+'f7'!D36+'f8'!D36+'f9'!D36+'f10'!D36+'f11'!D36+'f12'!D36+'f13'!D36+'f14'!D36+'f15'!D36+'f16'!D36+'f17'!D36+'f18'!D36</f>
        <v>0</v>
      </c>
      <c r="E36" s="2">
        <v>2.35</v>
      </c>
      <c r="F36" s="20">
        <f t="shared" si="1"/>
        <v>0</v>
      </c>
      <c r="G36" s="2">
        <v>70</v>
      </c>
      <c r="H36" s="4"/>
      <c r="I36" s="2" t="s">
        <v>9</v>
      </c>
      <c r="J36" s="2">
        <f>'f1'!J36+'f2'!J36+'f3'!J36+'f4'!J36+'f5'!J36+'f6'!J36+'f7'!J36+'f8'!J36+'f9'!J36+'f10'!J36+'f11'!J36+'f12'!J36+'f13'!J36+'f14'!J36+'f15'!J36+'f16'!J36+'f17'!J36+'f18'!J36</f>
        <v>0</v>
      </c>
      <c r="K36" s="2"/>
      <c r="L36" s="5">
        <f t="shared" si="0"/>
        <v>0</v>
      </c>
    </row>
    <row r="37" spans="1:13">
      <c r="A37" s="2">
        <v>33</v>
      </c>
      <c r="B37" s="4" t="s">
        <v>76</v>
      </c>
      <c r="C37" s="2" t="s">
        <v>9</v>
      </c>
      <c r="D37" s="2">
        <f>'f1'!D37+'f2'!D37+'f3'!D37+'f4'!D37+'f5'!D37+'f6'!D37+'f7'!D37+'f8'!D37+'f9'!D37+'f10'!D37+'f11'!D37+'f12'!D37+'f13'!D37+'f14'!D37+'f15'!D37+'f16'!D37+'f17'!D37+'f18'!D37</f>
        <v>0</v>
      </c>
      <c r="E37" s="2">
        <v>3.4</v>
      </c>
      <c r="F37" s="20">
        <f t="shared" si="1"/>
        <v>0</v>
      </c>
      <c r="G37" s="2">
        <v>71</v>
      </c>
      <c r="H37" s="4"/>
      <c r="I37" s="2" t="s">
        <v>9</v>
      </c>
      <c r="J37" s="2">
        <f>'f1'!J37+'f2'!J37+'f3'!J37+'f4'!J37+'f5'!J37+'f6'!J37+'f7'!J37+'f8'!J37+'f9'!J37+'f10'!J37+'f11'!J37+'f12'!J37+'f13'!J37+'f14'!J37+'f15'!J37+'f16'!J37+'f17'!J37+'f18'!J37</f>
        <v>0</v>
      </c>
      <c r="K37" s="2"/>
      <c r="L37" s="5">
        <f t="shared" si="0"/>
        <v>0</v>
      </c>
      <c r="M37" s="11"/>
    </row>
    <row r="38" spans="1:13">
      <c r="A38" s="2">
        <v>34</v>
      </c>
      <c r="B38" s="4" t="s">
        <v>78</v>
      </c>
      <c r="C38" s="2" t="s">
        <v>9</v>
      </c>
      <c r="D38" s="2">
        <f>'f1'!D38+'f2'!D38+'f3'!D38+'f4'!D38+'f5'!D38+'f6'!D38+'f7'!D38+'f8'!D38+'f9'!D38+'f10'!D38+'f11'!D38+'f12'!D38+'f13'!D38+'f14'!D38+'f15'!D38+'f16'!D38+'f17'!D38+'f18'!D38</f>
        <v>0</v>
      </c>
      <c r="E38" s="2">
        <v>6.45</v>
      </c>
      <c r="F38" s="20">
        <f t="shared" si="1"/>
        <v>0</v>
      </c>
      <c r="G38" s="2">
        <v>72</v>
      </c>
      <c r="H38" s="4"/>
      <c r="I38" s="2" t="s">
        <v>9</v>
      </c>
      <c r="J38" s="2">
        <f>'f1'!J38+'f2'!J38+'f3'!J38+'f4'!J38+'f5'!J38+'f6'!J38+'f7'!J38+'f8'!J38+'f9'!J38+'f10'!J38+'f11'!J38+'f12'!J38+'f13'!J38+'f14'!J38+'f15'!J38+'f16'!J38+'f17'!J38+'f18'!J38</f>
        <v>0</v>
      </c>
      <c r="K38" s="2"/>
      <c r="L38" s="5">
        <f t="shared" si="0"/>
        <v>0</v>
      </c>
    </row>
    <row r="39" spans="1:13">
      <c r="A39" s="2">
        <v>35</v>
      </c>
      <c r="B39" s="4" t="s">
        <v>80</v>
      </c>
      <c r="C39" s="2" t="s">
        <v>9</v>
      </c>
      <c r="D39" s="2">
        <f>'f1'!D39+'f2'!D39+'f3'!D39+'f4'!D39+'f5'!D39+'f6'!D39+'f7'!D39+'f8'!D39+'f9'!D39+'f10'!D39+'f11'!D39+'f12'!D39+'f13'!D39+'f14'!D39+'f15'!D39+'f16'!D39+'f17'!D39+'f18'!D39</f>
        <v>0</v>
      </c>
      <c r="E39" s="2">
        <v>3.95</v>
      </c>
      <c r="F39" s="20">
        <f t="shared" si="1"/>
        <v>0</v>
      </c>
      <c r="G39" s="2">
        <v>73</v>
      </c>
      <c r="H39" s="4"/>
      <c r="I39" s="2" t="s">
        <v>9</v>
      </c>
      <c r="J39" s="2">
        <f>'f1'!J39+'f2'!J39+'f3'!J39+'f4'!J39+'f5'!J39+'f6'!J39+'f7'!J39+'f8'!J39+'f9'!J39+'f10'!J39+'f11'!J39+'f12'!J39+'f13'!J39+'f14'!J39+'f15'!J39+'f16'!J39+'f17'!J39+'f18'!J39</f>
        <v>0</v>
      </c>
      <c r="K39" s="2"/>
      <c r="L39" s="5">
        <f t="shared" si="0"/>
        <v>0</v>
      </c>
    </row>
    <row r="40" spans="1:13" ht="15.75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5+F6+F7+F8+F9+F10+F11+F12+L2+L3+L4++L5+L6+L7+L8+L9</f>
        <v>0</v>
      </c>
    </row>
    <row r="42" spans="1:13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>
  <dimension ref="A1:M42"/>
  <sheetViews>
    <sheetView workbookViewId="0">
      <selection activeCell="D10" sqref="D10"/>
    </sheetView>
  </sheetViews>
  <sheetFormatPr defaultRowHeight="13.15" customHeight="1"/>
  <cols>
    <col min="1" max="1" width="4.7109375" style="17" customWidth="1"/>
    <col min="2" max="2" width="28.28515625" customWidth="1"/>
    <col min="3" max="3" width="6" bestFit="1" customWidth="1"/>
    <col min="4" max="4" width="5.85546875" bestFit="1" customWidth="1"/>
    <col min="5" max="5" width="8.28515625" customWidth="1"/>
    <col min="7" max="7" width="4.85546875" style="17" customWidth="1"/>
    <col min="8" max="8" width="23.28515625" customWidth="1"/>
    <col min="9" max="9" width="6.85546875" customWidth="1"/>
    <col min="10" max="10" width="6.7109375" customWidth="1"/>
    <col min="11" max="11" width="8.42578125" customWidth="1"/>
  </cols>
  <sheetData>
    <row r="1" spans="1:12" ht="13.15" customHeight="1">
      <c r="A1" s="30"/>
      <c r="B1" s="30"/>
      <c r="C1" s="30"/>
      <c r="D1" s="30" t="s">
        <v>260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 t="s">
        <v>236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1.45</v>
      </c>
      <c r="L2" s="6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0</v>
      </c>
      <c r="L3" s="6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2.5499999999999998</v>
      </c>
      <c r="L4" s="6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0</v>
      </c>
      <c r="F5" s="7">
        <f>D5*E5</f>
        <v>0</v>
      </c>
      <c r="G5" s="2">
        <v>39</v>
      </c>
      <c r="H5" s="4" t="s">
        <v>13</v>
      </c>
      <c r="I5" s="2" t="s">
        <v>9</v>
      </c>
      <c r="J5" s="2"/>
      <c r="K5" s="5">
        <v>2.1</v>
      </c>
      <c r="L5" s="6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</v>
      </c>
      <c r="F6" s="7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8.8000000000000007</v>
      </c>
      <c r="L6" s="6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0</v>
      </c>
      <c r="F7" s="7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0</v>
      </c>
      <c r="L7" s="6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7.85</v>
      </c>
      <c r="F8" s="7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2.5499999999999998</v>
      </c>
      <c r="L8" s="6">
        <f t="shared" si="0"/>
        <v>0</v>
      </c>
    </row>
    <row r="9" spans="1:12" ht="13.15" customHeight="1">
      <c r="A9" s="2">
        <v>5</v>
      </c>
      <c r="B9" s="9" t="s">
        <v>20</v>
      </c>
      <c r="C9" s="8" t="s">
        <v>9</v>
      </c>
      <c r="D9" s="8">
        <v>12</v>
      </c>
      <c r="E9" s="26">
        <v>5.75</v>
      </c>
      <c r="F9" s="27">
        <f t="shared" si="1"/>
        <v>69</v>
      </c>
      <c r="G9" s="2">
        <v>43</v>
      </c>
      <c r="H9" s="4" t="s">
        <v>21</v>
      </c>
      <c r="I9" s="2" t="s">
        <v>9</v>
      </c>
      <c r="J9" s="2"/>
      <c r="K9" s="5">
        <v>0</v>
      </c>
      <c r="L9" s="6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0</v>
      </c>
      <c r="F10" s="7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1.1499999999999999</v>
      </c>
      <c r="L10" s="6">
        <f t="shared" si="0"/>
        <v>0</v>
      </c>
    </row>
    <row r="11" spans="1:12" ht="13.15" customHeight="1">
      <c r="A11" s="2">
        <v>7</v>
      </c>
      <c r="B11" s="4" t="s">
        <v>125</v>
      </c>
      <c r="C11" s="2" t="s">
        <v>9</v>
      </c>
      <c r="D11" s="2"/>
      <c r="E11" s="5">
        <v>6.9</v>
      </c>
      <c r="F11" s="7">
        <f t="shared" si="1"/>
        <v>0</v>
      </c>
      <c r="G11" s="2">
        <v>45</v>
      </c>
      <c r="H11" s="4" t="s">
        <v>238</v>
      </c>
      <c r="I11" s="2" t="s">
        <v>9</v>
      </c>
      <c r="J11" s="2"/>
      <c r="K11" s="5">
        <v>0</v>
      </c>
      <c r="L11" s="6">
        <f t="shared" si="0"/>
        <v>0</v>
      </c>
    </row>
    <row r="12" spans="1:12" ht="13.15" customHeight="1">
      <c r="A12" s="2">
        <v>8</v>
      </c>
      <c r="B12" s="4" t="s">
        <v>239</v>
      </c>
      <c r="C12" s="2" t="s">
        <v>9</v>
      </c>
      <c r="D12" s="2"/>
      <c r="E12" s="5">
        <v>0</v>
      </c>
      <c r="F12" s="7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0</v>
      </c>
      <c r="L12" s="6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0</v>
      </c>
      <c r="F13" s="7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0</v>
      </c>
      <c r="L13" s="6">
        <f t="shared" si="0"/>
        <v>0</v>
      </c>
    </row>
    <row r="14" spans="1:12" ht="13.15" customHeight="1">
      <c r="A14" s="2">
        <v>3</v>
      </c>
      <c r="B14" s="4" t="s">
        <v>30</v>
      </c>
      <c r="C14" s="2" t="s">
        <v>9</v>
      </c>
      <c r="D14" s="2"/>
      <c r="E14" s="5">
        <v>0</v>
      </c>
      <c r="F14" s="7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0</v>
      </c>
      <c r="L14" s="6">
        <f t="shared" si="0"/>
        <v>0</v>
      </c>
    </row>
    <row r="15" spans="1:12" ht="13.15" customHeight="1">
      <c r="A15" s="2">
        <v>11</v>
      </c>
      <c r="B15" s="9" t="s">
        <v>32</v>
      </c>
      <c r="C15" s="8" t="s">
        <v>9</v>
      </c>
      <c r="D15" s="8"/>
      <c r="E15" s="26">
        <v>6.5</v>
      </c>
      <c r="F15" s="27">
        <f t="shared" si="1"/>
        <v>0</v>
      </c>
      <c r="G15" s="2">
        <v>49</v>
      </c>
      <c r="H15" s="4" t="s">
        <v>240</v>
      </c>
      <c r="I15" s="2" t="s">
        <v>9</v>
      </c>
      <c r="J15" s="2"/>
      <c r="K15" s="5">
        <v>9.1</v>
      </c>
      <c r="L15" s="6">
        <f t="shared" si="0"/>
        <v>0</v>
      </c>
    </row>
    <row r="16" spans="1:12" ht="13.15" customHeight="1">
      <c r="A16" s="2">
        <v>12</v>
      </c>
      <c r="B16" s="9" t="s">
        <v>241</v>
      </c>
      <c r="C16" s="8" t="s">
        <v>9</v>
      </c>
      <c r="D16" s="8"/>
      <c r="E16" s="26">
        <v>6.5</v>
      </c>
      <c r="F16" s="27">
        <f t="shared" si="1"/>
        <v>0</v>
      </c>
      <c r="G16" s="2">
        <v>50</v>
      </c>
      <c r="H16" s="4" t="s">
        <v>92</v>
      </c>
      <c r="I16" s="2" t="s">
        <v>9</v>
      </c>
      <c r="J16" s="2"/>
      <c r="K16" s="5">
        <v>7.45</v>
      </c>
      <c r="L16" s="6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0</v>
      </c>
      <c r="F17" s="7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0</v>
      </c>
      <c r="L17" s="6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0</v>
      </c>
      <c r="F18" s="7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3.2</v>
      </c>
      <c r="L18" s="6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6.2</v>
      </c>
      <c r="F19" s="7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0</v>
      </c>
      <c r="L19" s="6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0</v>
      </c>
      <c r="F20" s="7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0</v>
      </c>
      <c r="L20" s="6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0</v>
      </c>
      <c r="F21" s="7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0</v>
      </c>
      <c r="L21" s="6">
        <f t="shared" si="0"/>
        <v>0</v>
      </c>
    </row>
    <row r="22" spans="1:12" ht="13.15" customHeight="1">
      <c r="A22" s="2">
        <v>18</v>
      </c>
      <c r="B22" s="9" t="s">
        <v>46</v>
      </c>
      <c r="C22" s="8" t="s">
        <v>9</v>
      </c>
      <c r="D22" s="8"/>
      <c r="E22" s="26">
        <v>7</v>
      </c>
      <c r="F22" s="27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20.65</v>
      </c>
      <c r="L22" s="6">
        <f t="shared" si="0"/>
        <v>0</v>
      </c>
    </row>
    <row r="23" spans="1:12" ht="13.15" customHeight="1">
      <c r="A23" s="2">
        <v>19</v>
      </c>
      <c r="B23" s="9" t="s">
        <v>48</v>
      </c>
      <c r="C23" s="8" t="s">
        <v>9</v>
      </c>
      <c r="D23" s="8"/>
      <c r="E23" s="26">
        <v>7.75</v>
      </c>
      <c r="F23" s="27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14</v>
      </c>
      <c r="L23" s="6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0</v>
      </c>
      <c r="F24" s="7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0</v>
      </c>
      <c r="L24" s="6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7.9</v>
      </c>
      <c r="F25" s="7">
        <f t="shared" si="1"/>
        <v>0</v>
      </c>
      <c r="G25" s="2">
        <v>59</v>
      </c>
      <c r="H25" s="4" t="s">
        <v>243</v>
      </c>
      <c r="I25" s="2" t="s">
        <v>9</v>
      </c>
      <c r="J25" s="4"/>
      <c r="K25" s="2">
        <v>0</v>
      </c>
      <c r="L25" s="6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0</v>
      </c>
      <c r="F26" s="7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0</v>
      </c>
      <c r="L26" s="6">
        <f t="shared" si="0"/>
        <v>0</v>
      </c>
    </row>
    <row r="27" spans="1:12" ht="13.15" customHeight="1">
      <c r="A27" s="2">
        <v>23</v>
      </c>
      <c r="B27" s="9" t="s">
        <v>56</v>
      </c>
      <c r="C27" s="8" t="s">
        <v>9</v>
      </c>
      <c r="D27" s="8"/>
      <c r="E27" s="26">
        <v>5.75</v>
      </c>
      <c r="F27" s="27">
        <f t="shared" si="1"/>
        <v>0</v>
      </c>
      <c r="G27" s="2">
        <v>61</v>
      </c>
      <c r="H27" s="4" t="s">
        <v>244</v>
      </c>
      <c r="I27" s="2" t="s">
        <v>9</v>
      </c>
      <c r="J27" s="4"/>
      <c r="K27" s="2">
        <v>3.7</v>
      </c>
      <c r="L27" s="6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0</v>
      </c>
      <c r="F28" s="7">
        <f t="shared" si="1"/>
        <v>0</v>
      </c>
      <c r="G28" s="2">
        <v>62</v>
      </c>
      <c r="H28" s="4" t="s">
        <v>245</v>
      </c>
      <c r="I28" s="2" t="s">
        <v>9</v>
      </c>
      <c r="J28" s="4"/>
      <c r="K28" s="2">
        <v>7.35</v>
      </c>
      <c r="L28" s="6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6.7</v>
      </c>
      <c r="F29" s="7">
        <f t="shared" si="1"/>
        <v>0</v>
      </c>
      <c r="G29" s="2">
        <v>63</v>
      </c>
      <c r="H29" s="4" t="s">
        <v>63</v>
      </c>
      <c r="I29" s="2" t="s">
        <v>9</v>
      </c>
      <c r="J29" s="4"/>
      <c r="K29" s="2">
        <v>7.65</v>
      </c>
      <c r="L29" s="6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0</v>
      </c>
      <c r="F30" s="6">
        <f t="shared" si="1"/>
        <v>0</v>
      </c>
      <c r="G30" s="2">
        <v>64</v>
      </c>
      <c r="H30" s="4" t="s">
        <v>25</v>
      </c>
      <c r="I30" s="2" t="s">
        <v>9</v>
      </c>
      <c r="J30" s="4"/>
      <c r="K30" s="2">
        <v>4.2</v>
      </c>
      <c r="L30" s="6">
        <f t="shared" si="0"/>
        <v>0</v>
      </c>
    </row>
    <row r="31" spans="1:12" ht="13.15" customHeight="1">
      <c r="A31" s="2">
        <v>27</v>
      </c>
      <c r="B31" s="9" t="s">
        <v>102</v>
      </c>
      <c r="C31" s="8" t="s">
        <v>9</v>
      </c>
      <c r="D31" s="8"/>
      <c r="E31" s="26">
        <v>7</v>
      </c>
      <c r="F31" s="28">
        <f t="shared" si="1"/>
        <v>0</v>
      </c>
      <c r="G31" s="2">
        <v>65</v>
      </c>
      <c r="H31" s="4" t="s">
        <v>261</v>
      </c>
      <c r="I31" s="2" t="s">
        <v>9</v>
      </c>
      <c r="J31" s="4"/>
      <c r="K31" s="2">
        <v>2.4</v>
      </c>
      <c r="L31" s="6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8.25</v>
      </c>
      <c r="F32" s="7">
        <f t="shared" si="1"/>
        <v>0</v>
      </c>
      <c r="G32" s="2">
        <v>66</v>
      </c>
      <c r="H32" s="4"/>
      <c r="I32" s="2" t="s">
        <v>9</v>
      </c>
      <c r="J32" s="4"/>
      <c r="K32" s="2"/>
      <c r="L32" s="6">
        <f t="shared" si="0"/>
        <v>0</v>
      </c>
    </row>
    <row r="33" spans="1:13" ht="13.15" customHeight="1">
      <c r="A33" s="2">
        <v>29</v>
      </c>
      <c r="B33" s="4" t="s">
        <v>68</v>
      </c>
      <c r="C33" s="2" t="s">
        <v>9</v>
      </c>
      <c r="D33" s="2"/>
      <c r="E33" s="5">
        <v>6.4</v>
      </c>
      <c r="F33" s="6">
        <f t="shared" si="1"/>
        <v>0</v>
      </c>
      <c r="G33" s="2">
        <v>67</v>
      </c>
      <c r="H33" s="4"/>
      <c r="I33" s="2" t="s">
        <v>9</v>
      </c>
      <c r="J33" s="4"/>
      <c r="K33" s="2"/>
      <c r="L33" s="6">
        <f t="shared" si="0"/>
        <v>0</v>
      </c>
    </row>
    <row r="34" spans="1:13" ht="13.15" customHeight="1">
      <c r="A34" s="2">
        <v>30</v>
      </c>
      <c r="B34" s="4" t="s">
        <v>70</v>
      </c>
      <c r="C34" s="2" t="s">
        <v>9</v>
      </c>
      <c r="D34" s="2"/>
      <c r="E34" s="5">
        <v>0</v>
      </c>
      <c r="F34" s="6">
        <f t="shared" si="1"/>
        <v>0</v>
      </c>
      <c r="G34" s="2">
        <v>68</v>
      </c>
      <c r="H34" s="4"/>
      <c r="I34" s="2" t="s">
        <v>9</v>
      </c>
      <c r="J34" s="4"/>
      <c r="K34" s="2"/>
      <c r="L34" s="6">
        <f t="shared" si="0"/>
        <v>0</v>
      </c>
      <c r="M34" s="10"/>
    </row>
    <row r="35" spans="1:13" ht="13.15" customHeight="1">
      <c r="A35" s="2">
        <v>31</v>
      </c>
      <c r="B35" s="4" t="s">
        <v>72</v>
      </c>
      <c r="C35" s="2" t="s">
        <v>9</v>
      </c>
      <c r="D35" s="2"/>
      <c r="E35" s="5">
        <v>6.5</v>
      </c>
      <c r="F35" s="7">
        <f t="shared" si="1"/>
        <v>0</v>
      </c>
      <c r="G35" s="2">
        <v>69</v>
      </c>
      <c r="H35" s="4"/>
      <c r="I35" s="2" t="s">
        <v>9</v>
      </c>
      <c r="J35" s="4"/>
      <c r="K35" s="2"/>
      <c r="L35" s="6">
        <f t="shared" si="0"/>
        <v>0</v>
      </c>
    </row>
    <row r="36" spans="1:13" ht="13.15" customHeight="1">
      <c r="A36" s="2">
        <v>32</v>
      </c>
      <c r="B36" s="4" t="s">
        <v>74</v>
      </c>
      <c r="C36" s="2" t="s">
        <v>9</v>
      </c>
      <c r="D36" s="2"/>
      <c r="E36" s="2">
        <v>0</v>
      </c>
      <c r="F36" s="7">
        <f t="shared" si="1"/>
        <v>0</v>
      </c>
      <c r="G36" s="2">
        <v>70</v>
      </c>
      <c r="H36" s="4"/>
      <c r="I36" s="2" t="s">
        <v>9</v>
      </c>
      <c r="J36" s="4"/>
      <c r="K36" s="2"/>
      <c r="L36" s="6">
        <f t="shared" si="0"/>
        <v>0</v>
      </c>
    </row>
    <row r="37" spans="1:13" ht="13.15" customHeight="1">
      <c r="A37" s="2">
        <v>33</v>
      </c>
      <c r="B37" s="4" t="s">
        <v>76</v>
      </c>
      <c r="C37" s="2" t="s">
        <v>9</v>
      </c>
      <c r="D37" s="2"/>
      <c r="E37" s="2">
        <v>0</v>
      </c>
      <c r="F37" s="7">
        <f t="shared" si="1"/>
        <v>0</v>
      </c>
      <c r="G37" s="2">
        <v>71</v>
      </c>
      <c r="H37" s="4"/>
      <c r="I37" s="2" t="s">
        <v>9</v>
      </c>
      <c r="J37" s="4"/>
      <c r="K37" s="2"/>
      <c r="L37" s="6">
        <f t="shared" si="0"/>
        <v>0</v>
      </c>
      <c r="M37" s="11"/>
    </row>
    <row r="38" spans="1:13" ht="13.15" customHeight="1">
      <c r="A38" s="2">
        <v>34</v>
      </c>
      <c r="B38" s="4" t="s">
        <v>78</v>
      </c>
      <c r="C38" s="2" t="s">
        <v>9</v>
      </c>
      <c r="D38" s="2"/>
      <c r="E38" s="2">
        <v>0</v>
      </c>
      <c r="F38" s="7">
        <f t="shared" si="1"/>
        <v>0</v>
      </c>
      <c r="G38" s="2">
        <v>72</v>
      </c>
      <c r="H38" s="4"/>
      <c r="I38" s="2" t="s">
        <v>9</v>
      </c>
      <c r="J38" s="4"/>
      <c r="K38" s="2"/>
      <c r="L38" s="6">
        <f t="shared" si="0"/>
        <v>0</v>
      </c>
    </row>
    <row r="39" spans="1:13" ht="13.15" customHeight="1">
      <c r="A39" s="2">
        <v>35</v>
      </c>
      <c r="B39" s="4" t="s">
        <v>80</v>
      </c>
      <c r="C39" s="2" t="s">
        <v>9</v>
      </c>
      <c r="D39" s="2"/>
      <c r="E39" s="2">
        <v>0</v>
      </c>
      <c r="F39" s="7">
        <f t="shared" si="1"/>
        <v>0</v>
      </c>
      <c r="G39" s="2">
        <v>73</v>
      </c>
      <c r="H39" s="4"/>
      <c r="I39" s="2" t="s">
        <v>9</v>
      </c>
      <c r="J39" s="4"/>
      <c r="K39" s="2"/>
      <c r="L39" s="6">
        <f t="shared" si="0"/>
        <v>0</v>
      </c>
    </row>
    <row r="40" spans="1:13" ht="13.15" customHeight="1">
      <c r="I40" s="33" t="s">
        <v>82</v>
      </c>
      <c r="J40" s="34"/>
      <c r="K40" s="34"/>
      <c r="L40" s="23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69</v>
      </c>
    </row>
    <row r="42" spans="1:13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>
  <dimension ref="A1:M42"/>
  <sheetViews>
    <sheetView workbookViewId="0">
      <selection activeCell="M32" sqref="M32"/>
    </sheetView>
  </sheetViews>
  <sheetFormatPr defaultRowHeight="13.15" customHeight="1"/>
  <cols>
    <col min="1" max="1" width="4.7109375" style="17" customWidth="1"/>
    <col min="2" max="2" width="28.28515625" customWidth="1"/>
    <col min="3" max="3" width="6" bestFit="1" customWidth="1"/>
    <col min="4" max="4" width="5.85546875" bestFit="1" customWidth="1"/>
    <col min="5" max="5" width="8.28515625" customWidth="1"/>
    <col min="7" max="7" width="4.85546875" style="17" customWidth="1"/>
    <col min="8" max="8" width="23.28515625" customWidth="1"/>
    <col min="9" max="9" width="6.85546875" customWidth="1"/>
    <col min="10" max="10" width="6.7109375" customWidth="1"/>
    <col min="11" max="11" width="8.42578125" customWidth="1"/>
  </cols>
  <sheetData>
    <row r="1" spans="1:12" ht="13.15" customHeight="1">
      <c r="A1" s="30"/>
      <c r="B1" s="30"/>
      <c r="C1" s="30"/>
      <c r="D1" s="30" t="s">
        <v>260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 t="s">
        <v>236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1.45</v>
      </c>
      <c r="L2" s="6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0</v>
      </c>
      <c r="L3" s="6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2.5499999999999998</v>
      </c>
      <c r="L4" s="6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0</v>
      </c>
      <c r="F5" s="7">
        <f>D5*E5</f>
        <v>0</v>
      </c>
      <c r="G5" s="2">
        <v>39</v>
      </c>
      <c r="H5" s="4" t="s">
        <v>13</v>
      </c>
      <c r="I5" s="2" t="s">
        <v>9</v>
      </c>
      <c r="J5" s="2"/>
      <c r="K5" s="5">
        <v>2.1</v>
      </c>
      <c r="L5" s="6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</v>
      </c>
      <c r="F6" s="7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8.8000000000000007</v>
      </c>
      <c r="L6" s="6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0</v>
      </c>
      <c r="F7" s="7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0</v>
      </c>
      <c r="L7" s="6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7.85</v>
      </c>
      <c r="F8" s="7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2.5499999999999998</v>
      </c>
      <c r="L8" s="6">
        <f t="shared" si="0"/>
        <v>0</v>
      </c>
    </row>
    <row r="9" spans="1:12" ht="13.15" customHeight="1">
      <c r="A9" s="2">
        <v>5</v>
      </c>
      <c r="B9" s="9" t="s">
        <v>20</v>
      </c>
      <c r="C9" s="8" t="s">
        <v>9</v>
      </c>
      <c r="D9" s="8"/>
      <c r="E9" s="26">
        <v>5.75</v>
      </c>
      <c r="F9" s="27">
        <f t="shared" si="1"/>
        <v>0</v>
      </c>
      <c r="G9" s="2">
        <v>43</v>
      </c>
      <c r="H9" s="4" t="s">
        <v>21</v>
      </c>
      <c r="I9" s="2" t="s">
        <v>9</v>
      </c>
      <c r="J9" s="2"/>
      <c r="K9" s="5">
        <v>0</v>
      </c>
      <c r="L9" s="6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0</v>
      </c>
      <c r="F10" s="7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1.1499999999999999</v>
      </c>
      <c r="L10" s="6">
        <f t="shared" si="0"/>
        <v>0</v>
      </c>
    </row>
    <row r="11" spans="1:12" ht="13.15" customHeight="1">
      <c r="A11" s="2">
        <v>7</v>
      </c>
      <c r="B11" s="4" t="s">
        <v>125</v>
      </c>
      <c r="C11" s="2" t="s">
        <v>9</v>
      </c>
      <c r="D11" s="2"/>
      <c r="E11" s="5">
        <v>6.9</v>
      </c>
      <c r="F11" s="7">
        <f t="shared" si="1"/>
        <v>0</v>
      </c>
      <c r="G11" s="2">
        <v>45</v>
      </c>
      <c r="H11" s="4" t="s">
        <v>238</v>
      </c>
      <c r="I11" s="2" t="s">
        <v>9</v>
      </c>
      <c r="J11" s="2"/>
      <c r="K11" s="5">
        <v>0</v>
      </c>
      <c r="L11" s="6">
        <f t="shared" si="0"/>
        <v>0</v>
      </c>
    </row>
    <row r="12" spans="1:12" ht="13.15" customHeight="1">
      <c r="A12" s="2">
        <v>8</v>
      </c>
      <c r="B12" s="4" t="s">
        <v>239</v>
      </c>
      <c r="C12" s="2" t="s">
        <v>9</v>
      </c>
      <c r="D12" s="2"/>
      <c r="E12" s="5">
        <v>0</v>
      </c>
      <c r="F12" s="7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0</v>
      </c>
      <c r="L12" s="6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0</v>
      </c>
      <c r="F13" s="7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0</v>
      </c>
      <c r="L13" s="6">
        <f t="shared" si="0"/>
        <v>0</v>
      </c>
    </row>
    <row r="14" spans="1:12" ht="13.15" customHeight="1">
      <c r="A14" s="2">
        <v>3</v>
      </c>
      <c r="B14" s="4" t="s">
        <v>30</v>
      </c>
      <c r="C14" s="2" t="s">
        <v>9</v>
      </c>
      <c r="D14" s="2"/>
      <c r="E14" s="5">
        <v>0</v>
      </c>
      <c r="F14" s="7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0</v>
      </c>
      <c r="L14" s="6">
        <f t="shared" si="0"/>
        <v>0</v>
      </c>
    </row>
    <row r="15" spans="1:12" ht="13.15" customHeight="1">
      <c r="A15" s="2">
        <v>11</v>
      </c>
      <c r="B15" s="9" t="s">
        <v>32</v>
      </c>
      <c r="C15" s="8" t="s">
        <v>9</v>
      </c>
      <c r="D15" s="8"/>
      <c r="E15" s="26">
        <v>6.5</v>
      </c>
      <c r="F15" s="27">
        <f t="shared" si="1"/>
        <v>0</v>
      </c>
      <c r="G15" s="2">
        <v>49</v>
      </c>
      <c r="H15" s="4" t="s">
        <v>240</v>
      </c>
      <c r="I15" s="2" t="s">
        <v>9</v>
      </c>
      <c r="J15" s="2"/>
      <c r="K15" s="5">
        <v>9.1</v>
      </c>
      <c r="L15" s="6">
        <f t="shared" si="0"/>
        <v>0</v>
      </c>
    </row>
    <row r="16" spans="1:12" ht="13.15" customHeight="1">
      <c r="A16" s="2">
        <v>12</v>
      </c>
      <c r="B16" s="9" t="s">
        <v>241</v>
      </c>
      <c r="C16" s="8" t="s">
        <v>9</v>
      </c>
      <c r="D16" s="8"/>
      <c r="E16" s="26">
        <v>6.5</v>
      </c>
      <c r="F16" s="27">
        <f t="shared" si="1"/>
        <v>0</v>
      </c>
      <c r="G16" s="2">
        <v>50</v>
      </c>
      <c r="H16" s="4" t="s">
        <v>92</v>
      </c>
      <c r="I16" s="2" t="s">
        <v>9</v>
      </c>
      <c r="J16" s="2"/>
      <c r="K16" s="5">
        <v>7.45</v>
      </c>
      <c r="L16" s="6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0</v>
      </c>
      <c r="F17" s="7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0</v>
      </c>
      <c r="L17" s="6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0</v>
      </c>
      <c r="F18" s="7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3.2</v>
      </c>
      <c r="L18" s="6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6.2</v>
      </c>
      <c r="F19" s="7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0</v>
      </c>
      <c r="L19" s="6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0</v>
      </c>
      <c r="F20" s="7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0</v>
      </c>
      <c r="L20" s="6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0</v>
      </c>
      <c r="F21" s="7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0</v>
      </c>
      <c r="L21" s="6">
        <f t="shared" si="0"/>
        <v>0</v>
      </c>
    </row>
    <row r="22" spans="1:12" ht="13.15" customHeight="1">
      <c r="A22" s="2">
        <v>18</v>
      </c>
      <c r="B22" s="9" t="s">
        <v>46</v>
      </c>
      <c r="C22" s="8" t="s">
        <v>9</v>
      </c>
      <c r="D22" s="8"/>
      <c r="E22" s="26">
        <v>7</v>
      </c>
      <c r="F22" s="27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20.65</v>
      </c>
      <c r="L22" s="6">
        <f t="shared" si="0"/>
        <v>0</v>
      </c>
    </row>
    <row r="23" spans="1:12" ht="13.15" customHeight="1">
      <c r="A23" s="2">
        <v>19</v>
      </c>
      <c r="B23" s="9" t="s">
        <v>48</v>
      </c>
      <c r="C23" s="8" t="s">
        <v>9</v>
      </c>
      <c r="D23" s="8"/>
      <c r="E23" s="26">
        <v>7.75</v>
      </c>
      <c r="F23" s="27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14</v>
      </c>
      <c r="L23" s="6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0</v>
      </c>
      <c r="F24" s="7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0</v>
      </c>
      <c r="L24" s="6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7.9</v>
      </c>
      <c r="F25" s="7">
        <f t="shared" si="1"/>
        <v>0</v>
      </c>
      <c r="G25" s="2">
        <v>59</v>
      </c>
      <c r="H25" s="4" t="s">
        <v>243</v>
      </c>
      <c r="I25" s="2" t="s">
        <v>9</v>
      </c>
      <c r="J25" s="4"/>
      <c r="K25" s="2">
        <v>0</v>
      </c>
      <c r="L25" s="6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0</v>
      </c>
      <c r="F26" s="7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0</v>
      </c>
      <c r="L26" s="6">
        <f t="shared" si="0"/>
        <v>0</v>
      </c>
    </row>
    <row r="27" spans="1:12" ht="13.15" customHeight="1">
      <c r="A27" s="2">
        <v>23</v>
      </c>
      <c r="B27" s="9" t="s">
        <v>56</v>
      </c>
      <c r="C27" s="8" t="s">
        <v>9</v>
      </c>
      <c r="D27" s="8"/>
      <c r="E27" s="26">
        <v>5.75</v>
      </c>
      <c r="F27" s="27">
        <f t="shared" si="1"/>
        <v>0</v>
      </c>
      <c r="G27" s="2">
        <v>61</v>
      </c>
      <c r="H27" s="4" t="s">
        <v>244</v>
      </c>
      <c r="I27" s="2" t="s">
        <v>9</v>
      </c>
      <c r="J27" s="4"/>
      <c r="K27" s="2">
        <v>3.7</v>
      </c>
      <c r="L27" s="6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0</v>
      </c>
      <c r="F28" s="7">
        <f t="shared" si="1"/>
        <v>0</v>
      </c>
      <c r="G28" s="2">
        <v>62</v>
      </c>
      <c r="H28" s="4" t="s">
        <v>245</v>
      </c>
      <c r="I28" s="2" t="s">
        <v>9</v>
      </c>
      <c r="J28" s="4"/>
      <c r="K28" s="2">
        <v>7.35</v>
      </c>
      <c r="L28" s="6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6.7</v>
      </c>
      <c r="F29" s="7">
        <f t="shared" si="1"/>
        <v>0</v>
      </c>
      <c r="G29" s="2">
        <v>63</v>
      </c>
      <c r="H29" s="4" t="s">
        <v>63</v>
      </c>
      <c r="I29" s="2" t="s">
        <v>9</v>
      </c>
      <c r="J29" s="4"/>
      <c r="K29" s="2">
        <v>7.65</v>
      </c>
      <c r="L29" s="6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0</v>
      </c>
      <c r="F30" s="6">
        <f t="shared" si="1"/>
        <v>0</v>
      </c>
      <c r="G30" s="2">
        <v>64</v>
      </c>
      <c r="H30" s="4" t="s">
        <v>25</v>
      </c>
      <c r="I30" s="2" t="s">
        <v>9</v>
      </c>
      <c r="J30" s="4"/>
      <c r="K30" s="2">
        <v>4.2</v>
      </c>
      <c r="L30" s="6">
        <f t="shared" si="0"/>
        <v>0</v>
      </c>
    </row>
    <row r="31" spans="1:12" ht="13.15" customHeight="1">
      <c r="A31" s="2">
        <v>27</v>
      </c>
      <c r="B31" s="9" t="s">
        <v>102</v>
      </c>
      <c r="C31" s="8" t="s">
        <v>9</v>
      </c>
      <c r="D31" s="8"/>
      <c r="E31" s="26">
        <v>7</v>
      </c>
      <c r="F31" s="28">
        <f t="shared" si="1"/>
        <v>0</v>
      </c>
      <c r="G31" s="2">
        <v>65</v>
      </c>
      <c r="H31" s="4" t="s">
        <v>261</v>
      </c>
      <c r="I31" s="2" t="s">
        <v>9</v>
      </c>
      <c r="J31" s="4"/>
      <c r="K31" s="2">
        <v>2.4</v>
      </c>
      <c r="L31" s="6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8.25</v>
      </c>
      <c r="F32" s="7">
        <f t="shared" si="1"/>
        <v>0</v>
      </c>
      <c r="G32" s="2">
        <v>66</v>
      </c>
      <c r="H32" s="4"/>
      <c r="I32" s="2" t="s">
        <v>9</v>
      </c>
      <c r="J32" s="4"/>
      <c r="K32" s="2"/>
      <c r="L32" s="6">
        <f t="shared" si="0"/>
        <v>0</v>
      </c>
    </row>
    <row r="33" spans="1:13" ht="13.15" customHeight="1">
      <c r="A33" s="2">
        <v>29</v>
      </c>
      <c r="B33" s="4" t="s">
        <v>68</v>
      </c>
      <c r="C33" s="2" t="s">
        <v>9</v>
      </c>
      <c r="D33" s="2"/>
      <c r="E33" s="5">
        <v>6.4</v>
      </c>
      <c r="F33" s="6">
        <f t="shared" si="1"/>
        <v>0</v>
      </c>
      <c r="G33" s="2">
        <v>67</v>
      </c>
      <c r="H33" s="4"/>
      <c r="I33" s="2" t="s">
        <v>9</v>
      </c>
      <c r="J33" s="4"/>
      <c r="K33" s="2"/>
      <c r="L33" s="6">
        <f t="shared" si="0"/>
        <v>0</v>
      </c>
    </row>
    <row r="34" spans="1:13" ht="13.15" customHeight="1">
      <c r="A34" s="2">
        <v>30</v>
      </c>
      <c r="B34" s="4" t="s">
        <v>70</v>
      </c>
      <c r="C34" s="2" t="s">
        <v>9</v>
      </c>
      <c r="D34" s="2"/>
      <c r="E34" s="5">
        <v>0</v>
      </c>
      <c r="F34" s="6">
        <f t="shared" si="1"/>
        <v>0</v>
      </c>
      <c r="G34" s="2">
        <v>68</v>
      </c>
      <c r="H34" s="4"/>
      <c r="I34" s="2" t="s">
        <v>9</v>
      </c>
      <c r="J34" s="4"/>
      <c r="K34" s="2"/>
      <c r="L34" s="6">
        <f t="shared" si="0"/>
        <v>0</v>
      </c>
      <c r="M34" s="10"/>
    </row>
    <row r="35" spans="1:13" ht="13.15" customHeight="1">
      <c r="A35" s="2">
        <v>31</v>
      </c>
      <c r="B35" s="4" t="s">
        <v>72</v>
      </c>
      <c r="C35" s="2" t="s">
        <v>9</v>
      </c>
      <c r="D35" s="2"/>
      <c r="E35" s="5">
        <v>6.5</v>
      </c>
      <c r="F35" s="7">
        <f t="shared" si="1"/>
        <v>0</v>
      </c>
      <c r="G35" s="2">
        <v>69</v>
      </c>
      <c r="H35" s="4"/>
      <c r="I35" s="2" t="s">
        <v>9</v>
      </c>
      <c r="J35" s="4"/>
      <c r="K35" s="2"/>
      <c r="L35" s="6">
        <f t="shared" si="0"/>
        <v>0</v>
      </c>
    </row>
    <row r="36" spans="1:13" ht="13.15" customHeight="1">
      <c r="A36" s="2">
        <v>32</v>
      </c>
      <c r="B36" s="4" t="s">
        <v>74</v>
      </c>
      <c r="C36" s="2" t="s">
        <v>9</v>
      </c>
      <c r="D36" s="2"/>
      <c r="E36" s="2">
        <v>0</v>
      </c>
      <c r="F36" s="7">
        <f t="shared" si="1"/>
        <v>0</v>
      </c>
      <c r="G36" s="2">
        <v>70</v>
      </c>
      <c r="H36" s="4"/>
      <c r="I36" s="2" t="s">
        <v>9</v>
      </c>
      <c r="J36" s="4"/>
      <c r="K36" s="2"/>
      <c r="L36" s="6">
        <f t="shared" si="0"/>
        <v>0</v>
      </c>
    </row>
    <row r="37" spans="1:13" ht="13.15" customHeight="1">
      <c r="A37" s="2">
        <v>33</v>
      </c>
      <c r="B37" s="4" t="s">
        <v>76</v>
      </c>
      <c r="C37" s="2" t="s">
        <v>9</v>
      </c>
      <c r="D37" s="2"/>
      <c r="E37" s="2">
        <v>0</v>
      </c>
      <c r="F37" s="7">
        <f t="shared" si="1"/>
        <v>0</v>
      </c>
      <c r="G37" s="2">
        <v>71</v>
      </c>
      <c r="H37" s="4"/>
      <c r="I37" s="2" t="s">
        <v>9</v>
      </c>
      <c r="J37" s="4"/>
      <c r="K37" s="2"/>
      <c r="L37" s="6">
        <f t="shared" si="0"/>
        <v>0</v>
      </c>
      <c r="M37" s="11"/>
    </row>
    <row r="38" spans="1:13" ht="13.15" customHeight="1">
      <c r="A38" s="2">
        <v>34</v>
      </c>
      <c r="B38" s="4" t="s">
        <v>78</v>
      </c>
      <c r="C38" s="2" t="s">
        <v>9</v>
      </c>
      <c r="D38" s="2"/>
      <c r="E38" s="2">
        <v>0</v>
      </c>
      <c r="F38" s="7">
        <f t="shared" si="1"/>
        <v>0</v>
      </c>
      <c r="G38" s="2">
        <v>72</v>
      </c>
      <c r="H38" s="4"/>
      <c r="I38" s="2" t="s">
        <v>9</v>
      </c>
      <c r="J38" s="4"/>
      <c r="K38" s="2"/>
      <c r="L38" s="6">
        <f t="shared" si="0"/>
        <v>0</v>
      </c>
    </row>
    <row r="39" spans="1:13" ht="13.15" customHeight="1">
      <c r="A39" s="2">
        <v>35</v>
      </c>
      <c r="B39" s="4" t="s">
        <v>80</v>
      </c>
      <c r="C39" s="2" t="s">
        <v>9</v>
      </c>
      <c r="D39" s="2"/>
      <c r="E39" s="2">
        <v>0</v>
      </c>
      <c r="F39" s="7">
        <f t="shared" si="1"/>
        <v>0</v>
      </c>
      <c r="G39" s="2">
        <v>73</v>
      </c>
      <c r="H39" s="4"/>
      <c r="I39" s="2" t="s">
        <v>9</v>
      </c>
      <c r="J39" s="4"/>
      <c r="K39" s="2"/>
      <c r="L39" s="6">
        <f t="shared" si="0"/>
        <v>0</v>
      </c>
    </row>
    <row r="40" spans="1:13" ht="13.15" customHeight="1">
      <c r="I40" s="33" t="s">
        <v>82</v>
      </c>
      <c r="J40" s="34"/>
      <c r="K40" s="34"/>
      <c r="L40" s="23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0</v>
      </c>
    </row>
    <row r="42" spans="1:13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>
  <dimension ref="A1:M42"/>
  <sheetViews>
    <sheetView workbookViewId="0">
      <selection activeCell="M32" sqref="M32"/>
    </sheetView>
  </sheetViews>
  <sheetFormatPr defaultRowHeight="13.15" customHeight="1"/>
  <cols>
    <col min="1" max="1" width="4.7109375" style="17" customWidth="1"/>
    <col min="2" max="2" width="28.28515625" customWidth="1"/>
    <col min="3" max="3" width="6" bestFit="1" customWidth="1"/>
    <col min="4" max="4" width="5.85546875" bestFit="1" customWidth="1"/>
    <col min="5" max="5" width="8.28515625" customWidth="1"/>
    <col min="7" max="7" width="4.85546875" style="17" customWidth="1"/>
    <col min="8" max="8" width="23.28515625" customWidth="1"/>
    <col min="9" max="9" width="6.85546875" customWidth="1"/>
    <col min="10" max="10" width="6.7109375" customWidth="1"/>
    <col min="11" max="11" width="8.42578125" customWidth="1"/>
  </cols>
  <sheetData>
    <row r="1" spans="1:12" ht="13.15" customHeight="1">
      <c r="A1" s="30"/>
      <c r="B1" s="30"/>
      <c r="C1" s="30"/>
      <c r="D1" s="30" t="s">
        <v>260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 t="s">
        <v>236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1.45</v>
      </c>
      <c r="L2" s="6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0</v>
      </c>
      <c r="L3" s="6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2.5499999999999998</v>
      </c>
      <c r="L4" s="6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0</v>
      </c>
      <c r="F5" s="7">
        <f>D5*E5</f>
        <v>0</v>
      </c>
      <c r="G5" s="2">
        <v>39</v>
      </c>
      <c r="H5" s="4" t="s">
        <v>13</v>
      </c>
      <c r="I5" s="2" t="s">
        <v>9</v>
      </c>
      <c r="J5" s="2"/>
      <c r="K5" s="5">
        <v>2.1</v>
      </c>
      <c r="L5" s="6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</v>
      </c>
      <c r="F6" s="7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8.8000000000000007</v>
      </c>
      <c r="L6" s="6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0</v>
      </c>
      <c r="F7" s="7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0</v>
      </c>
      <c r="L7" s="6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7.85</v>
      </c>
      <c r="F8" s="7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2.5499999999999998</v>
      </c>
      <c r="L8" s="6">
        <f t="shared" si="0"/>
        <v>0</v>
      </c>
    </row>
    <row r="9" spans="1:12" ht="13.15" customHeight="1">
      <c r="A9" s="2">
        <v>5</v>
      </c>
      <c r="B9" s="9" t="s">
        <v>20</v>
      </c>
      <c r="C9" s="8" t="s">
        <v>9</v>
      </c>
      <c r="D9" s="8"/>
      <c r="E9" s="26">
        <v>5.75</v>
      </c>
      <c r="F9" s="27">
        <f t="shared" si="1"/>
        <v>0</v>
      </c>
      <c r="G9" s="2">
        <v>43</v>
      </c>
      <c r="H9" s="4" t="s">
        <v>21</v>
      </c>
      <c r="I9" s="2" t="s">
        <v>9</v>
      </c>
      <c r="J9" s="2"/>
      <c r="K9" s="5">
        <v>0</v>
      </c>
      <c r="L9" s="6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0</v>
      </c>
      <c r="F10" s="7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1.1499999999999999</v>
      </c>
      <c r="L10" s="6">
        <f t="shared" si="0"/>
        <v>0</v>
      </c>
    </row>
    <row r="11" spans="1:12" ht="13.15" customHeight="1">
      <c r="A11" s="2">
        <v>7</v>
      </c>
      <c r="B11" s="4" t="s">
        <v>125</v>
      </c>
      <c r="C11" s="2" t="s">
        <v>9</v>
      </c>
      <c r="D11" s="2"/>
      <c r="E11" s="5">
        <v>6.9</v>
      </c>
      <c r="F11" s="7">
        <f t="shared" si="1"/>
        <v>0</v>
      </c>
      <c r="G11" s="2">
        <v>45</v>
      </c>
      <c r="H11" s="4" t="s">
        <v>238</v>
      </c>
      <c r="I11" s="2" t="s">
        <v>9</v>
      </c>
      <c r="J11" s="2"/>
      <c r="K11" s="5">
        <v>0</v>
      </c>
      <c r="L11" s="6">
        <f t="shared" si="0"/>
        <v>0</v>
      </c>
    </row>
    <row r="12" spans="1:12" ht="13.15" customHeight="1">
      <c r="A12" s="2">
        <v>8</v>
      </c>
      <c r="B12" s="4" t="s">
        <v>239</v>
      </c>
      <c r="C12" s="2" t="s">
        <v>9</v>
      </c>
      <c r="D12" s="2"/>
      <c r="E12" s="5">
        <v>0</v>
      </c>
      <c r="F12" s="7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0</v>
      </c>
      <c r="L12" s="6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0</v>
      </c>
      <c r="F13" s="7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0</v>
      </c>
      <c r="L13" s="6">
        <f t="shared" si="0"/>
        <v>0</v>
      </c>
    </row>
    <row r="14" spans="1:12" ht="13.15" customHeight="1">
      <c r="A14" s="2">
        <v>3</v>
      </c>
      <c r="B14" s="4" t="s">
        <v>30</v>
      </c>
      <c r="C14" s="2" t="s">
        <v>9</v>
      </c>
      <c r="D14" s="2"/>
      <c r="E14" s="5">
        <v>0</v>
      </c>
      <c r="F14" s="7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0</v>
      </c>
      <c r="L14" s="6">
        <f t="shared" si="0"/>
        <v>0</v>
      </c>
    </row>
    <row r="15" spans="1:12" ht="13.15" customHeight="1">
      <c r="A15" s="2">
        <v>11</v>
      </c>
      <c r="B15" s="9" t="s">
        <v>32</v>
      </c>
      <c r="C15" s="8" t="s">
        <v>9</v>
      </c>
      <c r="D15" s="8"/>
      <c r="E15" s="26">
        <v>6.5</v>
      </c>
      <c r="F15" s="27">
        <f t="shared" si="1"/>
        <v>0</v>
      </c>
      <c r="G15" s="2">
        <v>49</v>
      </c>
      <c r="H15" s="4" t="s">
        <v>240</v>
      </c>
      <c r="I15" s="2" t="s">
        <v>9</v>
      </c>
      <c r="J15" s="2"/>
      <c r="K15" s="5">
        <v>9.1</v>
      </c>
      <c r="L15" s="6">
        <f t="shared" si="0"/>
        <v>0</v>
      </c>
    </row>
    <row r="16" spans="1:12" ht="13.15" customHeight="1">
      <c r="A16" s="2">
        <v>12</v>
      </c>
      <c r="B16" s="9" t="s">
        <v>241</v>
      </c>
      <c r="C16" s="8" t="s">
        <v>9</v>
      </c>
      <c r="D16" s="8"/>
      <c r="E16" s="26">
        <v>6.5</v>
      </c>
      <c r="F16" s="27">
        <f t="shared" si="1"/>
        <v>0</v>
      </c>
      <c r="G16" s="2">
        <v>50</v>
      </c>
      <c r="H16" s="4" t="s">
        <v>92</v>
      </c>
      <c r="I16" s="2" t="s">
        <v>9</v>
      </c>
      <c r="J16" s="2"/>
      <c r="K16" s="5">
        <v>7.45</v>
      </c>
      <c r="L16" s="6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0</v>
      </c>
      <c r="F17" s="7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0</v>
      </c>
      <c r="L17" s="6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0</v>
      </c>
      <c r="F18" s="7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3.2</v>
      </c>
      <c r="L18" s="6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6.2</v>
      </c>
      <c r="F19" s="7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0</v>
      </c>
      <c r="L19" s="6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0</v>
      </c>
      <c r="F20" s="7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0</v>
      </c>
      <c r="L20" s="6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0</v>
      </c>
      <c r="F21" s="7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0</v>
      </c>
      <c r="L21" s="6">
        <f t="shared" si="0"/>
        <v>0</v>
      </c>
    </row>
    <row r="22" spans="1:12" ht="13.15" customHeight="1">
      <c r="A22" s="2">
        <v>18</v>
      </c>
      <c r="B22" s="9" t="s">
        <v>46</v>
      </c>
      <c r="C22" s="8" t="s">
        <v>9</v>
      </c>
      <c r="D22" s="8"/>
      <c r="E22" s="26">
        <v>7</v>
      </c>
      <c r="F22" s="27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20.65</v>
      </c>
      <c r="L22" s="6">
        <f t="shared" si="0"/>
        <v>0</v>
      </c>
    </row>
    <row r="23" spans="1:12" ht="13.15" customHeight="1">
      <c r="A23" s="2">
        <v>19</v>
      </c>
      <c r="B23" s="9" t="s">
        <v>48</v>
      </c>
      <c r="C23" s="8" t="s">
        <v>9</v>
      </c>
      <c r="D23" s="8"/>
      <c r="E23" s="26">
        <v>7.75</v>
      </c>
      <c r="F23" s="27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14</v>
      </c>
      <c r="L23" s="6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0</v>
      </c>
      <c r="F24" s="7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0</v>
      </c>
      <c r="L24" s="6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7.9</v>
      </c>
      <c r="F25" s="7">
        <f t="shared" si="1"/>
        <v>0</v>
      </c>
      <c r="G25" s="2">
        <v>59</v>
      </c>
      <c r="H25" s="4" t="s">
        <v>243</v>
      </c>
      <c r="I25" s="2" t="s">
        <v>9</v>
      </c>
      <c r="J25" s="4"/>
      <c r="K25" s="2">
        <v>0</v>
      </c>
      <c r="L25" s="6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0</v>
      </c>
      <c r="F26" s="7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0</v>
      </c>
      <c r="L26" s="6">
        <f t="shared" si="0"/>
        <v>0</v>
      </c>
    </row>
    <row r="27" spans="1:12" ht="13.15" customHeight="1">
      <c r="A27" s="2">
        <v>23</v>
      </c>
      <c r="B27" s="9" t="s">
        <v>56</v>
      </c>
      <c r="C27" s="8" t="s">
        <v>9</v>
      </c>
      <c r="D27" s="8"/>
      <c r="E27" s="26">
        <v>5.75</v>
      </c>
      <c r="F27" s="27">
        <f t="shared" si="1"/>
        <v>0</v>
      </c>
      <c r="G27" s="2">
        <v>61</v>
      </c>
      <c r="H27" s="4" t="s">
        <v>244</v>
      </c>
      <c r="I27" s="2" t="s">
        <v>9</v>
      </c>
      <c r="J27" s="4"/>
      <c r="K27" s="2">
        <v>3.7</v>
      </c>
      <c r="L27" s="6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0</v>
      </c>
      <c r="F28" s="7">
        <f t="shared" si="1"/>
        <v>0</v>
      </c>
      <c r="G28" s="2">
        <v>62</v>
      </c>
      <c r="H28" s="4" t="s">
        <v>245</v>
      </c>
      <c r="I28" s="2" t="s">
        <v>9</v>
      </c>
      <c r="J28" s="4"/>
      <c r="K28" s="2">
        <v>7.35</v>
      </c>
      <c r="L28" s="6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6.7</v>
      </c>
      <c r="F29" s="7">
        <f t="shared" si="1"/>
        <v>0</v>
      </c>
      <c r="G29" s="2">
        <v>63</v>
      </c>
      <c r="H29" s="4" t="s">
        <v>63</v>
      </c>
      <c r="I29" s="2" t="s">
        <v>9</v>
      </c>
      <c r="J29" s="4"/>
      <c r="K29" s="2">
        <v>7.65</v>
      </c>
      <c r="L29" s="6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0</v>
      </c>
      <c r="F30" s="6">
        <f t="shared" si="1"/>
        <v>0</v>
      </c>
      <c r="G30" s="2">
        <v>64</v>
      </c>
      <c r="H30" s="4" t="s">
        <v>25</v>
      </c>
      <c r="I30" s="2" t="s">
        <v>9</v>
      </c>
      <c r="J30" s="4"/>
      <c r="K30" s="2">
        <v>4.2</v>
      </c>
      <c r="L30" s="6">
        <f t="shared" si="0"/>
        <v>0</v>
      </c>
    </row>
    <row r="31" spans="1:12" ht="13.15" customHeight="1">
      <c r="A31" s="2">
        <v>27</v>
      </c>
      <c r="B31" s="9" t="s">
        <v>102</v>
      </c>
      <c r="C31" s="8" t="s">
        <v>9</v>
      </c>
      <c r="D31" s="8"/>
      <c r="E31" s="26">
        <v>7</v>
      </c>
      <c r="F31" s="28">
        <f t="shared" si="1"/>
        <v>0</v>
      </c>
      <c r="G31" s="2">
        <v>65</v>
      </c>
      <c r="H31" s="4" t="s">
        <v>261</v>
      </c>
      <c r="I31" s="2" t="s">
        <v>9</v>
      </c>
      <c r="J31" s="4"/>
      <c r="K31" s="2">
        <v>2.4</v>
      </c>
      <c r="L31" s="6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8.25</v>
      </c>
      <c r="F32" s="7">
        <f t="shared" si="1"/>
        <v>0</v>
      </c>
      <c r="G32" s="2">
        <v>66</v>
      </c>
      <c r="H32" s="4"/>
      <c r="I32" s="2" t="s">
        <v>9</v>
      </c>
      <c r="J32" s="4"/>
      <c r="K32" s="2"/>
      <c r="L32" s="6">
        <f t="shared" si="0"/>
        <v>0</v>
      </c>
    </row>
    <row r="33" spans="1:13" ht="13.15" customHeight="1">
      <c r="A33" s="2">
        <v>29</v>
      </c>
      <c r="B33" s="4" t="s">
        <v>68</v>
      </c>
      <c r="C33" s="2" t="s">
        <v>9</v>
      </c>
      <c r="D33" s="2"/>
      <c r="E33" s="5">
        <v>6.4</v>
      </c>
      <c r="F33" s="6">
        <f t="shared" si="1"/>
        <v>0</v>
      </c>
      <c r="G33" s="2">
        <v>67</v>
      </c>
      <c r="H33" s="4"/>
      <c r="I33" s="2" t="s">
        <v>9</v>
      </c>
      <c r="J33" s="4"/>
      <c r="K33" s="2"/>
      <c r="L33" s="6">
        <f t="shared" si="0"/>
        <v>0</v>
      </c>
    </row>
    <row r="34" spans="1:13" ht="13.15" customHeight="1">
      <c r="A34" s="2">
        <v>30</v>
      </c>
      <c r="B34" s="4" t="s">
        <v>70</v>
      </c>
      <c r="C34" s="2" t="s">
        <v>9</v>
      </c>
      <c r="D34" s="2"/>
      <c r="E34" s="5">
        <v>0</v>
      </c>
      <c r="F34" s="6">
        <f t="shared" si="1"/>
        <v>0</v>
      </c>
      <c r="G34" s="2">
        <v>68</v>
      </c>
      <c r="H34" s="4"/>
      <c r="I34" s="2" t="s">
        <v>9</v>
      </c>
      <c r="J34" s="4"/>
      <c r="K34" s="2"/>
      <c r="L34" s="6">
        <f t="shared" si="0"/>
        <v>0</v>
      </c>
      <c r="M34" s="10"/>
    </row>
    <row r="35" spans="1:13" ht="13.15" customHeight="1">
      <c r="A35" s="2">
        <v>31</v>
      </c>
      <c r="B35" s="4" t="s">
        <v>72</v>
      </c>
      <c r="C35" s="2" t="s">
        <v>9</v>
      </c>
      <c r="D35" s="2"/>
      <c r="E35" s="5">
        <v>6.5</v>
      </c>
      <c r="F35" s="7">
        <f t="shared" si="1"/>
        <v>0</v>
      </c>
      <c r="G35" s="2">
        <v>69</v>
      </c>
      <c r="H35" s="4"/>
      <c r="I35" s="2" t="s">
        <v>9</v>
      </c>
      <c r="J35" s="4"/>
      <c r="K35" s="2"/>
      <c r="L35" s="6">
        <f t="shared" si="0"/>
        <v>0</v>
      </c>
    </row>
    <row r="36" spans="1:13" ht="13.15" customHeight="1">
      <c r="A36" s="2">
        <v>32</v>
      </c>
      <c r="B36" s="4" t="s">
        <v>74</v>
      </c>
      <c r="C36" s="2" t="s">
        <v>9</v>
      </c>
      <c r="D36" s="2"/>
      <c r="E36" s="2">
        <v>0</v>
      </c>
      <c r="F36" s="7">
        <f t="shared" si="1"/>
        <v>0</v>
      </c>
      <c r="G36" s="2">
        <v>70</v>
      </c>
      <c r="H36" s="4"/>
      <c r="I36" s="2" t="s">
        <v>9</v>
      </c>
      <c r="J36" s="4"/>
      <c r="K36" s="2"/>
      <c r="L36" s="6">
        <f t="shared" si="0"/>
        <v>0</v>
      </c>
    </row>
    <row r="37" spans="1:13" ht="13.15" customHeight="1">
      <c r="A37" s="2">
        <v>33</v>
      </c>
      <c r="B37" s="4" t="s">
        <v>76</v>
      </c>
      <c r="C37" s="2" t="s">
        <v>9</v>
      </c>
      <c r="D37" s="2"/>
      <c r="E37" s="2">
        <v>0</v>
      </c>
      <c r="F37" s="7">
        <f t="shared" si="1"/>
        <v>0</v>
      </c>
      <c r="G37" s="2">
        <v>71</v>
      </c>
      <c r="H37" s="4"/>
      <c r="I37" s="2" t="s">
        <v>9</v>
      </c>
      <c r="J37" s="4"/>
      <c r="K37" s="2"/>
      <c r="L37" s="6">
        <f t="shared" si="0"/>
        <v>0</v>
      </c>
      <c r="M37" s="11"/>
    </row>
    <row r="38" spans="1:13" ht="13.15" customHeight="1">
      <c r="A38" s="2">
        <v>34</v>
      </c>
      <c r="B38" s="4" t="s">
        <v>78</v>
      </c>
      <c r="C38" s="2" t="s">
        <v>9</v>
      </c>
      <c r="D38" s="2"/>
      <c r="E38" s="2">
        <v>0</v>
      </c>
      <c r="F38" s="7">
        <f t="shared" si="1"/>
        <v>0</v>
      </c>
      <c r="G38" s="2">
        <v>72</v>
      </c>
      <c r="H38" s="4"/>
      <c r="I38" s="2" t="s">
        <v>9</v>
      </c>
      <c r="J38" s="4"/>
      <c r="K38" s="2"/>
      <c r="L38" s="6">
        <f t="shared" si="0"/>
        <v>0</v>
      </c>
    </row>
    <row r="39" spans="1:13" ht="13.15" customHeight="1">
      <c r="A39" s="2">
        <v>35</v>
      </c>
      <c r="B39" s="4" t="s">
        <v>80</v>
      </c>
      <c r="C39" s="2" t="s">
        <v>9</v>
      </c>
      <c r="D39" s="2"/>
      <c r="E39" s="2">
        <v>0</v>
      </c>
      <c r="F39" s="7">
        <f t="shared" si="1"/>
        <v>0</v>
      </c>
      <c r="G39" s="2">
        <v>73</v>
      </c>
      <c r="H39" s="4"/>
      <c r="I39" s="2" t="s">
        <v>9</v>
      </c>
      <c r="J39" s="4"/>
      <c r="K39" s="2"/>
      <c r="L39" s="6">
        <f t="shared" si="0"/>
        <v>0</v>
      </c>
    </row>
    <row r="40" spans="1:13" ht="13.15" customHeight="1">
      <c r="I40" s="33" t="s">
        <v>82</v>
      </c>
      <c r="J40" s="34"/>
      <c r="K40" s="34"/>
      <c r="L40" s="23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0</v>
      </c>
    </row>
    <row r="42" spans="1:13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>
  <dimension ref="A1:M42"/>
  <sheetViews>
    <sheetView workbookViewId="0">
      <selection activeCell="M32" sqref="M32"/>
    </sheetView>
  </sheetViews>
  <sheetFormatPr defaultRowHeight="13.15" customHeight="1"/>
  <cols>
    <col min="1" max="1" width="4.7109375" style="17" customWidth="1"/>
    <col min="2" max="2" width="28.28515625" customWidth="1"/>
    <col min="3" max="3" width="6" bestFit="1" customWidth="1"/>
    <col min="4" max="4" width="5.85546875" bestFit="1" customWidth="1"/>
    <col min="5" max="5" width="8.28515625" customWidth="1"/>
    <col min="7" max="7" width="4.85546875" style="17" customWidth="1"/>
    <col min="8" max="8" width="23.28515625" customWidth="1"/>
    <col min="9" max="9" width="6.85546875" customWidth="1"/>
    <col min="10" max="10" width="6.7109375" customWidth="1"/>
    <col min="11" max="11" width="8.42578125" customWidth="1"/>
  </cols>
  <sheetData>
    <row r="1" spans="1:12" ht="13.15" customHeight="1">
      <c r="A1" s="30"/>
      <c r="B1" s="30"/>
      <c r="C1" s="30"/>
      <c r="D1" s="30" t="s">
        <v>260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 t="s">
        <v>236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1.45</v>
      </c>
      <c r="L2" s="6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0</v>
      </c>
      <c r="L3" s="6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2.5499999999999998</v>
      </c>
      <c r="L4" s="6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0</v>
      </c>
      <c r="F5" s="7">
        <f>D5*E5</f>
        <v>0</v>
      </c>
      <c r="G5" s="2">
        <v>39</v>
      </c>
      <c r="H5" s="4" t="s">
        <v>13</v>
      </c>
      <c r="I5" s="2" t="s">
        <v>9</v>
      </c>
      <c r="J5" s="2"/>
      <c r="K5" s="5">
        <v>2.1</v>
      </c>
      <c r="L5" s="6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</v>
      </c>
      <c r="F6" s="7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8.8000000000000007</v>
      </c>
      <c r="L6" s="6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0</v>
      </c>
      <c r="F7" s="7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0</v>
      </c>
      <c r="L7" s="6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7.85</v>
      </c>
      <c r="F8" s="7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2.5499999999999998</v>
      </c>
      <c r="L8" s="6">
        <f t="shared" si="0"/>
        <v>0</v>
      </c>
    </row>
    <row r="9" spans="1:12" ht="13.15" customHeight="1">
      <c r="A9" s="2">
        <v>5</v>
      </c>
      <c r="B9" s="9" t="s">
        <v>20</v>
      </c>
      <c r="C9" s="8" t="s">
        <v>9</v>
      </c>
      <c r="D9" s="8"/>
      <c r="E9" s="26">
        <v>5.75</v>
      </c>
      <c r="F9" s="27">
        <f t="shared" si="1"/>
        <v>0</v>
      </c>
      <c r="G9" s="2">
        <v>43</v>
      </c>
      <c r="H9" s="4" t="s">
        <v>21</v>
      </c>
      <c r="I9" s="2" t="s">
        <v>9</v>
      </c>
      <c r="J9" s="2"/>
      <c r="K9" s="5">
        <v>0</v>
      </c>
      <c r="L9" s="6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0</v>
      </c>
      <c r="F10" s="7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1.1499999999999999</v>
      </c>
      <c r="L10" s="6">
        <f t="shared" si="0"/>
        <v>0</v>
      </c>
    </row>
    <row r="11" spans="1:12" ht="13.15" customHeight="1">
      <c r="A11" s="2">
        <v>7</v>
      </c>
      <c r="B11" s="4" t="s">
        <v>125</v>
      </c>
      <c r="C11" s="2" t="s">
        <v>9</v>
      </c>
      <c r="D11" s="2"/>
      <c r="E11" s="5">
        <v>6.9</v>
      </c>
      <c r="F11" s="7">
        <f t="shared" si="1"/>
        <v>0</v>
      </c>
      <c r="G11" s="2">
        <v>45</v>
      </c>
      <c r="H11" s="4" t="s">
        <v>238</v>
      </c>
      <c r="I11" s="2" t="s">
        <v>9</v>
      </c>
      <c r="J11" s="2"/>
      <c r="K11" s="5">
        <v>0</v>
      </c>
      <c r="L11" s="6">
        <f t="shared" si="0"/>
        <v>0</v>
      </c>
    </row>
    <row r="12" spans="1:12" ht="13.15" customHeight="1">
      <c r="A12" s="2">
        <v>8</v>
      </c>
      <c r="B12" s="4" t="s">
        <v>239</v>
      </c>
      <c r="C12" s="2" t="s">
        <v>9</v>
      </c>
      <c r="D12" s="2"/>
      <c r="E12" s="5">
        <v>0</v>
      </c>
      <c r="F12" s="7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0</v>
      </c>
      <c r="L12" s="6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0</v>
      </c>
      <c r="F13" s="7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0</v>
      </c>
      <c r="L13" s="6">
        <f t="shared" si="0"/>
        <v>0</v>
      </c>
    </row>
    <row r="14" spans="1:12" ht="13.15" customHeight="1">
      <c r="A14" s="2">
        <v>3</v>
      </c>
      <c r="B14" s="4" t="s">
        <v>30</v>
      </c>
      <c r="C14" s="2" t="s">
        <v>9</v>
      </c>
      <c r="D14" s="2"/>
      <c r="E14" s="5">
        <v>0</v>
      </c>
      <c r="F14" s="7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0</v>
      </c>
      <c r="L14" s="6">
        <f t="shared" si="0"/>
        <v>0</v>
      </c>
    </row>
    <row r="15" spans="1:12" ht="13.15" customHeight="1">
      <c r="A15" s="2">
        <v>11</v>
      </c>
      <c r="B15" s="9" t="s">
        <v>32</v>
      </c>
      <c r="C15" s="8" t="s">
        <v>9</v>
      </c>
      <c r="D15" s="8"/>
      <c r="E15" s="26">
        <v>6.5</v>
      </c>
      <c r="F15" s="27">
        <f t="shared" si="1"/>
        <v>0</v>
      </c>
      <c r="G15" s="2">
        <v>49</v>
      </c>
      <c r="H15" s="4" t="s">
        <v>240</v>
      </c>
      <c r="I15" s="2" t="s">
        <v>9</v>
      </c>
      <c r="J15" s="2"/>
      <c r="K15" s="5">
        <v>9.1</v>
      </c>
      <c r="L15" s="6">
        <f t="shared" si="0"/>
        <v>0</v>
      </c>
    </row>
    <row r="16" spans="1:12" ht="13.15" customHeight="1">
      <c r="A16" s="2">
        <v>12</v>
      </c>
      <c r="B16" s="9" t="s">
        <v>241</v>
      </c>
      <c r="C16" s="8" t="s">
        <v>9</v>
      </c>
      <c r="D16" s="8"/>
      <c r="E16" s="26">
        <v>6.5</v>
      </c>
      <c r="F16" s="27">
        <f t="shared" si="1"/>
        <v>0</v>
      </c>
      <c r="G16" s="2">
        <v>50</v>
      </c>
      <c r="H16" s="4" t="s">
        <v>92</v>
      </c>
      <c r="I16" s="2" t="s">
        <v>9</v>
      </c>
      <c r="J16" s="2"/>
      <c r="K16" s="5">
        <v>7.45</v>
      </c>
      <c r="L16" s="6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0</v>
      </c>
      <c r="F17" s="7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0</v>
      </c>
      <c r="L17" s="6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0</v>
      </c>
      <c r="F18" s="7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3.2</v>
      </c>
      <c r="L18" s="6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6.2</v>
      </c>
      <c r="F19" s="7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0</v>
      </c>
      <c r="L19" s="6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0</v>
      </c>
      <c r="F20" s="7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0</v>
      </c>
      <c r="L20" s="6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0</v>
      </c>
      <c r="F21" s="7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0</v>
      </c>
      <c r="L21" s="6">
        <f t="shared" si="0"/>
        <v>0</v>
      </c>
    </row>
    <row r="22" spans="1:12" ht="13.15" customHeight="1">
      <c r="A22" s="2">
        <v>18</v>
      </c>
      <c r="B22" s="9" t="s">
        <v>46</v>
      </c>
      <c r="C22" s="8" t="s">
        <v>9</v>
      </c>
      <c r="D22" s="8"/>
      <c r="E22" s="26">
        <v>7</v>
      </c>
      <c r="F22" s="27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20.65</v>
      </c>
      <c r="L22" s="6">
        <f t="shared" si="0"/>
        <v>0</v>
      </c>
    </row>
    <row r="23" spans="1:12" ht="13.15" customHeight="1">
      <c r="A23" s="2">
        <v>19</v>
      </c>
      <c r="B23" s="9" t="s">
        <v>48</v>
      </c>
      <c r="C23" s="8" t="s">
        <v>9</v>
      </c>
      <c r="D23" s="8"/>
      <c r="E23" s="26">
        <v>7.75</v>
      </c>
      <c r="F23" s="27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14</v>
      </c>
      <c r="L23" s="6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0</v>
      </c>
      <c r="F24" s="7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0</v>
      </c>
      <c r="L24" s="6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7.9</v>
      </c>
      <c r="F25" s="7">
        <f t="shared" si="1"/>
        <v>0</v>
      </c>
      <c r="G25" s="2">
        <v>59</v>
      </c>
      <c r="H25" s="4" t="s">
        <v>243</v>
      </c>
      <c r="I25" s="2" t="s">
        <v>9</v>
      </c>
      <c r="J25" s="4"/>
      <c r="K25" s="2">
        <v>0</v>
      </c>
      <c r="L25" s="6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0</v>
      </c>
      <c r="F26" s="7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0</v>
      </c>
      <c r="L26" s="6">
        <f t="shared" si="0"/>
        <v>0</v>
      </c>
    </row>
    <row r="27" spans="1:12" ht="13.15" customHeight="1">
      <c r="A27" s="2">
        <v>23</v>
      </c>
      <c r="B27" s="9" t="s">
        <v>56</v>
      </c>
      <c r="C27" s="8" t="s">
        <v>9</v>
      </c>
      <c r="D27" s="8"/>
      <c r="E27" s="26">
        <v>5.75</v>
      </c>
      <c r="F27" s="27">
        <f t="shared" si="1"/>
        <v>0</v>
      </c>
      <c r="G27" s="2">
        <v>61</v>
      </c>
      <c r="H27" s="4" t="s">
        <v>244</v>
      </c>
      <c r="I27" s="2" t="s">
        <v>9</v>
      </c>
      <c r="J27" s="4"/>
      <c r="K27" s="2">
        <v>3.7</v>
      </c>
      <c r="L27" s="6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0</v>
      </c>
      <c r="F28" s="7">
        <f t="shared" si="1"/>
        <v>0</v>
      </c>
      <c r="G28" s="2">
        <v>62</v>
      </c>
      <c r="H28" s="4" t="s">
        <v>245</v>
      </c>
      <c r="I28" s="2" t="s">
        <v>9</v>
      </c>
      <c r="J28" s="4"/>
      <c r="K28" s="2">
        <v>7.35</v>
      </c>
      <c r="L28" s="6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6.7</v>
      </c>
      <c r="F29" s="7">
        <f t="shared" si="1"/>
        <v>0</v>
      </c>
      <c r="G29" s="2">
        <v>63</v>
      </c>
      <c r="H29" s="4" t="s">
        <v>63</v>
      </c>
      <c r="I29" s="2" t="s">
        <v>9</v>
      </c>
      <c r="J29" s="4"/>
      <c r="K29" s="2">
        <v>7.65</v>
      </c>
      <c r="L29" s="6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0</v>
      </c>
      <c r="F30" s="6">
        <f t="shared" si="1"/>
        <v>0</v>
      </c>
      <c r="G30" s="2">
        <v>64</v>
      </c>
      <c r="H30" s="4" t="s">
        <v>25</v>
      </c>
      <c r="I30" s="2" t="s">
        <v>9</v>
      </c>
      <c r="J30" s="4"/>
      <c r="K30" s="2">
        <v>4.2</v>
      </c>
      <c r="L30" s="6">
        <f t="shared" si="0"/>
        <v>0</v>
      </c>
    </row>
    <row r="31" spans="1:12" ht="13.15" customHeight="1">
      <c r="A31" s="2">
        <v>27</v>
      </c>
      <c r="B31" s="9" t="s">
        <v>102</v>
      </c>
      <c r="C31" s="8" t="s">
        <v>9</v>
      </c>
      <c r="D31" s="8"/>
      <c r="E31" s="26">
        <v>7</v>
      </c>
      <c r="F31" s="28">
        <f t="shared" si="1"/>
        <v>0</v>
      </c>
      <c r="G31" s="2">
        <v>65</v>
      </c>
      <c r="H31" s="4" t="s">
        <v>261</v>
      </c>
      <c r="I31" s="2" t="s">
        <v>9</v>
      </c>
      <c r="J31" s="4"/>
      <c r="K31" s="2">
        <v>2.4</v>
      </c>
      <c r="L31" s="6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8.25</v>
      </c>
      <c r="F32" s="7">
        <f t="shared" si="1"/>
        <v>0</v>
      </c>
      <c r="G32" s="2">
        <v>66</v>
      </c>
      <c r="H32" s="4"/>
      <c r="I32" s="2" t="s">
        <v>9</v>
      </c>
      <c r="J32" s="4"/>
      <c r="K32" s="2"/>
      <c r="L32" s="6">
        <f t="shared" si="0"/>
        <v>0</v>
      </c>
    </row>
    <row r="33" spans="1:13" ht="13.15" customHeight="1">
      <c r="A33" s="2">
        <v>29</v>
      </c>
      <c r="B33" s="4" t="s">
        <v>68</v>
      </c>
      <c r="C33" s="2" t="s">
        <v>9</v>
      </c>
      <c r="D33" s="2"/>
      <c r="E33" s="5">
        <v>6.4</v>
      </c>
      <c r="F33" s="6">
        <f t="shared" si="1"/>
        <v>0</v>
      </c>
      <c r="G33" s="2">
        <v>67</v>
      </c>
      <c r="H33" s="4"/>
      <c r="I33" s="2" t="s">
        <v>9</v>
      </c>
      <c r="J33" s="4"/>
      <c r="K33" s="2"/>
      <c r="L33" s="6">
        <f t="shared" si="0"/>
        <v>0</v>
      </c>
    </row>
    <row r="34" spans="1:13" ht="13.15" customHeight="1">
      <c r="A34" s="2">
        <v>30</v>
      </c>
      <c r="B34" s="4" t="s">
        <v>70</v>
      </c>
      <c r="C34" s="2" t="s">
        <v>9</v>
      </c>
      <c r="D34" s="2"/>
      <c r="E34" s="5">
        <v>0</v>
      </c>
      <c r="F34" s="6">
        <f t="shared" si="1"/>
        <v>0</v>
      </c>
      <c r="G34" s="2">
        <v>68</v>
      </c>
      <c r="H34" s="4"/>
      <c r="I34" s="2" t="s">
        <v>9</v>
      </c>
      <c r="J34" s="4"/>
      <c r="K34" s="2"/>
      <c r="L34" s="6">
        <f t="shared" si="0"/>
        <v>0</v>
      </c>
      <c r="M34" s="10"/>
    </row>
    <row r="35" spans="1:13" ht="13.15" customHeight="1">
      <c r="A35" s="2">
        <v>31</v>
      </c>
      <c r="B35" s="4" t="s">
        <v>72</v>
      </c>
      <c r="C35" s="2" t="s">
        <v>9</v>
      </c>
      <c r="D35" s="2"/>
      <c r="E35" s="5">
        <v>6.5</v>
      </c>
      <c r="F35" s="7">
        <f t="shared" si="1"/>
        <v>0</v>
      </c>
      <c r="G35" s="2">
        <v>69</v>
      </c>
      <c r="H35" s="4"/>
      <c r="I35" s="2" t="s">
        <v>9</v>
      </c>
      <c r="J35" s="4"/>
      <c r="K35" s="2"/>
      <c r="L35" s="6">
        <f t="shared" si="0"/>
        <v>0</v>
      </c>
    </row>
    <row r="36" spans="1:13" ht="13.15" customHeight="1">
      <c r="A36" s="2">
        <v>32</v>
      </c>
      <c r="B36" s="4" t="s">
        <v>74</v>
      </c>
      <c r="C36" s="2" t="s">
        <v>9</v>
      </c>
      <c r="D36" s="2"/>
      <c r="E36" s="2">
        <v>0</v>
      </c>
      <c r="F36" s="7">
        <f t="shared" si="1"/>
        <v>0</v>
      </c>
      <c r="G36" s="2">
        <v>70</v>
      </c>
      <c r="H36" s="4"/>
      <c r="I36" s="2" t="s">
        <v>9</v>
      </c>
      <c r="J36" s="4"/>
      <c r="K36" s="2"/>
      <c r="L36" s="6">
        <f t="shared" si="0"/>
        <v>0</v>
      </c>
    </row>
    <row r="37" spans="1:13" ht="13.15" customHeight="1">
      <c r="A37" s="2">
        <v>33</v>
      </c>
      <c r="B37" s="4" t="s">
        <v>76</v>
      </c>
      <c r="C37" s="2" t="s">
        <v>9</v>
      </c>
      <c r="D37" s="2"/>
      <c r="E37" s="2">
        <v>0</v>
      </c>
      <c r="F37" s="7">
        <f t="shared" si="1"/>
        <v>0</v>
      </c>
      <c r="G37" s="2">
        <v>71</v>
      </c>
      <c r="H37" s="4"/>
      <c r="I37" s="2" t="s">
        <v>9</v>
      </c>
      <c r="J37" s="4"/>
      <c r="K37" s="2"/>
      <c r="L37" s="6">
        <f t="shared" si="0"/>
        <v>0</v>
      </c>
      <c r="M37" s="11"/>
    </row>
    <row r="38" spans="1:13" ht="13.15" customHeight="1">
      <c r="A38" s="2">
        <v>34</v>
      </c>
      <c r="B38" s="4" t="s">
        <v>78</v>
      </c>
      <c r="C38" s="2" t="s">
        <v>9</v>
      </c>
      <c r="D38" s="2"/>
      <c r="E38" s="2">
        <v>0</v>
      </c>
      <c r="F38" s="7">
        <f t="shared" si="1"/>
        <v>0</v>
      </c>
      <c r="G38" s="2">
        <v>72</v>
      </c>
      <c r="H38" s="4"/>
      <c r="I38" s="2" t="s">
        <v>9</v>
      </c>
      <c r="J38" s="4"/>
      <c r="K38" s="2"/>
      <c r="L38" s="6">
        <f t="shared" si="0"/>
        <v>0</v>
      </c>
    </row>
    <row r="39" spans="1:13" ht="13.15" customHeight="1">
      <c r="A39" s="2">
        <v>35</v>
      </c>
      <c r="B39" s="4" t="s">
        <v>80</v>
      </c>
      <c r="C39" s="2" t="s">
        <v>9</v>
      </c>
      <c r="D39" s="2"/>
      <c r="E39" s="2">
        <v>0</v>
      </c>
      <c r="F39" s="7">
        <f t="shared" si="1"/>
        <v>0</v>
      </c>
      <c r="G39" s="2">
        <v>73</v>
      </c>
      <c r="H39" s="4"/>
      <c r="I39" s="2" t="s">
        <v>9</v>
      </c>
      <c r="J39" s="4"/>
      <c r="K39" s="2"/>
      <c r="L39" s="6">
        <f t="shared" si="0"/>
        <v>0</v>
      </c>
    </row>
    <row r="40" spans="1:13" ht="13.15" customHeight="1">
      <c r="I40" s="33" t="s">
        <v>82</v>
      </c>
      <c r="J40" s="34"/>
      <c r="K40" s="34"/>
      <c r="L40" s="23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0</v>
      </c>
    </row>
    <row r="42" spans="1:13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>
  <dimension ref="A1:M42"/>
  <sheetViews>
    <sheetView workbookViewId="0">
      <selection activeCell="M32" sqref="M32"/>
    </sheetView>
  </sheetViews>
  <sheetFormatPr defaultRowHeight="13.15" customHeight="1"/>
  <cols>
    <col min="1" max="1" width="4.7109375" style="17" customWidth="1"/>
    <col min="2" max="2" width="28.28515625" customWidth="1"/>
    <col min="3" max="3" width="6" bestFit="1" customWidth="1"/>
    <col min="4" max="4" width="5.85546875" bestFit="1" customWidth="1"/>
    <col min="5" max="5" width="8.28515625" customWidth="1"/>
    <col min="7" max="7" width="4.85546875" style="17" customWidth="1"/>
    <col min="8" max="8" width="23.28515625" customWidth="1"/>
    <col min="9" max="9" width="6.85546875" customWidth="1"/>
    <col min="10" max="10" width="6.7109375" customWidth="1"/>
    <col min="11" max="11" width="8.42578125" customWidth="1"/>
  </cols>
  <sheetData>
    <row r="1" spans="1:12" ht="13.15" customHeight="1">
      <c r="A1" s="30"/>
      <c r="B1" s="30"/>
      <c r="C1" s="30"/>
      <c r="D1" s="30" t="s">
        <v>260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 t="s">
        <v>236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1.45</v>
      </c>
      <c r="L2" s="6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0</v>
      </c>
      <c r="L3" s="6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2.5499999999999998</v>
      </c>
      <c r="L4" s="6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0</v>
      </c>
      <c r="F5" s="7">
        <f>D5*E5</f>
        <v>0</v>
      </c>
      <c r="G5" s="2">
        <v>39</v>
      </c>
      <c r="H5" s="4" t="s">
        <v>13</v>
      </c>
      <c r="I5" s="2" t="s">
        <v>9</v>
      </c>
      <c r="J5" s="2"/>
      <c r="K5" s="5">
        <v>2.1</v>
      </c>
      <c r="L5" s="6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</v>
      </c>
      <c r="F6" s="7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8.8000000000000007</v>
      </c>
      <c r="L6" s="6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0</v>
      </c>
      <c r="F7" s="7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0</v>
      </c>
      <c r="L7" s="6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7.85</v>
      </c>
      <c r="F8" s="7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2.5499999999999998</v>
      </c>
      <c r="L8" s="6">
        <f t="shared" si="0"/>
        <v>0</v>
      </c>
    </row>
    <row r="9" spans="1:12" ht="13.15" customHeight="1">
      <c r="A9" s="2">
        <v>5</v>
      </c>
      <c r="B9" s="9" t="s">
        <v>20</v>
      </c>
      <c r="C9" s="8" t="s">
        <v>9</v>
      </c>
      <c r="D9" s="8"/>
      <c r="E9" s="26">
        <v>5.75</v>
      </c>
      <c r="F9" s="27">
        <f t="shared" si="1"/>
        <v>0</v>
      </c>
      <c r="G9" s="2">
        <v>43</v>
      </c>
      <c r="H9" s="4" t="s">
        <v>21</v>
      </c>
      <c r="I9" s="2" t="s">
        <v>9</v>
      </c>
      <c r="J9" s="2"/>
      <c r="K9" s="5">
        <v>0</v>
      </c>
      <c r="L9" s="6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0</v>
      </c>
      <c r="F10" s="7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1.1499999999999999</v>
      </c>
      <c r="L10" s="6">
        <f t="shared" si="0"/>
        <v>0</v>
      </c>
    </row>
    <row r="11" spans="1:12" ht="13.15" customHeight="1">
      <c r="A11" s="2">
        <v>7</v>
      </c>
      <c r="B11" s="4" t="s">
        <v>125</v>
      </c>
      <c r="C11" s="2" t="s">
        <v>9</v>
      </c>
      <c r="D11" s="2"/>
      <c r="E11" s="5">
        <v>6.9</v>
      </c>
      <c r="F11" s="7">
        <f t="shared" si="1"/>
        <v>0</v>
      </c>
      <c r="G11" s="2">
        <v>45</v>
      </c>
      <c r="H11" s="4" t="s">
        <v>238</v>
      </c>
      <c r="I11" s="2" t="s">
        <v>9</v>
      </c>
      <c r="J11" s="2"/>
      <c r="K11" s="5">
        <v>0</v>
      </c>
      <c r="L11" s="6">
        <f t="shared" si="0"/>
        <v>0</v>
      </c>
    </row>
    <row r="12" spans="1:12" ht="13.15" customHeight="1">
      <c r="A12" s="2">
        <v>8</v>
      </c>
      <c r="B12" s="4" t="s">
        <v>239</v>
      </c>
      <c r="C12" s="2" t="s">
        <v>9</v>
      </c>
      <c r="D12" s="2"/>
      <c r="E12" s="5">
        <v>0</v>
      </c>
      <c r="F12" s="7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0</v>
      </c>
      <c r="L12" s="6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0</v>
      </c>
      <c r="F13" s="7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0</v>
      </c>
      <c r="L13" s="6">
        <f t="shared" si="0"/>
        <v>0</v>
      </c>
    </row>
    <row r="14" spans="1:12" ht="13.15" customHeight="1">
      <c r="A14" s="2">
        <v>3</v>
      </c>
      <c r="B14" s="4" t="s">
        <v>30</v>
      </c>
      <c r="C14" s="2" t="s">
        <v>9</v>
      </c>
      <c r="D14" s="2"/>
      <c r="E14" s="5">
        <v>0</v>
      </c>
      <c r="F14" s="7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0</v>
      </c>
      <c r="L14" s="6">
        <f t="shared" si="0"/>
        <v>0</v>
      </c>
    </row>
    <row r="15" spans="1:12" ht="13.15" customHeight="1">
      <c r="A15" s="2">
        <v>11</v>
      </c>
      <c r="B15" s="9" t="s">
        <v>32</v>
      </c>
      <c r="C15" s="8" t="s">
        <v>9</v>
      </c>
      <c r="D15" s="8"/>
      <c r="E15" s="26">
        <v>6.5</v>
      </c>
      <c r="F15" s="27">
        <f t="shared" si="1"/>
        <v>0</v>
      </c>
      <c r="G15" s="2">
        <v>49</v>
      </c>
      <c r="H15" s="4" t="s">
        <v>240</v>
      </c>
      <c r="I15" s="2" t="s">
        <v>9</v>
      </c>
      <c r="J15" s="2"/>
      <c r="K15" s="5">
        <v>9.1</v>
      </c>
      <c r="L15" s="6">
        <f t="shared" si="0"/>
        <v>0</v>
      </c>
    </row>
    <row r="16" spans="1:12" ht="13.15" customHeight="1">
      <c r="A16" s="2">
        <v>12</v>
      </c>
      <c r="B16" s="9" t="s">
        <v>241</v>
      </c>
      <c r="C16" s="8" t="s">
        <v>9</v>
      </c>
      <c r="D16" s="8"/>
      <c r="E16" s="26">
        <v>6.5</v>
      </c>
      <c r="F16" s="27">
        <f t="shared" si="1"/>
        <v>0</v>
      </c>
      <c r="G16" s="2">
        <v>50</v>
      </c>
      <c r="H16" s="4" t="s">
        <v>92</v>
      </c>
      <c r="I16" s="2" t="s">
        <v>9</v>
      </c>
      <c r="J16" s="2"/>
      <c r="K16" s="5">
        <v>7.45</v>
      </c>
      <c r="L16" s="6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0</v>
      </c>
      <c r="F17" s="7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0</v>
      </c>
      <c r="L17" s="6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0</v>
      </c>
      <c r="F18" s="7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3.2</v>
      </c>
      <c r="L18" s="6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6.2</v>
      </c>
      <c r="F19" s="7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0</v>
      </c>
      <c r="L19" s="6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0</v>
      </c>
      <c r="F20" s="7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0</v>
      </c>
      <c r="L20" s="6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0</v>
      </c>
      <c r="F21" s="7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0</v>
      </c>
      <c r="L21" s="6">
        <f t="shared" si="0"/>
        <v>0</v>
      </c>
    </row>
    <row r="22" spans="1:12" ht="13.15" customHeight="1">
      <c r="A22" s="2">
        <v>18</v>
      </c>
      <c r="B22" s="9" t="s">
        <v>46</v>
      </c>
      <c r="C22" s="8" t="s">
        <v>9</v>
      </c>
      <c r="D22" s="8"/>
      <c r="E22" s="26">
        <v>7</v>
      </c>
      <c r="F22" s="27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20.65</v>
      </c>
      <c r="L22" s="6">
        <f t="shared" si="0"/>
        <v>0</v>
      </c>
    </row>
    <row r="23" spans="1:12" ht="13.15" customHeight="1">
      <c r="A23" s="2">
        <v>19</v>
      </c>
      <c r="B23" s="9" t="s">
        <v>48</v>
      </c>
      <c r="C23" s="8" t="s">
        <v>9</v>
      </c>
      <c r="D23" s="8"/>
      <c r="E23" s="26">
        <v>7.75</v>
      </c>
      <c r="F23" s="27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14</v>
      </c>
      <c r="L23" s="6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0</v>
      </c>
      <c r="F24" s="7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0</v>
      </c>
      <c r="L24" s="6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7.9</v>
      </c>
      <c r="F25" s="7">
        <f t="shared" si="1"/>
        <v>0</v>
      </c>
      <c r="G25" s="2">
        <v>59</v>
      </c>
      <c r="H25" s="4" t="s">
        <v>243</v>
      </c>
      <c r="I25" s="2" t="s">
        <v>9</v>
      </c>
      <c r="J25" s="4"/>
      <c r="K25" s="2">
        <v>0</v>
      </c>
      <c r="L25" s="6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0</v>
      </c>
      <c r="F26" s="7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0</v>
      </c>
      <c r="L26" s="6">
        <f t="shared" si="0"/>
        <v>0</v>
      </c>
    </row>
    <row r="27" spans="1:12" ht="13.15" customHeight="1">
      <c r="A27" s="2">
        <v>23</v>
      </c>
      <c r="B27" s="9" t="s">
        <v>56</v>
      </c>
      <c r="C27" s="8" t="s">
        <v>9</v>
      </c>
      <c r="D27" s="8"/>
      <c r="E27" s="26">
        <v>5.75</v>
      </c>
      <c r="F27" s="27">
        <f t="shared" si="1"/>
        <v>0</v>
      </c>
      <c r="G27" s="2">
        <v>61</v>
      </c>
      <c r="H27" s="4" t="s">
        <v>244</v>
      </c>
      <c r="I27" s="2" t="s">
        <v>9</v>
      </c>
      <c r="J27" s="4"/>
      <c r="K27" s="2">
        <v>3.7</v>
      </c>
      <c r="L27" s="6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0</v>
      </c>
      <c r="F28" s="7">
        <f t="shared" si="1"/>
        <v>0</v>
      </c>
      <c r="G28" s="2">
        <v>62</v>
      </c>
      <c r="H28" s="4" t="s">
        <v>245</v>
      </c>
      <c r="I28" s="2" t="s">
        <v>9</v>
      </c>
      <c r="J28" s="4"/>
      <c r="K28" s="2">
        <v>7.35</v>
      </c>
      <c r="L28" s="6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6.7</v>
      </c>
      <c r="F29" s="7">
        <f t="shared" si="1"/>
        <v>0</v>
      </c>
      <c r="G29" s="2">
        <v>63</v>
      </c>
      <c r="H29" s="4" t="s">
        <v>63</v>
      </c>
      <c r="I29" s="2" t="s">
        <v>9</v>
      </c>
      <c r="J29" s="4"/>
      <c r="K29" s="2">
        <v>7.65</v>
      </c>
      <c r="L29" s="6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0</v>
      </c>
      <c r="F30" s="6">
        <f t="shared" si="1"/>
        <v>0</v>
      </c>
      <c r="G30" s="2">
        <v>64</v>
      </c>
      <c r="H30" s="4" t="s">
        <v>25</v>
      </c>
      <c r="I30" s="2" t="s">
        <v>9</v>
      </c>
      <c r="J30" s="4"/>
      <c r="K30" s="2">
        <v>4.2</v>
      </c>
      <c r="L30" s="6">
        <f t="shared" si="0"/>
        <v>0</v>
      </c>
    </row>
    <row r="31" spans="1:12" ht="13.15" customHeight="1">
      <c r="A31" s="2">
        <v>27</v>
      </c>
      <c r="B31" s="9" t="s">
        <v>102</v>
      </c>
      <c r="C31" s="8" t="s">
        <v>9</v>
      </c>
      <c r="D31" s="8"/>
      <c r="E31" s="26">
        <v>7</v>
      </c>
      <c r="F31" s="28">
        <f t="shared" si="1"/>
        <v>0</v>
      </c>
      <c r="G31" s="2">
        <v>65</v>
      </c>
      <c r="H31" s="4" t="s">
        <v>261</v>
      </c>
      <c r="I31" s="2" t="s">
        <v>9</v>
      </c>
      <c r="J31" s="4"/>
      <c r="K31" s="2">
        <v>2.4</v>
      </c>
      <c r="L31" s="6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8.25</v>
      </c>
      <c r="F32" s="7">
        <f t="shared" si="1"/>
        <v>0</v>
      </c>
      <c r="G32" s="2">
        <v>66</v>
      </c>
      <c r="H32" s="4"/>
      <c r="I32" s="2" t="s">
        <v>9</v>
      </c>
      <c r="J32" s="4"/>
      <c r="K32" s="2"/>
      <c r="L32" s="6">
        <f t="shared" si="0"/>
        <v>0</v>
      </c>
    </row>
    <row r="33" spans="1:13" ht="13.15" customHeight="1">
      <c r="A33" s="2">
        <v>29</v>
      </c>
      <c r="B33" s="4" t="s">
        <v>68</v>
      </c>
      <c r="C33" s="2" t="s">
        <v>9</v>
      </c>
      <c r="D33" s="2"/>
      <c r="E33" s="5">
        <v>6.4</v>
      </c>
      <c r="F33" s="6">
        <f t="shared" si="1"/>
        <v>0</v>
      </c>
      <c r="G33" s="2">
        <v>67</v>
      </c>
      <c r="H33" s="4"/>
      <c r="I33" s="2" t="s">
        <v>9</v>
      </c>
      <c r="J33" s="4"/>
      <c r="K33" s="2"/>
      <c r="L33" s="6">
        <f t="shared" si="0"/>
        <v>0</v>
      </c>
    </row>
    <row r="34" spans="1:13" ht="13.15" customHeight="1">
      <c r="A34" s="2">
        <v>30</v>
      </c>
      <c r="B34" s="4" t="s">
        <v>70</v>
      </c>
      <c r="C34" s="2" t="s">
        <v>9</v>
      </c>
      <c r="D34" s="2"/>
      <c r="E34" s="5">
        <v>0</v>
      </c>
      <c r="F34" s="6">
        <f t="shared" si="1"/>
        <v>0</v>
      </c>
      <c r="G34" s="2">
        <v>68</v>
      </c>
      <c r="H34" s="4"/>
      <c r="I34" s="2" t="s">
        <v>9</v>
      </c>
      <c r="J34" s="4"/>
      <c r="K34" s="2"/>
      <c r="L34" s="6">
        <f t="shared" si="0"/>
        <v>0</v>
      </c>
      <c r="M34" s="10"/>
    </row>
    <row r="35" spans="1:13" ht="13.15" customHeight="1">
      <c r="A35" s="2">
        <v>31</v>
      </c>
      <c r="B35" s="4" t="s">
        <v>72</v>
      </c>
      <c r="C35" s="2" t="s">
        <v>9</v>
      </c>
      <c r="D35" s="2"/>
      <c r="E35" s="5">
        <v>6.5</v>
      </c>
      <c r="F35" s="7">
        <f t="shared" si="1"/>
        <v>0</v>
      </c>
      <c r="G35" s="2">
        <v>69</v>
      </c>
      <c r="H35" s="4"/>
      <c r="I35" s="2" t="s">
        <v>9</v>
      </c>
      <c r="J35" s="4"/>
      <c r="K35" s="2"/>
      <c r="L35" s="6">
        <f t="shared" si="0"/>
        <v>0</v>
      </c>
    </row>
    <row r="36" spans="1:13" ht="13.15" customHeight="1">
      <c r="A36" s="2">
        <v>32</v>
      </c>
      <c r="B36" s="4" t="s">
        <v>74</v>
      </c>
      <c r="C36" s="2" t="s">
        <v>9</v>
      </c>
      <c r="D36" s="2"/>
      <c r="E36" s="2">
        <v>0</v>
      </c>
      <c r="F36" s="7">
        <f t="shared" si="1"/>
        <v>0</v>
      </c>
      <c r="G36" s="2">
        <v>70</v>
      </c>
      <c r="H36" s="4"/>
      <c r="I36" s="2" t="s">
        <v>9</v>
      </c>
      <c r="J36" s="4"/>
      <c r="K36" s="2"/>
      <c r="L36" s="6">
        <f t="shared" si="0"/>
        <v>0</v>
      </c>
    </row>
    <row r="37" spans="1:13" ht="13.15" customHeight="1">
      <c r="A37" s="2">
        <v>33</v>
      </c>
      <c r="B37" s="4" t="s">
        <v>76</v>
      </c>
      <c r="C37" s="2" t="s">
        <v>9</v>
      </c>
      <c r="D37" s="2"/>
      <c r="E37" s="2">
        <v>0</v>
      </c>
      <c r="F37" s="7">
        <f t="shared" si="1"/>
        <v>0</v>
      </c>
      <c r="G37" s="2">
        <v>71</v>
      </c>
      <c r="H37" s="4"/>
      <c r="I37" s="2" t="s">
        <v>9</v>
      </c>
      <c r="J37" s="4"/>
      <c r="K37" s="2"/>
      <c r="L37" s="6">
        <f t="shared" si="0"/>
        <v>0</v>
      </c>
      <c r="M37" s="11"/>
    </row>
    <row r="38" spans="1:13" ht="13.15" customHeight="1">
      <c r="A38" s="2">
        <v>34</v>
      </c>
      <c r="B38" s="4" t="s">
        <v>78</v>
      </c>
      <c r="C38" s="2" t="s">
        <v>9</v>
      </c>
      <c r="D38" s="2"/>
      <c r="E38" s="2">
        <v>0</v>
      </c>
      <c r="F38" s="7">
        <f t="shared" si="1"/>
        <v>0</v>
      </c>
      <c r="G38" s="2">
        <v>72</v>
      </c>
      <c r="H38" s="4"/>
      <c r="I38" s="2" t="s">
        <v>9</v>
      </c>
      <c r="J38" s="4"/>
      <c r="K38" s="2"/>
      <c r="L38" s="6">
        <f t="shared" si="0"/>
        <v>0</v>
      </c>
    </row>
    <row r="39" spans="1:13" ht="13.15" customHeight="1">
      <c r="A39" s="2">
        <v>35</v>
      </c>
      <c r="B39" s="4" t="s">
        <v>80</v>
      </c>
      <c r="C39" s="2" t="s">
        <v>9</v>
      </c>
      <c r="D39" s="2"/>
      <c r="E39" s="2">
        <v>0</v>
      </c>
      <c r="F39" s="7">
        <f t="shared" si="1"/>
        <v>0</v>
      </c>
      <c r="G39" s="2">
        <v>73</v>
      </c>
      <c r="H39" s="4"/>
      <c r="I39" s="2" t="s">
        <v>9</v>
      </c>
      <c r="J39" s="4"/>
      <c r="K39" s="2"/>
      <c r="L39" s="6">
        <f t="shared" si="0"/>
        <v>0</v>
      </c>
    </row>
    <row r="40" spans="1:13" ht="13.15" customHeight="1">
      <c r="I40" s="33" t="s">
        <v>82</v>
      </c>
      <c r="J40" s="34"/>
      <c r="K40" s="34"/>
      <c r="L40" s="23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0</v>
      </c>
    </row>
    <row r="42" spans="1:13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>
  <dimension ref="A1:M42"/>
  <sheetViews>
    <sheetView workbookViewId="0">
      <selection activeCell="M32" sqref="M32"/>
    </sheetView>
  </sheetViews>
  <sheetFormatPr defaultRowHeight="13.15" customHeight="1"/>
  <cols>
    <col min="1" max="1" width="4.7109375" style="17" customWidth="1"/>
    <col min="2" max="2" width="28.28515625" customWidth="1"/>
    <col min="3" max="3" width="6" bestFit="1" customWidth="1"/>
    <col min="4" max="4" width="5.85546875" bestFit="1" customWidth="1"/>
    <col min="5" max="5" width="8.28515625" customWidth="1"/>
    <col min="7" max="7" width="4.85546875" style="17" customWidth="1"/>
    <col min="8" max="8" width="23.28515625" customWidth="1"/>
    <col min="9" max="9" width="6.85546875" customWidth="1"/>
    <col min="10" max="10" width="6.7109375" customWidth="1"/>
    <col min="11" max="11" width="8.42578125" customWidth="1"/>
  </cols>
  <sheetData>
    <row r="1" spans="1:12" ht="13.15" customHeight="1">
      <c r="A1" s="30"/>
      <c r="B1" s="30"/>
      <c r="C1" s="30"/>
      <c r="D1" s="30" t="s">
        <v>260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 t="s">
        <v>236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1.45</v>
      </c>
      <c r="L2" s="6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0</v>
      </c>
      <c r="L3" s="6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2.5499999999999998</v>
      </c>
      <c r="L4" s="6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0</v>
      </c>
      <c r="F5" s="7">
        <f>D5*E5</f>
        <v>0</v>
      </c>
      <c r="G5" s="2">
        <v>39</v>
      </c>
      <c r="H5" s="4" t="s">
        <v>13</v>
      </c>
      <c r="I5" s="2" t="s">
        <v>9</v>
      </c>
      <c r="J5" s="2"/>
      <c r="K5" s="5">
        <v>2.1</v>
      </c>
      <c r="L5" s="6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</v>
      </c>
      <c r="F6" s="7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8.8000000000000007</v>
      </c>
      <c r="L6" s="6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0</v>
      </c>
      <c r="F7" s="7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0</v>
      </c>
      <c r="L7" s="6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7.85</v>
      </c>
      <c r="F8" s="7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2.5499999999999998</v>
      </c>
      <c r="L8" s="6">
        <f t="shared" si="0"/>
        <v>0</v>
      </c>
    </row>
    <row r="9" spans="1:12" ht="13.15" customHeight="1">
      <c r="A9" s="2">
        <v>5</v>
      </c>
      <c r="B9" s="9" t="s">
        <v>20</v>
      </c>
      <c r="C9" s="8" t="s">
        <v>9</v>
      </c>
      <c r="D9" s="8"/>
      <c r="E9" s="26">
        <v>5.75</v>
      </c>
      <c r="F9" s="27">
        <f t="shared" si="1"/>
        <v>0</v>
      </c>
      <c r="G9" s="2">
        <v>43</v>
      </c>
      <c r="H9" s="4" t="s">
        <v>21</v>
      </c>
      <c r="I9" s="2" t="s">
        <v>9</v>
      </c>
      <c r="J9" s="2"/>
      <c r="K9" s="5">
        <v>0</v>
      </c>
      <c r="L9" s="6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0</v>
      </c>
      <c r="F10" s="7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1.1499999999999999</v>
      </c>
      <c r="L10" s="6">
        <f t="shared" si="0"/>
        <v>0</v>
      </c>
    </row>
    <row r="11" spans="1:12" ht="13.15" customHeight="1">
      <c r="A11" s="2">
        <v>7</v>
      </c>
      <c r="B11" s="4" t="s">
        <v>125</v>
      </c>
      <c r="C11" s="2" t="s">
        <v>9</v>
      </c>
      <c r="D11" s="2"/>
      <c r="E11" s="5">
        <v>6.9</v>
      </c>
      <c r="F11" s="7">
        <f t="shared" si="1"/>
        <v>0</v>
      </c>
      <c r="G11" s="2">
        <v>45</v>
      </c>
      <c r="H11" s="4" t="s">
        <v>238</v>
      </c>
      <c r="I11" s="2" t="s">
        <v>9</v>
      </c>
      <c r="J11" s="2"/>
      <c r="K11" s="5">
        <v>0</v>
      </c>
      <c r="L11" s="6">
        <f t="shared" si="0"/>
        <v>0</v>
      </c>
    </row>
    <row r="12" spans="1:12" ht="13.15" customHeight="1">
      <c r="A12" s="2">
        <v>8</v>
      </c>
      <c r="B12" s="4" t="s">
        <v>239</v>
      </c>
      <c r="C12" s="2" t="s">
        <v>9</v>
      </c>
      <c r="D12" s="2"/>
      <c r="E12" s="5">
        <v>0</v>
      </c>
      <c r="F12" s="7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0</v>
      </c>
      <c r="L12" s="6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0</v>
      </c>
      <c r="F13" s="7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0</v>
      </c>
      <c r="L13" s="6">
        <f t="shared" si="0"/>
        <v>0</v>
      </c>
    </row>
    <row r="14" spans="1:12" ht="13.15" customHeight="1">
      <c r="A14" s="2">
        <v>3</v>
      </c>
      <c r="B14" s="4" t="s">
        <v>30</v>
      </c>
      <c r="C14" s="2" t="s">
        <v>9</v>
      </c>
      <c r="D14" s="2"/>
      <c r="E14" s="5">
        <v>0</v>
      </c>
      <c r="F14" s="7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0</v>
      </c>
      <c r="L14" s="6">
        <f t="shared" si="0"/>
        <v>0</v>
      </c>
    </row>
    <row r="15" spans="1:12" ht="13.15" customHeight="1">
      <c r="A15" s="2">
        <v>11</v>
      </c>
      <c r="B15" s="9" t="s">
        <v>32</v>
      </c>
      <c r="C15" s="8" t="s">
        <v>9</v>
      </c>
      <c r="D15" s="8"/>
      <c r="E15" s="26">
        <v>6.5</v>
      </c>
      <c r="F15" s="27">
        <f t="shared" si="1"/>
        <v>0</v>
      </c>
      <c r="G15" s="2">
        <v>49</v>
      </c>
      <c r="H15" s="4" t="s">
        <v>240</v>
      </c>
      <c r="I15" s="2" t="s">
        <v>9</v>
      </c>
      <c r="J15" s="2"/>
      <c r="K15" s="5">
        <v>9.1</v>
      </c>
      <c r="L15" s="6">
        <f t="shared" si="0"/>
        <v>0</v>
      </c>
    </row>
    <row r="16" spans="1:12" ht="13.15" customHeight="1">
      <c r="A16" s="2">
        <v>12</v>
      </c>
      <c r="B16" s="9" t="s">
        <v>241</v>
      </c>
      <c r="C16" s="8" t="s">
        <v>9</v>
      </c>
      <c r="D16" s="8"/>
      <c r="E16" s="26">
        <v>6.5</v>
      </c>
      <c r="F16" s="27">
        <f t="shared" si="1"/>
        <v>0</v>
      </c>
      <c r="G16" s="2">
        <v>50</v>
      </c>
      <c r="H16" s="4" t="s">
        <v>92</v>
      </c>
      <c r="I16" s="2" t="s">
        <v>9</v>
      </c>
      <c r="J16" s="2"/>
      <c r="K16" s="5">
        <v>7.45</v>
      </c>
      <c r="L16" s="6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0</v>
      </c>
      <c r="F17" s="7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0</v>
      </c>
      <c r="L17" s="6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0</v>
      </c>
      <c r="F18" s="7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3.2</v>
      </c>
      <c r="L18" s="6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6.2</v>
      </c>
      <c r="F19" s="7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0</v>
      </c>
      <c r="L19" s="6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0</v>
      </c>
      <c r="F20" s="7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0</v>
      </c>
      <c r="L20" s="6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0</v>
      </c>
      <c r="F21" s="7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0</v>
      </c>
      <c r="L21" s="6">
        <f t="shared" si="0"/>
        <v>0</v>
      </c>
    </row>
    <row r="22" spans="1:12" ht="13.15" customHeight="1">
      <c r="A22" s="2">
        <v>18</v>
      </c>
      <c r="B22" s="9" t="s">
        <v>46</v>
      </c>
      <c r="C22" s="8" t="s">
        <v>9</v>
      </c>
      <c r="D22" s="8"/>
      <c r="E22" s="26">
        <v>7</v>
      </c>
      <c r="F22" s="27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20.65</v>
      </c>
      <c r="L22" s="6">
        <f t="shared" si="0"/>
        <v>0</v>
      </c>
    </row>
    <row r="23" spans="1:12" ht="13.15" customHeight="1">
      <c r="A23" s="2">
        <v>19</v>
      </c>
      <c r="B23" s="9" t="s">
        <v>48</v>
      </c>
      <c r="C23" s="8" t="s">
        <v>9</v>
      </c>
      <c r="D23" s="8"/>
      <c r="E23" s="26">
        <v>7.75</v>
      </c>
      <c r="F23" s="27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14</v>
      </c>
      <c r="L23" s="6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0</v>
      </c>
      <c r="F24" s="7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0</v>
      </c>
      <c r="L24" s="6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7.9</v>
      </c>
      <c r="F25" s="7">
        <f t="shared" si="1"/>
        <v>0</v>
      </c>
      <c r="G25" s="2">
        <v>59</v>
      </c>
      <c r="H25" s="4" t="s">
        <v>243</v>
      </c>
      <c r="I25" s="2" t="s">
        <v>9</v>
      </c>
      <c r="J25" s="4"/>
      <c r="K25" s="2">
        <v>0</v>
      </c>
      <c r="L25" s="6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0</v>
      </c>
      <c r="F26" s="7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0</v>
      </c>
      <c r="L26" s="6">
        <f t="shared" si="0"/>
        <v>0</v>
      </c>
    </row>
    <row r="27" spans="1:12" ht="13.15" customHeight="1">
      <c r="A27" s="2">
        <v>23</v>
      </c>
      <c r="B27" s="9" t="s">
        <v>56</v>
      </c>
      <c r="C27" s="8" t="s">
        <v>9</v>
      </c>
      <c r="D27" s="8"/>
      <c r="E27" s="26">
        <v>5.75</v>
      </c>
      <c r="F27" s="27">
        <f t="shared" si="1"/>
        <v>0</v>
      </c>
      <c r="G27" s="2">
        <v>61</v>
      </c>
      <c r="H27" s="4" t="s">
        <v>244</v>
      </c>
      <c r="I27" s="2" t="s">
        <v>9</v>
      </c>
      <c r="J27" s="4"/>
      <c r="K27" s="2">
        <v>3.7</v>
      </c>
      <c r="L27" s="6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0</v>
      </c>
      <c r="F28" s="7">
        <f t="shared" si="1"/>
        <v>0</v>
      </c>
      <c r="G28" s="2">
        <v>62</v>
      </c>
      <c r="H28" s="4" t="s">
        <v>245</v>
      </c>
      <c r="I28" s="2" t="s">
        <v>9</v>
      </c>
      <c r="J28" s="4"/>
      <c r="K28" s="2">
        <v>7.35</v>
      </c>
      <c r="L28" s="6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6.7</v>
      </c>
      <c r="F29" s="7">
        <f t="shared" si="1"/>
        <v>0</v>
      </c>
      <c r="G29" s="2">
        <v>63</v>
      </c>
      <c r="H29" s="4" t="s">
        <v>63</v>
      </c>
      <c r="I29" s="2" t="s">
        <v>9</v>
      </c>
      <c r="J29" s="4"/>
      <c r="K29" s="2">
        <v>7.65</v>
      </c>
      <c r="L29" s="6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0</v>
      </c>
      <c r="F30" s="6">
        <f t="shared" si="1"/>
        <v>0</v>
      </c>
      <c r="G30" s="2">
        <v>64</v>
      </c>
      <c r="H30" s="4" t="s">
        <v>25</v>
      </c>
      <c r="I30" s="2" t="s">
        <v>9</v>
      </c>
      <c r="J30" s="4"/>
      <c r="K30" s="2">
        <v>4.2</v>
      </c>
      <c r="L30" s="6">
        <f t="shared" si="0"/>
        <v>0</v>
      </c>
    </row>
    <row r="31" spans="1:12" ht="13.15" customHeight="1">
      <c r="A31" s="2">
        <v>27</v>
      </c>
      <c r="B31" s="9" t="s">
        <v>102</v>
      </c>
      <c r="C31" s="8" t="s">
        <v>9</v>
      </c>
      <c r="D31" s="8"/>
      <c r="E31" s="26">
        <v>7</v>
      </c>
      <c r="F31" s="28">
        <f t="shared" si="1"/>
        <v>0</v>
      </c>
      <c r="G31" s="2">
        <v>65</v>
      </c>
      <c r="H31" s="4" t="s">
        <v>261</v>
      </c>
      <c r="I31" s="2" t="s">
        <v>9</v>
      </c>
      <c r="J31" s="4"/>
      <c r="K31" s="2">
        <v>2.4</v>
      </c>
      <c r="L31" s="6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8.25</v>
      </c>
      <c r="F32" s="7">
        <f t="shared" si="1"/>
        <v>0</v>
      </c>
      <c r="G32" s="2">
        <v>66</v>
      </c>
      <c r="H32" s="4"/>
      <c r="I32" s="2" t="s">
        <v>9</v>
      </c>
      <c r="J32" s="4"/>
      <c r="K32" s="2"/>
      <c r="L32" s="6">
        <f t="shared" si="0"/>
        <v>0</v>
      </c>
    </row>
    <row r="33" spans="1:13" ht="13.15" customHeight="1">
      <c r="A33" s="2">
        <v>29</v>
      </c>
      <c r="B33" s="4" t="s">
        <v>68</v>
      </c>
      <c r="C33" s="2" t="s">
        <v>9</v>
      </c>
      <c r="D33" s="2"/>
      <c r="E33" s="5">
        <v>6.4</v>
      </c>
      <c r="F33" s="6">
        <f t="shared" si="1"/>
        <v>0</v>
      </c>
      <c r="G33" s="2">
        <v>67</v>
      </c>
      <c r="H33" s="4"/>
      <c r="I33" s="2" t="s">
        <v>9</v>
      </c>
      <c r="J33" s="4"/>
      <c r="K33" s="2"/>
      <c r="L33" s="6">
        <f t="shared" si="0"/>
        <v>0</v>
      </c>
    </row>
    <row r="34" spans="1:13" ht="13.15" customHeight="1">
      <c r="A34" s="2">
        <v>30</v>
      </c>
      <c r="B34" s="4" t="s">
        <v>70</v>
      </c>
      <c r="C34" s="2" t="s">
        <v>9</v>
      </c>
      <c r="D34" s="2"/>
      <c r="E34" s="5">
        <v>0</v>
      </c>
      <c r="F34" s="6">
        <f t="shared" si="1"/>
        <v>0</v>
      </c>
      <c r="G34" s="2">
        <v>68</v>
      </c>
      <c r="H34" s="4"/>
      <c r="I34" s="2" t="s">
        <v>9</v>
      </c>
      <c r="J34" s="4"/>
      <c r="K34" s="2"/>
      <c r="L34" s="6">
        <f t="shared" si="0"/>
        <v>0</v>
      </c>
      <c r="M34" s="10"/>
    </row>
    <row r="35" spans="1:13" ht="13.15" customHeight="1">
      <c r="A35" s="2">
        <v>31</v>
      </c>
      <c r="B35" s="4" t="s">
        <v>72</v>
      </c>
      <c r="C35" s="2" t="s">
        <v>9</v>
      </c>
      <c r="D35" s="2"/>
      <c r="E35" s="5">
        <v>6.5</v>
      </c>
      <c r="F35" s="7">
        <f t="shared" si="1"/>
        <v>0</v>
      </c>
      <c r="G35" s="2">
        <v>69</v>
      </c>
      <c r="H35" s="4"/>
      <c r="I35" s="2" t="s">
        <v>9</v>
      </c>
      <c r="J35" s="4"/>
      <c r="K35" s="2"/>
      <c r="L35" s="6">
        <f t="shared" si="0"/>
        <v>0</v>
      </c>
    </row>
    <row r="36" spans="1:13" ht="13.15" customHeight="1">
      <c r="A36" s="2">
        <v>32</v>
      </c>
      <c r="B36" s="4" t="s">
        <v>74</v>
      </c>
      <c r="C36" s="2" t="s">
        <v>9</v>
      </c>
      <c r="D36" s="2"/>
      <c r="E36" s="2">
        <v>0</v>
      </c>
      <c r="F36" s="7">
        <f t="shared" si="1"/>
        <v>0</v>
      </c>
      <c r="G36" s="2">
        <v>70</v>
      </c>
      <c r="H36" s="4"/>
      <c r="I36" s="2" t="s">
        <v>9</v>
      </c>
      <c r="J36" s="4"/>
      <c r="K36" s="2"/>
      <c r="L36" s="6">
        <f t="shared" si="0"/>
        <v>0</v>
      </c>
    </row>
    <row r="37" spans="1:13" ht="13.15" customHeight="1">
      <c r="A37" s="2">
        <v>33</v>
      </c>
      <c r="B37" s="4" t="s">
        <v>76</v>
      </c>
      <c r="C37" s="2" t="s">
        <v>9</v>
      </c>
      <c r="D37" s="2"/>
      <c r="E37" s="2">
        <v>0</v>
      </c>
      <c r="F37" s="7">
        <f t="shared" si="1"/>
        <v>0</v>
      </c>
      <c r="G37" s="2">
        <v>71</v>
      </c>
      <c r="H37" s="4"/>
      <c r="I37" s="2" t="s">
        <v>9</v>
      </c>
      <c r="J37" s="4"/>
      <c r="K37" s="2"/>
      <c r="L37" s="6">
        <f t="shared" si="0"/>
        <v>0</v>
      </c>
      <c r="M37" s="11"/>
    </row>
    <row r="38" spans="1:13" ht="13.15" customHeight="1">
      <c r="A38" s="2">
        <v>34</v>
      </c>
      <c r="B38" s="4" t="s">
        <v>78</v>
      </c>
      <c r="C38" s="2" t="s">
        <v>9</v>
      </c>
      <c r="D38" s="2"/>
      <c r="E38" s="2">
        <v>0</v>
      </c>
      <c r="F38" s="7">
        <f t="shared" si="1"/>
        <v>0</v>
      </c>
      <c r="G38" s="2">
        <v>72</v>
      </c>
      <c r="H38" s="4"/>
      <c r="I38" s="2" t="s">
        <v>9</v>
      </c>
      <c r="J38" s="4"/>
      <c r="K38" s="2"/>
      <c r="L38" s="6">
        <f t="shared" si="0"/>
        <v>0</v>
      </c>
    </row>
    <row r="39" spans="1:13" ht="13.15" customHeight="1">
      <c r="A39" s="2">
        <v>35</v>
      </c>
      <c r="B39" s="4" t="s">
        <v>80</v>
      </c>
      <c r="C39" s="2" t="s">
        <v>9</v>
      </c>
      <c r="D39" s="2"/>
      <c r="E39" s="2">
        <v>0</v>
      </c>
      <c r="F39" s="7">
        <f t="shared" si="1"/>
        <v>0</v>
      </c>
      <c r="G39" s="2">
        <v>73</v>
      </c>
      <c r="H39" s="4"/>
      <c r="I39" s="2" t="s">
        <v>9</v>
      </c>
      <c r="J39" s="4"/>
      <c r="K39" s="2"/>
      <c r="L39" s="6">
        <f t="shared" si="0"/>
        <v>0</v>
      </c>
    </row>
    <row r="40" spans="1:13" ht="13.15" customHeight="1">
      <c r="I40" s="33" t="s">
        <v>82</v>
      </c>
      <c r="J40" s="34"/>
      <c r="K40" s="34"/>
      <c r="L40" s="23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0</v>
      </c>
    </row>
    <row r="42" spans="1:13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>
  <dimension ref="A1:M42"/>
  <sheetViews>
    <sheetView workbookViewId="0">
      <selection activeCell="M32" sqref="M32"/>
    </sheetView>
  </sheetViews>
  <sheetFormatPr defaultRowHeight="13.15" customHeight="1"/>
  <cols>
    <col min="1" max="1" width="4.7109375" style="17" customWidth="1"/>
    <col min="2" max="2" width="28.28515625" customWidth="1"/>
    <col min="3" max="3" width="6" bestFit="1" customWidth="1"/>
    <col min="4" max="4" width="5.85546875" bestFit="1" customWidth="1"/>
    <col min="5" max="5" width="8.28515625" customWidth="1"/>
    <col min="7" max="7" width="4.85546875" style="17" customWidth="1"/>
    <col min="8" max="8" width="23.28515625" customWidth="1"/>
    <col min="9" max="9" width="6.85546875" customWidth="1"/>
    <col min="10" max="10" width="6.7109375" customWidth="1"/>
    <col min="11" max="11" width="8.42578125" customWidth="1"/>
  </cols>
  <sheetData>
    <row r="1" spans="1:12" ht="13.15" customHeight="1">
      <c r="A1" s="30"/>
      <c r="B1" s="30"/>
      <c r="C1" s="30"/>
      <c r="D1" s="30" t="s">
        <v>260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 t="s">
        <v>236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1.45</v>
      </c>
      <c r="L2" s="6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0</v>
      </c>
      <c r="L3" s="6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2.5499999999999998</v>
      </c>
      <c r="L4" s="6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0</v>
      </c>
      <c r="F5" s="7">
        <f>D5*E5</f>
        <v>0</v>
      </c>
      <c r="G5" s="2">
        <v>39</v>
      </c>
      <c r="H5" s="4" t="s">
        <v>13</v>
      </c>
      <c r="I5" s="2" t="s">
        <v>9</v>
      </c>
      <c r="J5" s="2"/>
      <c r="K5" s="5">
        <v>2.1</v>
      </c>
      <c r="L5" s="6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</v>
      </c>
      <c r="F6" s="7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8.8000000000000007</v>
      </c>
      <c r="L6" s="6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0</v>
      </c>
      <c r="F7" s="7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0</v>
      </c>
      <c r="L7" s="6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7.85</v>
      </c>
      <c r="F8" s="7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2.5499999999999998</v>
      </c>
      <c r="L8" s="6">
        <f t="shared" si="0"/>
        <v>0</v>
      </c>
    </row>
    <row r="9" spans="1:12" ht="13.15" customHeight="1">
      <c r="A9" s="2">
        <v>5</v>
      </c>
      <c r="B9" s="9" t="s">
        <v>20</v>
      </c>
      <c r="C9" s="8" t="s">
        <v>9</v>
      </c>
      <c r="D9" s="8"/>
      <c r="E9" s="26">
        <v>5.75</v>
      </c>
      <c r="F9" s="27">
        <f t="shared" si="1"/>
        <v>0</v>
      </c>
      <c r="G9" s="2">
        <v>43</v>
      </c>
      <c r="H9" s="4" t="s">
        <v>21</v>
      </c>
      <c r="I9" s="2" t="s">
        <v>9</v>
      </c>
      <c r="J9" s="2"/>
      <c r="K9" s="5">
        <v>0</v>
      </c>
      <c r="L9" s="6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0</v>
      </c>
      <c r="F10" s="7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1.1499999999999999</v>
      </c>
      <c r="L10" s="6">
        <f t="shared" si="0"/>
        <v>0</v>
      </c>
    </row>
    <row r="11" spans="1:12" ht="13.15" customHeight="1">
      <c r="A11" s="2">
        <v>7</v>
      </c>
      <c r="B11" s="4" t="s">
        <v>125</v>
      </c>
      <c r="C11" s="2" t="s">
        <v>9</v>
      </c>
      <c r="D11" s="2"/>
      <c r="E11" s="5">
        <v>6.9</v>
      </c>
      <c r="F11" s="7">
        <f t="shared" si="1"/>
        <v>0</v>
      </c>
      <c r="G11" s="2">
        <v>45</v>
      </c>
      <c r="H11" s="4" t="s">
        <v>238</v>
      </c>
      <c r="I11" s="2" t="s">
        <v>9</v>
      </c>
      <c r="J11" s="2"/>
      <c r="K11" s="5">
        <v>0</v>
      </c>
      <c r="L11" s="6">
        <f t="shared" si="0"/>
        <v>0</v>
      </c>
    </row>
    <row r="12" spans="1:12" ht="13.15" customHeight="1">
      <c r="A12" s="2">
        <v>8</v>
      </c>
      <c r="B12" s="4" t="s">
        <v>239</v>
      </c>
      <c r="C12" s="2" t="s">
        <v>9</v>
      </c>
      <c r="D12" s="2"/>
      <c r="E12" s="5">
        <v>0</v>
      </c>
      <c r="F12" s="7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0</v>
      </c>
      <c r="L12" s="6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0</v>
      </c>
      <c r="F13" s="7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0</v>
      </c>
      <c r="L13" s="6">
        <f t="shared" si="0"/>
        <v>0</v>
      </c>
    </row>
    <row r="14" spans="1:12" ht="13.15" customHeight="1">
      <c r="A14" s="2">
        <v>3</v>
      </c>
      <c r="B14" s="4" t="s">
        <v>30</v>
      </c>
      <c r="C14" s="2" t="s">
        <v>9</v>
      </c>
      <c r="D14" s="2"/>
      <c r="E14" s="5">
        <v>0</v>
      </c>
      <c r="F14" s="7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0</v>
      </c>
      <c r="L14" s="6">
        <f t="shared" si="0"/>
        <v>0</v>
      </c>
    </row>
    <row r="15" spans="1:12" ht="13.15" customHeight="1">
      <c r="A15" s="2">
        <v>11</v>
      </c>
      <c r="B15" s="9" t="s">
        <v>32</v>
      </c>
      <c r="C15" s="8" t="s">
        <v>9</v>
      </c>
      <c r="D15" s="8"/>
      <c r="E15" s="26">
        <v>6.5</v>
      </c>
      <c r="F15" s="27">
        <f t="shared" si="1"/>
        <v>0</v>
      </c>
      <c r="G15" s="2">
        <v>49</v>
      </c>
      <c r="H15" s="4" t="s">
        <v>240</v>
      </c>
      <c r="I15" s="2" t="s">
        <v>9</v>
      </c>
      <c r="J15" s="2"/>
      <c r="K15" s="5">
        <v>9.1</v>
      </c>
      <c r="L15" s="6">
        <f t="shared" si="0"/>
        <v>0</v>
      </c>
    </row>
    <row r="16" spans="1:12" ht="13.15" customHeight="1">
      <c r="A16" s="2">
        <v>12</v>
      </c>
      <c r="B16" s="9" t="s">
        <v>241</v>
      </c>
      <c r="C16" s="8" t="s">
        <v>9</v>
      </c>
      <c r="D16" s="8"/>
      <c r="E16" s="26">
        <v>6.5</v>
      </c>
      <c r="F16" s="27">
        <f t="shared" si="1"/>
        <v>0</v>
      </c>
      <c r="G16" s="2">
        <v>50</v>
      </c>
      <c r="H16" s="4" t="s">
        <v>92</v>
      </c>
      <c r="I16" s="2" t="s">
        <v>9</v>
      </c>
      <c r="J16" s="2"/>
      <c r="K16" s="5">
        <v>7.45</v>
      </c>
      <c r="L16" s="6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0</v>
      </c>
      <c r="F17" s="7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0</v>
      </c>
      <c r="L17" s="6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0</v>
      </c>
      <c r="F18" s="7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3.2</v>
      </c>
      <c r="L18" s="6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6.2</v>
      </c>
      <c r="F19" s="7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0</v>
      </c>
      <c r="L19" s="6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0</v>
      </c>
      <c r="F20" s="7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0</v>
      </c>
      <c r="L20" s="6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0</v>
      </c>
      <c r="F21" s="7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0</v>
      </c>
      <c r="L21" s="6">
        <f t="shared" si="0"/>
        <v>0</v>
      </c>
    </row>
    <row r="22" spans="1:12" ht="13.15" customHeight="1">
      <c r="A22" s="2">
        <v>18</v>
      </c>
      <c r="B22" s="9" t="s">
        <v>46</v>
      </c>
      <c r="C22" s="8" t="s">
        <v>9</v>
      </c>
      <c r="D22" s="8"/>
      <c r="E22" s="26">
        <v>7</v>
      </c>
      <c r="F22" s="27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20.65</v>
      </c>
      <c r="L22" s="6">
        <f t="shared" si="0"/>
        <v>0</v>
      </c>
    </row>
    <row r="23" spans="1:12" ht="13.15" customHeight="1">
      <c r="A23" s="2">
        <v>19</v>
      </c>
      <c r="B23" s="9" t="s">
        <v>48</v>
      </c>
      <c r="C23" s="8" t="s">
        <v>9</v>
      </c>
      <c r="D23" s="8"/>
      <c r="E23" s="26">
        <v>7.75</v>
      </c>
      <c r="F23" s="27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14</v>
      </c>
      <c r="L23" s="6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0</v>
      </c>
      <c r="F24" s="7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0</v>
      </c>
      <c r="L24" s="6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7.9</v>
      </c>
      <c r="F25" s="7">
        <f t="shared" si="1"/>
        <v>0</v>
      </c>
      <c r="G25" s="2">
        <v>59</v>
      </c>
      <c r="H25" s="4" t="s">
        <v>243</v>
      </c>
      <c r="I25" s="2" t="s">
        <v>9</v>
      </c>
      <c r="J25" s="4"/>
      <c r="K25" s="2">
        <v>0</v>
      </c>
      <c r="L25" s="6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0</v>
      </c>
      <c r="F26" s="7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0</v>
      </c>
      <c r="L26" s="6">
        <f t="shared" si="0"/>
        <v>0</v>
      </c>
    </row>
    <row r="27" spans="1:12" ht="13.15" customHeight="1">
      <c r="A27" s="2">
        <v>23</v>
      </c>
      <c r="B27" s="9" t="s">
        <v>56</v>
      </c>
      <c r="C27" s="8" t="s">
        <v>9</v>
      </c>
      <c r="D27" s="8"/>
      <c r="E27" s="26">
        <v>5.75</v>
      </c>
      <c r="F27" s="27">
        <f t="shared" si="1"/>
        <v>0</v>
      </c>
      <c r="G27" s="2">
        <v>61</v>
      </c>
      <c r="H27" s="4" t="s">
        <v>244</v>
      </c>
      <c r="I27" s="2" t="s">
        <v>9</v>
      </c>
      <c r="J27" s="4"/>
      <c r="K27" s="2">
        <v>3.7</v>
      </c>
      <c r="L27" s="6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0</v>
      </c>
      <c r="F28" s="7">
        <f t="shared" si="1"/>
        <v>0</v>
      </c>
      <c r="G28" s="2">
        <v>62</v>
      </c>
      <c r="H28" s="4" t="s">
        <v>245</v>
      </c>
      <c r="I28" s="2" t="s">
        <v>9</v>
      </c>
      <c r="J28" s="4"/>
      <c r="K28" s="2">
        <v>7.35</v>
      </c>
      <c r="L28" s="6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6.7</v>
      </c>
      <c r="F29" s="7">
        <f t="shared" si="1"/>
        <v>0</v>
      </c>
      <c r="G29" s="2">
        <v>63</v>
      </c>
      <c r="H29" s="4" t="s">
        <v>63</v>
      </c>
      <c r="I29" s="2" t="s">
        <v>9</v>
      </c>
      <c r="J29" s="4"/>
      <c r="K29" s="2">
        <v>7.65</v>
      </c>
      <c r="L29" s="6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0</v>
      </c>
      <c r="F30" s="6">
        <f t="shared" si="1"/>
        <v>0</v>
      </c>
      <c r="G30" s="2">
        <v>64</v>
      </c>
      <c r="H30" s="4" t="s">
        <v>25</v>
      </c>
      <c r="I30" s="2" t="s">
        <v>9</v>
      </c>
      <c r="J30" s="4"/>
      <c r="K30" s="2">
        <v>4.2</v>
      </c>
      <c r="L30" s="6">
        <f t="shared" si="0"/>
        <v>0</v>
      </c>
    </row>
    <row r="31" spans="1:12" ht="13.15" customHeight="1">
      <c r="A31" s="2">
        <v>27</v>
      </c>
      <c r="B31" s="9" t="s">
        <v>102</v>
      </c>
      <c r="C31" s="8" t="s">
        <v>9</v>
      </c>
      <c r="D31" s="8"/>
      <c r="E31" s="26">
        <v>7</v>
      </c>
      <c r="F31" s="28">
        <f t="shared" si="1"/>
        <v>0</v>
      </c>
      <c r="G31" s="2">
        <v>65</v>
      </c>
      <c r="H31" s="4" t="s">
        <v>261</v>
      </c>
      <c r="I31" s="2" t="s">
        <v>9</v>
      </c>
      <c r="J31" s="4"/>
      <c r="K31" s="2">
        <v>2.4</v>
      </c>
      <c r="L31" s="6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8.25</v>
      </c>
      <c r="F32" s="7">
        <f t="shared" si="1"/>
        <v>0</v>
      </c>
      <c r="G32" s="2">
        <v>66</v>
      </c>
      <c r="H32" s="4"/>
      <c r="I32" s="2" t="s">
        <v>9</v>
      </c>
      <c r="J32" s="4"/>
      <c r="K32" s="2"/>
      <c r="L32" s="6">
        <f t="shared" si="0"/>
        <v>0</v>
      </c>
    </row>
    <row r="33" spans="1:13" ht="13.15" customHeight="1">
      <c r="A33" s="2">
        <v>29</v>
      </c>
      <c r="B33" s="4" t="s">
        <v>68</v>
      </c>
      <c r="C33" s="2" t="s">
        <v>9</v>
      </c>
      <c r="D33" s="2"/>
      <c r="E33" s="5">
        <v>6.4</v>
      </c>
      <c r="F33" s="6">
        <f t="shared" si="1"/>
        <v>0</v>
      </c>
      <c r="G33" s="2">
        <v>67</v>
      </c>
      <c r="H33" s="4"/>
      <c r="I33" s="2" t="s">
        <v>9</v>
      </c>
      <c r="J33" s="4"/>
      <c r="K33" s="2"/>
      <c r="L33" s="6">
        <f t="shared" si="0"/>
        <v>0</v>
      </c>
    </row>
    <row r="34" spans="1:13" ht="13.15" customHeight="1">
      <c r="A34" s="2">
        <v>30</v>
      </c>
      <c r="B34" s="4" t="s">
        <v>70</v>
      </c>
      <c r="C34" s="2" t="s">
        <v>9</v>
      </c>
      <c r="D34" s="2"/>
      <c r="E34" s="5">
        <v>0</v>
      </c>
      <c r="F34" s="6">
        <f t="shared" si="1"/>
        <v>0</v>
      </c>
      <c r="G34" s="2">
        <v>68</v>
      </c>
      <c r="H34" s="4"/>
      <c r="I34" s="2" t="s">
        <v>9</v>
      </c>
      <c r="J34" s="4"/>
      <c r="K34" s="2"/>
      <c r="L34" s="6">
        <f t="shared" si="0"/>
        <v>0</v>
      </c>
      <c r="M34" s="10"/>
    </row>
    <row r="35" spans="1:13" ht="13.15" customHeight="1">
      <c r="A35" s="2">
        <v>31</v>
      </c>
      <c r="B35" s="4" t="s">
        <v>72</v>
      </c>
      <c r="C35" s="2" t="s">
        <v>9</v>
      </c>
      <c r="D35" s="2"/>
      <c r="E35" s="5">
        <v>6.5</v>
      </c>
      <c r="F35" s="7">
        <f t="shared" si="1"/>
        <v>0</v>
      </c>
      <c r="G35" s="2">
        <v>69</v>
      </c>
      <c r="H35" s="4"/>
      <c r="I35" s="2" t="s">
        <v>9</v>
      </c>
      <c r="J35" s="4"/>
      <c r="K35" s="2"/>
      <c r="L35" s="6">
        <f t="shared" si="0"/>
        <v>0</v>
      </c>
    </row>
    <row r="36" spans="1:13" ht="13.15" customHeight="1">
      <c r="A36" s="2">
        <v>32</v>
      </c>
      <c r="B36" s="4" t="s">
        <v>74</v>
      </c>
      <c r="C36" s="2" t="s">
        <v>9</v>
      </c>
      <c r="D36" s="2"/>
      <c r="E36" s="2">
        <v>0</v>
      </c>
      <c r="F36" s="7">
        <f t="shared" si="1"/>
        <v>0</v>
      </c>
      <c r="G36" s="2">
        <v>70</v>
      </c>
      <c r="H36" s="4"/>
      <c r="I36" s="2" t="s">
        <v>9</v>
      </c>
      <c r="J36" s="4"/>
      <c r="K36" s="2"/>
      <c r="L36" s="6">
        <f t="shared" si="0"/>
        <v>0</v>
      </c>
    </row>
    <row r="37" spans="1:13" ht="13.15" customHeight="1">
      <c r="A37" s="2">
        <v>33</v>
      </c>
      <c r="B37" s="4" t="s">
        <v>76</v>
      </c>
      <c r="C37" s="2" t="s">
        <v>9</v>
      </c>
      <c r="D37" s="2"/>
      <c r="E37" s="2">
        <v>0</v>
      </c>
      <c r="F37" s="7">
        <f t="shared" si="1"/>
        <v>0</v>
      </c>
      <c r="G37" s="2">
        <v>71</v>
      </c>
      <c r="H37" s="4"/>
      <c r="I37" s="2" t="s">
        <v>9</v>
      </c>
      <c r="J37" s="4"/>
      <c r="K37" s="2"/>
      <c r="L37" s="6">
        <f t="shared" si="0"/>
        <v>0</v>
      </c>
      <c r="M37" s="11"/>
    </row>
    <row r="38" spans="1:13" ht="13.15" customHeight="1">
      <c r="A38" s="2">
        <v>34</v>
      </c>
      <c r="B38" s="4" t="s">
        <v>78</v>
      </c>
      <c r="C38" s="2" t="s">
        <v>9</v>
      </c>
      <c r="D38" s="2"/>
      <c r="E38" s="2">
        <v>0</v>
      </c>
      <c r="F38" s="7">
        <f t="shared" si="1"/>
        <v>0</v>
      </c>
      <c r="G38" s="2">
        <v>72</v>
      </c>
      <c r="H38" s="4"/>
      <c r="I38" s="2" t="s">
        <v>9</v>
      </c>
      <c r="J38" s="4"/>
      <c r="K38" s="2"/>
      <c r="L38" s="6">
        <f t="shared" si="0"/>
        <v>0</v>
      </c>
    </row>
    <row r="39" spans="1:13" ht="13.15" customHeight="1">
      <c r="A39" s="2">
        <v>35</v>
      </c>
      <c r="B39" s="4" t="s">
        <v>80</v>
      </c>
      <c r="C39" s="2" t="s">
        <v>9</v>
      </c>
      <c r="D39" s="2"/>
      <c r="E39" s="2">
        <v>0</v>
      </c>
      <c r="F39" s="7">
        <f t="shared" si="1"/>
        <v>0</v>
      </c>
      <c r="G39" s="2">
        <v>73</v>
      </c>
      <c r="H39" s="4"/>
      <c r="I39" s="2" t="s">
        <v>9</v>
      </c>
      <c r="J39" s="4"/>
      <c r="K39" s="2"/>
      <c r="L39" s="6">
        <f t="shared" si="0"/>
        <v>0</v>
      </c>
    </row>
    <row r="40" spans="1:13" ht="13.15" customHeight="1">
      <c r="I40" s="33" t="s">
        <v>82</v>
      </c>
      <c r="J40" s="34"/>
      <c r="K40" s="34"/>
      <c r="L40" s="23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0</v>
      </c>
    </row>
    <row r="42" spans="1:13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>
  <dimension ref="A1:M42"/>
  <sheetViews>
    <sheetView workbookViewId="0">
      <selection activeCell="D16" sqref="D16"/>
    </sheetView>
  </sheetViews>
  <sheetFormatPr defaultRowHeight="13.15" customHeight="1"/>
  <cols>
    <col min="1" max="1" width="4.7109375" style="17" customWidth="1"/>
    <col min="2" max="2" width="28.28515625" customWidth="1"/>
    <col min="3" max="3" width="6" bestFit="1" customWidth="1"/>
    <col min="4" max="4" width="5.85546875" bestFit="1" customWidth="1"/>
    <col min="5" max="5" width="8.28515625" customWidth="1"/>
    <col min="7" max="7" width="4.85546875" style="17" customWidth="1"/>
    <col min="8" max="8" width="23.28515625" customWidth="1"/>
    <col min="9" max="9" width="6.85546875" customWidth="1"/>
    <col min="10" max="10" width="6.7109375" customWidth="1"/>
    <col min="11" max="11" width="8.42578125" customWidth="1"/>
  </cols>
  <sheetData>
    <row r="1" spans="1:12" ht="13.15" customHeight="1">
      <c r="A1" s="30"/>
      <c r="B1" s="30"/>
      <c r="C1" s="30"/>
      <c r="D1" s="30" t="s">
        <v>260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 t="s">
        <v>236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1.45</v>
      </c>
      <c r="L2" s="6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0</v>
      </c>
      <c r="L3" s="6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2.5499999999999998</v>
      </c>
      <c r="L4" s="6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0</v>
      </c>
      <c r="F5" s="7">
        <f>D5*E5</f>
        <v>0</v>
      </c>
      <c r="G5" s="2">
        <v>39</v>
      </c>
      <c r="H5" s="4" t="s">
        <v>13</v>
      </c>
      <c r="I5" s="2" t="s">
        <v>9</v>
      </c>
      <c r="J5" s="2"/>
      <c r="K5" s="5">
        <v>2.1</v>
      </c>
      <c r="L5" s="6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</v>
      </c>
      <c r="F6" s="7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8.8000000000000007</v>
      </c>
      <c r="L6" s="6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0</v>
      </c>
      <c r="F7" s="7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0</v>
      </c>
      <c r="L7" s="6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7.85</v>
      </c>
      <c r="F8" s="7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2.5499999999999998</v>
      </c>
      <c r="L8" s="6">
        <f t="shared" si="0"/>
        <v>0</v>
      </c>
    </row>
    <row r="9" spans="1:12" ht="13.15" customHeight="1">
      <c r="A9" s="2">
        <v>5</v>
      </c>
      <c r="B9" s="9" t="s">
        <v>20</v>
      </c>
      <c r="C9" s="8" t="s">
        <v>9</v>
      </c>
      <c r="D9" s="8"/>
      <c r="E9" s="26">
        <v>5.75</v>
      </c>
      <c r="F9" s="27">
        <f t="shared" si="1"/>
        <v>0</v>
      </c>
      <c r="G9" s="2">
        <v>43</v>
      </c>
      <c r="H9" s="4" t="s">
        <v>21</v>
      </c>
      <c r="I9" s="2" t="s">
        <v>9</v>
      </c>
      <c r="J9" s="2"/>
      <c r="K9" s="5">
        <v>0</v>
      </c>
      <c r="L9" s="6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0</v>
      </c>
      <c r="F10" s="7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1.1499999999999999</v>
      </c>
      <c r="L10" s="6">
        <f t="shared" si="0"/>
        <v>0</v>
      </c>
    </row>
    <row r="11" spans="1:12" ht="13.15" customHeight="1">
      <c r="A11" s="2">
        <v>7</v>
      </c>
      <c r="B11" s="4" t="s">
        <v>125</v>
      </c>
      <c r="C11" s="2" t="s">
        <v>9</v>
      </c>
      <c r="D11" s="2"/>
      <c r="E11" s="5">
        <v>6.9</v>
      </c>
      <c r="F11" s="7">
        <f t="shared" si="1"/>
        <v>0</v>
      </c>
      <c r="G11" s="2">
        <v>45</v>
      </c>
      <c r="H11" s="4" t="s">
        <v>238</v>
      </c>
      <c r="I11" s="2" t="s">
        <v>9</v>
      </c>
      <c r="J11" s="2"/>
      <c r="K11" s="5">
        <v>0</v>
      </c>
      <c r="L11" s="6">
        <f t="shared" si="0"/>
        <v>0</v>
      </c>
    </row>
    <row r="12" spans="1:12" ht="13.15" customHeight="1">
      <c r="A12" s="2">
        <v>8</v>
      </c>
      <c r="B12" s="4" t="s">
        <v>239</v>
      </c>
      <c r="C12" s="2" t="s">
        <v>9</v>
      </c>
      <c r="D12" s="2"/>
      <c r="E12" s="5">
        <v>0</v>
      </c>
      <c r="F12" s="7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0</v>
      </c>
      <c r="L12" s="6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0</v>
      </c>
      <c r="F13" s="7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0</v>
      </c>
      <c r="L13" s="6">
        <f t="shared" si="0"/>
        <v>0</v>
      </c>
    </row>
    <row r="14" spans="1:12" ht="13.15" customHeight="1">
      <c r="A14" s="2">
        <v>3</v>
      </c>
      <c r="B14" s="4" t="s">
        <v>30</v>
      </c>
      <c r="C14" s="2" t="s">
        <v>9</v>
      </c>
      <c r="D14" s="2"/>
      <c r="E14" s="5">
        <v>0</v>
      </c>
      <c r="F14" s="7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0</v>
      </c>
      <c r="L14" s="6">
        <f t="shared" si="0"/>
        <v>0</v>
      </c>
    </row>
    <row r="15" spans="1:12" ht="13.15" customHeight="1">
      <c r="A15" s="2">
        <v>11</v>
      </c>
      <c r="B15" s="9" t="s">
        <v>32</v>
      </c>
      <c r="C15" s="8" t="s">
        <v>9</v>
      </c>
      <c r="D15" s="8">
        <v>15</v>
      </c>
      <c r="E15" s="26">
        <v>6.5</v>
      </c>
      <c r="F15" s="27">
        <f t="shared" si="1"/>
        <v>97.5</v>
      </c>
      <c r="G15" s="2">
        <v>49</v>
      </c>
      <c r="H15" s="4" t="s">
        <v>240</v>
      </c>
      <c r="I15" s="2" t="s">
        <v>9</v>
      </c>
      <c r="J15" s="2"/>
      <c r="K15" s="5">
        <v>9.1</v>
      </c>
      <c r="L15" s="6">
        <f t="shared" si="0"/>
        <v>0</v>
      </c>
    </row>
    <row r="16" spans="1:12" ht="13.15" customHeight="1">
      <c r="A16" s="2">
        <v>12</v>
      </c>
      <c r="B16" s="9" t="s">
        <v>241</v>
      </c>
      <c r="C16" s="8" t="s">
        <v>9</v>
      </c>
      <c r="D16" s="8"/>
      <c r="E16" s="26">
        <v>6.5</v>
      </c>
      <c r="F16" s="27">
        <f t="shared" si="1"/>
        <v>0</v>
      </c>
      <c r="G16" s="2">
        <v>50</v>
      </c>
      <c r="H16" s="4" t="s">
        <v>92</v>
      </c>
      <c r="I16" s="2" t="s">
        <v>9</v>
      </c>
      <c r="J16" s="2"/>
      <c r="K16" s="5">
        <v>7.45</v>
      </c>
      <c r="L16" s="6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0</v>
      </c>
      <c r="F17" s="7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0</v>
      </c>
      <c r="L17" s="6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0</v>
      </c>
      <c r="F18" s="7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3.2</v>
      </c>
      <c r="L18" s="6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6.2</v>
      </c>
      <c r="F19" s="7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0</v>
      </c>
      <c r="L19" s="6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0</v>
      </c>
      <c r="F20" s="7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0</v>
      </c>
      <c r="L20" s="6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0</v>
      </c>
      <c r="F21" s="7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0</v>
      </c>
      <c r="L21" s="6">
        <f t="shared" si="0"/>
        <v>0</v>
      </c>
    </row>
    <row r="22" spans="1:12" ht="13.15" customHeight="1">
      <c r="A22" s="2">
        <v>18</v>
      </c>
      <c r="B22" s="9" t="s">
        <v>46</v>
      </c>
      <c r="C22" s="8" t="s">
        <v>9</v>
      </c>
      <c r="D22" s="8"/>
      <c r="E22" s="26">
        <v>7</v>
      </c>
      <c r="F22" s="27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20.65</v>
      </c>
      <c r="L22" s="6">
        <f t="shared" si="0"/>
        <v>0</v>
      </c>
    </row>
    <row r="23" spans="1:12" ht="13.15" customHeight="1">
      <c r="A23" s="2">
        <v>19</v>
      </c>
      <c r="B23" s="9" t="s">
        <v>48</v>
      </c>
      <c r="C23" s="8" t="s">
        <v>9</v>
      </c>
      <c r="D23" s="8"/>
      <c r="E23" s="26">
        <v>7.75</v>
      </c>
      <c r="F23" s="27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14</v>
      </c>
      <c r="L23" s="6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0</v>
      </c>
      <c r="F24" s="7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0</v>
      </c>
      <c r="L24" s="6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7.9</v>
      </c>
      <c r="F25" s="7">
        <f t="shared" si="1"/>
        <v>0</v>
      </c>
      <c r="G25" s="2">
        <v>59</v>
      </c>
      <c r="H25" s="4" t="s">
        <v>243</v>
      </c>
      <c r="I25" s="2" t="s">
        <v>9</v>
      </c>
      <c r="J25" s="4"/>
      <c r="K25" s="2">
        <v>0</v>
      </c>
      <c r="L25" s="6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0</v>
      </c>
      <c r="F26" s="7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0</v>
      </c>
      <c r="L26" s="6">
        <f t="shared" si="0"/>
        <v>0</v>
      </c>
    </row>
    <row r="27" spans="1:12" ht="13.15" customHeight="1">
      <c r="A27" s="2">
        <v>23</v>
      </c>
      <c r="B27" s="9" t="s">
        <v>56</v>
      </c>
      <c r="C27" s="8" t="s">
        <v>9</v>
      </c>
      <c r="D27" s="8"/>
      <c r="E27" s="26">
        <v>5.75</v>
      </c>
      <c r="F27" s="27">
        <f t="shared" si="1"/>
        <v>0</v>
      </c>
      <c r="G27" s="2">
        <v>61</v>
      </c>
      <c r="H27" s="4" t="s">
        <v>244</v>
      </c>
      <c r="I27" s="2" t="s">
        <v>9</v>
      </c>
      <c r="J27" s="4"/>
      <c r="K27" s="2">
        <v>3.7</v>
      </c>
      <c r="L27" s="6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0</v>
      </c>
      <c r="F28" s="7">
        <f t="shared" si="1"/>
        <v>0</v>
      </c>
      <c r="G28" s="2">
        <v>62</v>
      </c>
      <c r="H28" s="4" t="s">
        <v>245</v>
      </c>
      <c r="I28" s="2" t="s">
        <v>9</v>
      </c>
      <c r="J28" s="4"/>
      <c r="K28" s="2">
        <v>7.35</v>
      </c>
      <c r="L28" s="6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6.7</v>
      </c>
      <c r="F29" s="7">
        <f t="shared" si="1"/>
        <v>0</v>
      </c>
      <c r="G29" s="2">
        <v>63</v>
      </c>
      <c r="H29" s="4" t="s">
        <v>63</v>
      </c>
      <c r="I29" s="2" t="s">
        <v>9</v>
      </c>
      <c r="J29" s="4"/>
      <c r="K29" s="2">
        <v>7.65</v>
      </c>
      <c r="L29" s="6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0</v>
      </c>
      <c r="F30" s="6">
        <f t="shared" si="1"/>
        <v>0</v>
      </c>
      <c r="G30" s="2">
        <v>64</v>
      </c>
      <c r="H30" s="4" t="s">
        <v>25</v>
      </c>
      <c r="I30" s="2" t="s">
        <v>9</v>
      </c>
      <c r="J30" s="4"/>
      <c r="K30" s="2">
        <v>4.2</v>
      </c>
      <c r="L30" s="6">
        <f t="shared" si="0"/>
        <v>0</v>
      </c>
    </row>
    <row r="31" spans="1:12" ht="13.15" customHeight="1">
      <c r="A31" s="2">
        <v>27</v>
      </c>
      <c r="B31" s="9" t="s">
        <v>102</v>
      </c>
      <c r="C31" s="8" t="s">
        <v>9</v>
      </c>
      <c r="D31" s="8"/>
      <c r="E31" s="26">
        <v>7</v>
      </c>
      <c r="F31" s="28">
        <f t="shared" si="1"/>
        <v>0</v>
      </c>
      <c r="G31" s="2">
        <v>65</v>
      </c>
      <c r="H31" s="4" t="s">
        <v>261</v>
      </c>
      <c r="I31" s="2" t="s">
        <v>9</v>
      </c>
      <c r="J31" s="4"/>
      <c r="K31" s="2">
        <v>2.4</v>
      </c>
      <c r="L31" s="6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8.25</v>
      </c>
      <c r="F32" s="7">
        <f t="shared" si="1"/>
        <v>0</v>
      </c>
      <c r="G32" s="2">
        <v>66</v>
      </c>
      <c r="H32" s="4"/>
      <c r="I32" s="2" t="s">
        <v>9</v>
      </c>
      <c r="J32" s="4"/>
      <c r="K32" s="2"/>
      <c r="L32" s="6">
        <f t="shared" si="0"/>
        <v>0</v>
      </c>
    </row>
    <row r="33" spans="1:13" ht="13.15" customHeight="1">
      <c r="A33" s="2">
        <v>29</v>
      </c>
      <c r="B33" s="4" t="s">
        <v>68</v>
      </c>
      <c r="C33" s="2" t="s">
        <v>9</v>
      </c>
      <c r="D33" s="2"/>
      <c r="E33" s="5">
        <v>6.4</v>
      </c>
      <c r="F33" s="6">
        <f t="shared" si="1"/>
        <v>0</v>
      </c>
      <c r="G33" s="2">
        <v>67</v>
      </c>
      <c r="H33" s="4"/>
      <c r="I33" s="2" t="s">
        <v>9</v>
      </c>
      <c r="J33" s="4"/>
      <c r="K33" s="2"/>
      <c r="L33" s="6">
        <f t="shared" si="0"/>
        <v>0</v>
      </c>
    </row>
    <row r="34" spans="1:13" ht="13.15" customHeight="1">
      <c r="A34" s="2">
        <v>30</v>
      </c>
      <c r="B34" s="4" t="s">
        <v>70</v>
      </c>
      <c r="C34" s="2" t="s">
        <v>9</v>
      </c>
      <c r="D34" s="2"/>
      <c r="E34" s="5">
        <v>0</v>
      </c>
      <c r="F34" s="6">
        <f t="shared" si="1"/>
        <v>0</v>
      </c>
      <c r="G34" s="2">
        <v>68</v>
      </c>
      <c r="H34" s="4"/>
      <c r="I34" s="2" t="s">
        <v>9</v>
      </c>
      <c r="J34" s="4"/>
      <c r="K34" s="2"/>
      <c r="L34" s="6">
        <f t="shared" si="0"/>
        <v>0</v>
      </c>
      <c r="M34" s="10"/>
    </row>
    <row r="35" spans="1:13" ht="13.15" customHeight="1">
      <c r="A35" s="2">
        <v>31</v>
      </c>
      <c r="B35" s="4" t="s">
        <v>72</v>
      </c>
      <c r="C35" s="2" t="s">
        <v>9</v>
      </c>
      <c r="D35" s="2"/>
      <c r="E35" s="5">
        <v>6.5</v>
      </c>
      <c r="F35" s="7">
        <f t="shared" si="1"/>
        <v>0</v>
      </c>
      <c r="G35" s="2">
        <v>69</v>
      </c>
      <c r="H35" s="4"/>
      <c r="I35" s="2" t="s">
        <v>9</v>
      </c>
      <c r="J35" s="4"/>
      <c r="K35" s="2"/>
      <c r="L35" s="6">
        <f t="shared" si="0"/>
        <v>0</v>
      </c>
    </row>
    <row r="36" spans="1:13" ht="13.15" customHeight="1">
      <c r="A36" s="2">
        <v>32</v>
      </c>
      <c r="B36" s="4" t="s">
        <v>74</v>
      </c>
      <c r="C36" s="2" t="s">
        <v>9</v>
      </c>
      <c r="D36" s="2"/>
      <c r="E36" s="2">
        <v>0</v>
      </c>
      <c r="F36" s="7">
        <f t="shared" si="1"/>
        <v>0</v>
      </c>
      <c r="G36" s="2">
        <v>70</v>
      </c>
      <c r="H36" s="4"/>
      <c r="I36" s="2" t="s">
        <v>9</v>
      </c>
      <c r="J36" s="4"/>
      <c r="K36" s="2"/>
      <c r="L36" s="6">
        <f t="shared" si="0"/>
        <v>0</v>
      </c>
    </row>
    <row r="37" spans="1:13" ht="13.15" customHeight="1">
      <c r="A37" s="2">
        <v>33</v>
      </c>
      <c r="B37" s="4" t="s">
        <v>76</v>
      </c>
      <c r="C37" s="2" t="s">
        <v>9</v>
      </c>
      <c r="D37" s="2"/>
      <c r="E37" s="2">
        <v>0</v>
      </c>
      <c r="F37" s="7">
        <f t="shared" si="1"/>
        <v>0</v>
      </c>
      <c r="G37" s="2">
        <v>71</v>
      </c>
      <c r="H37" s="4"/>
      <c r="I37" s="2" t="s">
        <v>9</v>
      </c>
      <c r="J37" s="4"/>
      <c r="K37" s="2"/>
      <c r="L37" s="6">
        <f t="shared" si="0"/>
        <v>0</v>
      </c>
      <c r="M37" s="11"/>
    </row>
    <row r="38" spans="1:13" ht="13.15" customHeight="1">
      <c r="A38" s="2">
        <v>34</v>
      </c>
      <c r="B38" s="4" t="s">
        <v>78</v>
      </c>
      <c r="C38" s="2" t="s">
        <v>9</v>
      </c>
      <c r="D38" s="2"/>
      <c r="E38" s="2">
        <v>0</v>
      </c>
      <c r="F38" s="7">
        <f t="shared" si="1"/>
        <v>0</v>
      </c>
      <c r="G38" s="2">
        <v>72</v>
      </c>
      <c r="H38" s="4"/>
      <c r="I38" s="2" t="s">
        <v>9</v>
      </c>
      <c r="J38" s="4"/>
      <c r="K38" s="2"/>
      <c r="L38" s="6">
        <f t="shared" si="0"/>
        <v>0</v>
      </c>
    </row>
    <row r="39" spans="1:13" ht="13.15" customHeight="1">
      <c r="A39" s="2">
        <v>35</v>
      </c>
      <c r="B39" s="4" t="s">
        <v>80</v>
      </c>
      <c r="C39" s="2" t="s">
        <v>9</v>
      </c>
      <c r="D39" s="2"/>
      <c r="E39" s="2">
        <v>0</v>
      </c>
      <c r="F39" s="7">
        <f t="shared" si="1"/>
        <v>0</v>
      </c>
      <c r="G39" s="2">
        <v>73</v>
      </c>
      <c r="H39" s="4"/>
      <c r="I39" s="2" t="s">
        <v>9</v>
      </c>
      <c r="J39" s="4"/>
      <c r="K39" s="2"/>
      <c r="L39" s="6">
        <f t="shared" si="0"/>
        <v>0</v>
      </c>
    </row>
    <row r="40" spans="1:13" ht="13.15" customHeight="1">
      <c r="I40" s="33" t="s">
        <v>82</v>
      </c>
      <c r="J40" s="34"/>
      <c r="K40" s="34"/>
      <c r="L40" s="23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97.5</v>
      </c>
    </row>
    <row r="42" spans="1:13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>
  <sheetPr>
    <tabColor rgb="FFFF0000"/>
  </sheetPr>
  <dimension ref="A1:M42"/>
  <sheetViews>
    <sheetView topLeftCell="A16" workbookViewId="0">
      <selection activeCell="Q35" sqref="Q35"/>
    </sheetView>
  </sheetViews>
  <sheetFormatPr defaultRowHeight="13.15" customHeight="1"/>
  <cols>
    <col min="1" max="1" width="4.7109375" style="17" customWidth="1"/>
    <col min="2" max="2" width="28.28515625" customWidth="1"/>
    <col min="3" max="3" width="6" bestFit="1" customWidth="1"/>
    <col min="4" max="4" width="5.85546875" bestFit="1" customWidth="1"/>
    <col min="5" max="5" width="8.28515625" customWidth="1"/>
    <col min="7" max="7" width="4.85546875" style="17" customWidth="1"/>
    <col min="8" max="8" width="23.28515625" customWidth="1"/>
    <col min="9" max="9" width="6.85546875" customWidth="1"/>
    <col min="10" max="10" width="6.7109375" customWidth="1"/>
    <col min="11" max="11" width="8.42578125" customWidth="1"/>
  </cols>
  <sheetData>
    <row r="1" spans="1:12" ht="13.15" customHeight="1">
      <c r="A1" s="30"/>
      <c r="B1" s="30"/>
      <c r="C1" s="30"/>
      <c r="D1" s="30" t="s">
        <v>260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 t="s">
        <v>236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>
        <f>'s1'!J2+'s2'!J2+'s3'!J2+'s4'!J2+'s5'!J2+'s6'!J2+'s7'!J2+'s8'!J2</f>
        <v>0</v>
      </c>
      <c r="K2" s="5">
        <v>1.45</v>
      </c>
      <c r="L2" s="6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>
        <f>'s1'!J3+'s2'!J3+'s3'!J3+'s4'!J3+'s5'!J3+'s6'!J3+'s7'!J3+'s8'!J3</f>
        <v>0</v>
      </c>
      <c r="K3" s="5">
        <v>0</v>
      </c>
      <c r="L3" s="6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>
        <f>'s1'!J4+'s2'!J4+'s3'!J4+'s4'!J4+'s5'!J4+'s6'!J4+'s7'!J4+'s8'!J4</f>
        <v>0</v>
      </c>
      <c r="K4" s="5">
        <v>2.5499999999999998</v>
      </c>
      <c r="L4" s="6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>
        <f>'s1'!D5+'s2'!D5+'s3'!D5+'s4'!D5+'s5'!D5+'s6'!D5+'s7'!D5+'s8'!D5</f>
        <v>0</v>
      </c>
      <c r="E5" s="5">
        <v>0</v>
      </c>
      <c r="F5" s="7">
        <f>D5*E5</f>
        <v>0</v>
      </c>
      <c r="G5" s="2">
        <v>39</v>
      </c>
      <c r="H5" s="4" t="s">
        <v>13</v>
      </c>
      <c r="I5" s="2" t="s">
        <v>9</v>
      </c>
      <c r="J5" s="2">
        <f>'s1'!J5+'s2'!J5+'s3'!J5+'s4'!J5+'s5'!J5+'s6'!J5+'s7'!J5+'s8'!J5</f>
        <v>0</v>
      </c>
      <c r="K5" s="5">
        <v>2.1</v>
      </c>
      <c r="L5" s="6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>
        <f>'s1'!D6+'s2'!D6+'s3'!D6+'s4'!D6+'s5'!D6+'s6'!D6+'s7'!D6+'s8'!D6</f>
        <v>0</v>
      </c>
      <c r="E6" s="5">
        <v>5</v>
      </c>
      <c r="F6" s="7">
        <f t="shared" ref="F6:F39" si="1">D6*E6</f>
        <v>0</v>
      </c>
      <c r="G6" s="2">
        <v>40</v>
      </c>
      <c r="H6" s="4" t="s">
        <v>15</v>
      </c>
      <c r="I6" s="2" t="s">
        <v>9</v>
      </c>
      <c r="J6" s="2">
        <f>'s1'!J6+'s2'!J6+'s3'!J6+'s4'!J6+'s5'!J6+'s6'!J6+'s7'!J6+'s8'!J6</f>
        <v>0</v>
      </c>
      <c r="K6" s="5">
        <v>8.8000000000000007</v>
      </c>
      <c r="L6" s="6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>
        <f>'s1'!D7+'s2'!D7+'s3'!D7+'s4'!D7+'s5'!D7+'s6'!D7+'s7'!D7+'s8'!D7</f>
        <v>0</v>
      </c>
      <c r="E7" s="5">
        <v>0</v>
      </c>
      <c r="F7" s="7">
        <f t="shared" si="1"/>
        <v>0</v>
      </c>
      <c r="G7" s="2">
        <v>41</v>
      </c>
      <c r="H7" s="4" t="s">
        <v>17</v>
      </c>
      <c r="I7" s="2" t="s">
        <v>9</v>
      </c>
      <c r="J7" s="2">
        <f>'s1'!J7+'s2'!J7+'s3'!J7+'s4'!J7+'s5'!J7+'s6'!J7+'s7'!J7+'s8'!J7</f>
        <v>0</v>
      </c>
      <c r="K7" s="5">
        <v>0</v>
      </c>
      <c r="L7" s="6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>
        <f>'s1'!D8+'s2'!D8+'s3'!D8+'s4'!D8+'s5'!D8+'s6'!D8+'s7'!D8+'s8'!D8</f>
        <v>0</v>
      </c>
      <c r="E8" s="5">
        <v>7.85</v>
      </c>
      <c r="F8" s="7">
        <f t="shared" si="1"/>
        <v>0</v>
      </c>
      <c r="G8" s="2">
        <v>42</v>
      </c>
      <c r="H8" s="4" t="s">
        <v>19</v>
      </c>
      <c r="I8" s="2" t="s">
        <v>9</v>
      </c>
      <c r="J8" s="2">
        <f>'s1'!J8+'s2'!J8+'s3'!J8+'s4'!J8+'s5'!J8+'s6'!J8+'s7'!J8+'s8'!J8</f>
        <v>0</v>
      </c>
      <c r="K8" s="5">
        <v>2.5499999999999998</v>
      </c>
      <c r="L8" s="6">
        <f t="shared" si="0"/>
        <v>0</v>
      </c>
    </row>
    <row r="9" spans="1:12" ht="13.15" customHeight="1">
      <c r="A9" s="2">
        <v>5</v>
      </c>
      <c r="B9" s="9" t="s">
        <v>20</v>
      </c>
      <c r="C9" s="8" t="s">
        <v>9</v>
      </c>
      <c r="D9" s="8">
        <f>'s1'!D9+'s2'!D9+'s3'!D9+'s4'!D9+'s5'!D9+'s6'!D9+'s7'!D9+'s8'!D9</f>
        <v>12</v>
      </c>
      <c r="E9" s="26">
        <v>5.75</v>
      </c>
      <c r="F9" s="27">
        <f t="shared" si="1"/>
        <v>69</v>
      </c>
      <c r="G9" s="2">
        <v>43</v>
      </c>
      <c r="H9" s="4" t="s">
        <v>21</v>
      </c>
      <c r="I9" s="2" t="s">
        <v>9</v>
      </c>
      <c r="J9" s="2">
        <f>'s1'!J9+'s2'!J9+'s3'!J9+'s4'!J9+'s5'!J9+'s6'!J9+'s7'!J9+'s8'!J9</f>
        <v>0</v>
      </c>
      <c r="K9" s="5">
        <v>0</v>
      </c>
      <c r="L9" s="6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>
        <f>'s1'!D10+'s2'!D10+'s3'!D10+'s4'!D10+'s5'!D10+'s6'!D10+'s7'!D10+'s8'!D10</f>
        <v>0</v>
      </c>
      <c r="E10" s="5">
        <v>0</v>
      </c>
      <c r="F10" s="7">
        <f t="shared" si="1"/>
        <v>0</v>
      </c>
      <c r="G10" s="2">
        <v>44</v>
      </c>
      <c r="H10" s="4" t="s">
        <v>23</v>
      </c>
      <c r="I10" s="2" t="s">
        <v>9</v>
      </c>
      <c r="J10" s="2">
        <f>'s1'!J10+'s2'!J10+'s3'!J10+'s4'!J10+'s5'!J10+'s6'!J10+'s7'!J10+'s8'!J10</f>
        <v>0</v>
      </c>
      <c r="K10" s="5">
        <v>1.1499999999999999</v>
      </c>
      <c r="L10" s="6">
        <f t="shared" si="0"/>
        <v>0</v>
      </c>
    </row>
    <row r="11" spans="1:12" ht="13.15" customHeight="1">
      <c r="A11" s="2">
        <v>7</v>
      </c>
      <c r="B11" s="4" t="s">
        <v>125</v>
      </c>
      <c r="C11" s="2" t="s">
        <v>9</v>
      </c>
      <c r="D11" s="2">
        <f>'s1'!D11+'s2'!D11+'s3'!D11+'s4'!D11+'s5'!D11+'s6'!D11+'s7'!D11+'s8'!D11</f>
        <v>0</v>
      </c>
      <c r="E11" s="5">
        <v>6.9</v>
      </c>
      <c r="F11" s="7">
        <f t="shared" si="1"/>
        <v>0</v>
      </c>
      <c r="G11" s="2">
        <v>45</v>
      </c>
      <c r="H11" s="4" t="s">
        <v>238</v>
      </c>
      <c r="I11" s="2" t="s">
        <v>9</v>
      </c>
      <c r="J11" s="2">
        <f>'s1'!J11+'s2'!J11+'s3'!J11+'s4'!J11+'s5'!J11+'s6'!J11+'s7'!J11+'s8'!J11</f>
        <v>0</v>
      </c>
      <c r="K11" s="5">
        <v>0</v>
      </c>
      <c r="L11" s="6">
        <f t="shared" si="0"/>
        <v>0</v>
      </c>
    </row>
    <row r="12" spans="1:12" ht="13.15" customHeight="1">
      <c r="A12" s="2">
        <v>8</v>
      </c>
      <c r="B12" s="4" t="s">
        <v>239</v>
      </c>
      <c r="C12" s="2" t="s">
        <v>9</v>
      </c>
      <c r="D12" s="2">
        <f>'s1'!D12+'s2'!D12+'s3'!D12+'s4'!D12+'s5'!D12+'s6'!D12+'s7'!D12+'s8'!D12</f>
        <v>0</v>
      </c>
      <c r="E12" s="5">
        <v>0</v>
      </c>
      <c r="F12" s="7">
        <f t="shared" si="1"/>
        <v>0</v>
      </c>
      <c r="G12" s="2">
        <v>46</v>
      </c>
      <c r="H12" s="4" t="s">
        <v>126</v>
      </c>
      <c r="I12" s="2" t="s">
        <v>9</v>
      </c>
      <c r="J12" s="2">
        <f>'s1'!J12+'s2'!J12+'s3'!J12+'s4'!J12+'s5'!J12+'s6'!J12+'s7'!J12+'s8'!J12</f>
        <v>0</v>
      </c>
      <c r="K12" s="5">
        <v>0</v>
      </c>
      <c r="L12" s="6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>
        <f>'s1'!D13+'s2'!D13+'s3'!D13+'s4'!D13+'s5'!D13+'s6'!D13+'s7'!D13+'s8'!D13</f>
        <v>0</v>
      </c>
      <c r="E13" s="5">
        <v>0</v>
      </c>
      <c r="F13" s="7">
        <f t="shared" si="1"/>
        <v>0</v>
      </c>
      <c r="G13" s="2">
        <v>47</v>
      </c>
      <c r="H13" s="4" t="s">
        <v>29</v>
      </c>
      <c r="I13" s="2" t="s">
        <v>9</v>
      </c>
      <c r="J13" s="2">
        <f>'s1'!J13+'s2'!J13+'s3'!J13+'s4'!J13+'s5'!J13+'s6'!J13+'s7'!J13+'s8'!J13</f>
        <v>0</v>
      </c>
      <c r="K13" s="5">
        <v>0</v>
      </c>
      <c r="L13" s="6">
        <f t="shared" si="0"/>
        <v>0</v>
      </c>
    </row>
    <row r="14" spans="1:12" ht="13.15" customHeight="1">
      <c r="A14" s="2">
        <v>3</v>
      </c>
      <c r="B14" s="4" t="s">
        <v>30</v>
      </c>
      <c r="C14" s="2" t="s">
        <v>9</v>
      </c>
      <c r="D14" s="2">
        <f>'s1'!D14+'s2'!D14+'s3'!D14+'s4'!D14+'s5'!D14+'s6'!D14+'s7'!D14+'s8'!D14</f>
        <v>0</v>
      </c>
      <c r="E14" s="5">
        <v>0</v>
      </c>
      <c r="F14" s="7">
        <f t="shared" si="1"/>
        <v>0</v>
      </c>
      <c r="G14" s="2">
        <v>48</v>
      </c>
      <c r="H14" s="4" t="s">
        <v>31</v>
      </c>
      <c r="I14" s="2" t="s">
        <v>9</v>
      </c>
      <c r="J14" s="2">
        <f>'s1'!J14+'s2'!J14+'s3'!J14+'s4'!J14+'s5'!J14+'s6'!J14+'s7'!J14+'s8'!J14</f>
        <v>0</v>
      </c>
      <c r="K14" s="5">
        <v>0</v>
      </c>
      <c r="L14" s="6">
        <f t="shared" si="0"/>
        <v>0</v>
      </c>
    </row>
    <row r="15" spans="1:12" ht="13.15" customHeight="1">
      <c r="A15" s="2">
        <v>11</v>
      </c>
      <c r="B15" s="9" t="s">
        <v>32</v>
      </c>
      <c r="C15" s="8" t="s">
        <v>9</v>
      </c>
      <c r="D15" s="8">
        <f>'s1'!D15+'s2'!D15+'s3'!D15+'s4'!D15+'s5'!D15+'s6'!D15+'s7'!D15+'s8'!D15</f>
        <v>15</v>
      </c>
      <c r="E15" s="26">
        <v>6.5</v>
      </c>
      <c r="F15" s="27">
        <f t="shared" si="1"/>
        <v>97.5</v>
      </c>
      <c r="G15" s="2">
        <v>49</v>
      </c>
      <c r="H15" s="4" t="s">
        <v>240</v>
      </c>
      <c r="I15" s="2" t="s">
        <v>9</v>
      </c>
      <c r="J15" s="2">
        <f>'s1'!J15+'s2'!J15+'s3'!J15+'s4'!J15+'s5'!J15+'s6'!J15+'s7'!J15+'s8'!J15</f>
        <v>0</v>
      </c>
      <c r="K15" s="5">
        <v>9.1</v>
      </c>
      <c r="L15" s="6">
        <f t="shared" si="0"/>
        <v>0</v>
      </c>
    </row>
    <row r="16" spans="1:12" ht="13.15" customHeight="1">
      <c r="A16" s="2">
        <v>12</v>
      </c>
      <c r="B16" s="9" t="s">
        <v>241</v>
      </c>
      <c r="C16" s="8" t="s">
        <v>9</v>
      </c>
      <c r="D16" s="8">
        <f>'s1'!D16+'s2'!D16+'s3'!D16+'s4'!D16+'s5'!D16+'s6'!D16+'s7'!D16+'s8'!D16</f>
        <v>0</v>
      </c>
      <c r="E16" s="26">
        <v>6.5</v>
      </c>
      <c r="F16" s="27">
        <f t="shared" si="1"/>
        <v>0</v>
      </c>
      <c r="G16" s="2">
        <v>50</v>
      </c>
      <c r="H16" s="4" t="s">
        <v>92</v>
      </c>
      <c r="I16" s="2" t="s">
        <v>9</v>
      </c>
      <c r="J16" s="2">
        <f>'s1'!J16+'s2'!J16+'s3'!J16+'s4'!J16+'s5'!J16+'s6'!J16+'s7'!J16+'s8'!J16</f>
        <v>0</v>
      </c>
      <c r="K16" s="5">
        <v>7.45</v>
      </c>
      <c r="L16" s="6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>
        <f>'s1'!D17+'s2'!D17+'s3'!D17+'s4'!D17+'s5'!D17+'s6'!D17+'s7'!D17+'s8'!D17</f>
        <v>0</v>
      </c>
      <c r="E17" s="5">
        <v>0</v>
      </c>
      <c r="F17" s="7">
        <f t="shared" si="1"/>
        <v>0</v>
      </c>
      <c r="G17" s="2">
        <v>51</v>
      </c>
      <c r="H17" s="4" t="s">
        <v>130</v>
      </c>
      <c r="I17" s="2" t="s">
        <v>9</v>
      </c>
      <c r="J17" s="2">
        <f>'s1'!J17+'s2'!J17+'s3'!J17+'s4'!J17+'s5'!J17+'s6'!J17+'s7'!J17+'s8'!J17</f>
        <v>0</v>
      </c>
      <c r="K17" s="5">
        <v>0</v>
      </c>
      <c r="L17" s="6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>
        <f>'s1'!D18+'s2'!D18+'s3'!D18+'s4'!D18+'s5'!D18+'s6'!D18+'s7'!D18+'s8'!D18</f>
        <v>0</v>
      </c>
      <c r="E18" s="5">
        <v>0</v>
      </c>
      <c r="F18" s="7">
        <f t="shared" si="1"/>
        <v>0</v>
      </c>
      <c r="G18" s="2">
        <v>52</v>
      </c>
      <c r="H18" s="4" t="s">
        <v>131</v>
      </c>
      <c r="I18" s="2" t="s">
        <v>9</v>
      </c>
      <c r="J18" s="2">
        <f>'s1'!J18+'s2'!J18+'s3'!J18+'s4'!J18+'s5'!J18+'s6'!J18+'s7'!J18+'s8'!J18</f>
        <v>0</v>
      </c>
      <c r="K18" s="5">
        <v>3.2</v>
      </c>
      <c r="L18" s="6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>
        <f>'s1'!D19+'s2'!D19+'s3'!D19+'s4'!D19+'s5'!D19+'s6'!D19+'s7'!D19+'s8'!D19</f>
        <v>0</v>
      </c>
      <c r="E19" s="5">
        <v>6.2</v>
      </c>
      <c r="F19" s="7">
        <f t="shared" si="1"/>
        <v>0</v>
      </c>
      <c r="G19" s="2">
        <v>53</v>
      </c>
      <c r="H19" s="4" t="s">
        <v>94</v>
      </c>
      <c r="I19" s="2" t="s">
        <v>9</v>
      </c>
      <c r="J19" s="2">
        <f>'s1'!J19+'s2'!J19+'s3'!J19+'s4'!J19+'s5'!J19+'s6'!J19+'s7'!J19+'s8'!J19</f>
        <v>0</v>
      </c>
      <c r="K19" s="5">
        <v>0</v>
      </c>
      <c r="L19" s="6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>
        <f>'s1'!D20+'s2'!D20+'s3'!D20+'s4'!D20+'s5'!D20+'s6'!D20+'s7'!D20+'s8'!D20</f>
        <v>0</v>
      </c>
      <c r="E20" s="5">
        <v>0</v>
      </c>
      <c r="F20" s="7">
        <f t="shared" si="1"/>
        <v>0</v>
      </c>
      <c r="G20" s="2">
        <v>54</v>
      </c>
      <c r="H20" s="4" t="s">
        <v>95</v>
      </c>
      <c r="I20" s="2" t="s">
        <v>9</v>
      </c>
      <c r="J20" s="2">
        <f>'s1'!J20+'s2'!J20+'s3'!J20+'s4'!J20+'s5'!J20+'s6'!J20+'s7'!J20+'s8'!J20</f>
        <v>0</v>
      </c>
      <c r="K20" s="5">
        <v>0</v>
      </c>
      <c r="L20" s="6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>
        <f>'s1'!D21+'s2'!D21+'s3'!D21+'s4'!D21+'s5'!D21+'s6'!D21+'s7'!D21+'s8'!D21</f>
        <v>0</v>
      </c>
      <c r="E21" s="5">
        <v>0</v>
      </c>
      <c r="F21" s="7">
        <f t="shared" si="1"/>
        <v>0</v>
      </c>
      <c r="G21" s="2">
        <v>55</v>
      </c>
      <c r="H21" s="4" t="s">
        <v>45</v>
      </c>
      <c r="I21" s="2" t="s">
        <v>9</v>
      </c>
      <c r="J21" s="2">
        <f>'s1'!J21+'s2'!J21+'s3'!J21+'s4'!J21+'s5'!J21+'s6'!J21+'s7'!J21+'s8'!J21</f>
        <v>0</v>
      </c>
      <c r="K21" s="5">
        <v>0</v>
      </c>
      <c r="L21" s="6">
        <f t="shared" si="0"/>
        <v>0</v>
      </c>
    </row>
    <row r="22" spans="1:12" ht="13.15" customHeight="1">
      <c r="A22" s="2">
        <v>18</v>
      </c>
      <c r="B22" s="9" t="s">
        <v>46</v>
      </c>
      <c r="C22" s="8" t="s">
        <v>9</v>
      </c>
      <c r="D22" s="8">
        <f>'s1'!D22+'s2'!D22+'s3'!D22+'s4'!D22+'s5'!D22+'s6'!D22+'s7'!D22+'s8'!D22</f>
        <v>0</v>
      </c>
      <c r="E22" s="26">
        <v>7</v>
      </c>
      <c r="F22" s="27">
        <f t="shared" si="1"/>
        <v>0</v>
      </c>
      <c r="G22" s="2">
        <v>56</v>
      </c>
      <c r="H22" s="4" t="s">
        <v>47</v>
      </c>
      <c r="I22" s="2" t="s">
        <v>9</v>
      </c>
      <c r="J22" s="2">
        <f>'s1'!J22+'s2'!J22+'s3'!J22+'s4'!J22+'s5'!J22+'s6'!J22+'s7'!J22+'s8'!J22</f>
        <v>0</v>
      </c>
      <c r="K22" s="5">
        <v>20.65</v>
      </c>
      <c r="L22" s="6">
        <f t="shared" si="0"/>
        <v>0</v>
      </c>
    </row>
    <row r="23" spans="1:12" ht="13.15" customHeight="1">
      <c r="A23" s="2">
        <v>19</v>
      </c>
      <c r="B23" s="9" t="s">
        <v>48</v>
      </c>
      <c r="C23" s="8" t="s">
        <v>9</v>
      </c>
      <c r="D23" s="8">
        <f>'s1'!D23+'s2'!D23+'s3'!D23+'s4'!D23+'s5'!D23+'s6'!D23+'s7'!D23+'s8'!D23</f>
        <v>0</v>
      </c>
      <c r="E23" s="26">
        <v>7.75</v>
      </c>
      <c r="F23" s="27">
        <f t="shared" si="1"/>
        <v>0</v>
      </c>
      <c r="G23" s="2">
        <v>57</v>
      </c>
      <c r="H23" s="4" t="s">
        <v>132</v>
      </c>
      <c r="I23" s="2" t="s">
        <v>9</v>
      </c>
      <c r="J23" s="2">
        <f>'s1'!J23+'s2'!J23+'s3'!J23+'s4'!J23+'s5'!J23+'s6'!J23+'s7'!J23+'s8'!J23</f>
        <v>0</v>
      </c>
      <c r="K23" s="2">
        <v>14</v>
      </c>
      <c r="L23" s="6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>
        <f>'s1'!D24+'s2'!D24+'s3'!D24+'s4'!D24+'s5'!D24+'s6'!D24+'s7'!D24+'s8'!D24</f>
        <v>0</v>
      </c>
      <c r="E24" s="5">
        <v>0</v>
      </c>
      <c r="F24" s="7">
        <f t="shared" si="1"/>
        <v>0</v>
      </c>
      <c r="G24" s="2">
        <v>58</v>
      </c>
      <c r="H24" s="4" t="s">
        <v>242</v>
      </c>
      <c r="I24" s="2" t="s">
        <v>9</v>
      </c>
      <c r="J24" s="2">
        <f>'s1'!J24+'s2'!J24+'s3'!J24+'s4'!J24+'s5'!J24+'s6'!J24+'s7'!J24+'s8'!J24</f>
        <v>0</v>
      </c>
      <c r="K24" s="2">
        <v>0</v>
      </c>
      <c r="L24" s="6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>
        <f>'s1'!D25+'s2'!D25+'s3'!D25+'s4'!D25+'s5'!D25+'s6'!D25+'s7'!D25+'s8'!D25</f>
        <v>0</v>
      </c>
      <c r="E25" s="5">
        <v>7.9</v>
      </c>
      <c r="F25" s="7">
        <f t="shared" si="1"/>
        <v>0</v>
      </c>
      <c r="G25" s="2">
        <v>59</v>
      </c>
      <c r="H25" s="4" t="s">
        <v>243</v>
      </c>
      <c r="I25" s="2" t="s">
        <v>9</v>
      </c>
      <c r="J25" s="2">
        <f>'s1'!J25+'s2'!J25+'s3'!J25+'s4'!J25+'s5'!J25+'s6'!J25+'s7'!J25+'s8'!J25</f>
        <v>0</v>
      </c>
      <c r="K25" s="2">
        <v>0</v>
      </c>
      <c r="L25" s="6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>
        <f>'s1'!D26+'s2'!D26+'s3'!D26+'s4'!D26+'s5'!D26+'s6'!D26+'s7'!D26+'s8'!D26</f>
        <v>0</v>
      </c>
      <c r="E26" s="5">
        <v>0</v>
      </c>
      <c r="F26" s="7">
        <f t="shared" si="1"/>
        <v>0</v>
      </c>
      <c r="G26" s="2">
        <v>60</v>
      </c>
      <c r="H26" s="4" t="s">
        <v>55</v>
      </c>
      <c r="I26" s="2" t="s">
        <v>9</v>
      </c>
      <c r="J26" s="2">
        <f>'s1'!J26+'s2'!J26+'s3'!J26+'s4'!J26+'s5'!J26+'s6'!J26+'s7'!J26+'s8'!J26</f>
        <v>0</v>
      </c>
      <c r="K26" s="2">
        <v>0</v>
      </c>
      <c r="L26" s="6">
        <f t="shared" si="0"/>
        <v>0</v>
      </c>
    </row>
    <row r="27" spans="1:12" ht="13.15" customHeight="1">
      <c r="A27" s="2">
        <v>23</v>
      </c>
      <c r="B27" s="9" t="s">
        <v>56</v>
      </c>
      <c r="C27" s="8" t="s">
        <v>9</v>
      </c>
      <c r="D27" s="8">
        <f>'s1'!D27+'s2'!D27+'s3'!D27+'s4'!D27+'s5'!D27+'s6'!D27+'s7'!D27+'s8'!D27</f>
        <v>0</v>
      </c>
      <c r="E27" s="26">
        <v>5.75</v>
      </c>
      <c r="F27" s="27">
        <f t="shared" si="1"/>
        <v>0</v>
      </c>
      <c r="G27" s="2">
        <v>61</v>
      </c>
      <c r="H27" s="4" t="s">
        <v>244</v>
      </c>
      <c r="I27" s="2" t="s">
        <v>9</v>
      </c>
      <c r="J27" s="2">
        <f>'s1'!J27+'s2'!J27+'s3'!J27+'s4'!J27+'s5'!J27+'s6'!J27+'s7'!J27+'s8'!J27</f>
        <v>0</v>
      </c>
      <c r="K27" s="2">
        <v>3.7</v>
      </c>
      <c r="L27" s="6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>
        <f>'s1'!D28+'s2'!D28+'s3'!D28+'s4'!D28+'s5'!D28+'s6'!D28+'s7'!D28+'s8'!D28</f>
        <v>0</v>
      </c>
      <c r="E28" s="5">
        <v>0</v>
      </c>
      <c r="F28" s="7">
        <f t="shared" si="1"/>
        <v>0</v>
      </c>
      <c r="G28" s="2">
        <v>62</v>
      </c>
      <c r="H28" s="4" t="s">
        <v>245</v>
      </c>
      <c r="I28" s="2" t="s">
        <v>9</v>
      </c>
      <c r="J28" s="2">
        <f>'s1'!J28+'s2'!J28+'s3'!J28+'s4'!J28+'s5'!J28+'s6'!J28+'s7'!J28+'s8'!J28</f>
        <v>0</v>
      </c>
      <c r="K28" s="2">
        <v>7.35</v>
      </c>
      <c r="L28" s="6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>
        <f>'s1'!D29+'s2'!D29+'s3'!D29+'s4'!D29+'s5'!D29+'s6'!D29+'s7'!D29+'s8'!D29</f>
        <v>0</v>
      </c>
      <c r="E29" s="5">
        <v>6.7</v>
      </c>
      <c r="F29" s="7">
        <f t="shared" si="1"/>
        <v>0</v>
      </c>
      <c r="G29" s="2">
        <v>63</v>
      </c>
      <c r="H29" s="4" t="s">
        <v>63</v>
      </c>
      <c r="I29" s="2" t="s">
        <v>9</v>
      </c>
      <c r="J29" s="2">
        <f>'s1'!J29+'s2'!J29+'s3'!J29+'s4'!J29+'s5'!J29+'s6'!J29+'s7'!J29+'s8'!J29</f>
        <v>0</v>
      </c>
      <c r="K29" s="2">
        <v>7.65</v>
      </c>
      <c r="L29" s="6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>
        <f>'s1'!D30+'s2'!D30+'s3'!D30+'s4'!D30+'s5'!D30+'s6'!D30+'s7'!D30+'s8'!D30</f>
        <v>0</v>
      </c>
      <c r="E30" s="5">
        <v>0</v>
      </c>
      <c r="F30" s="6">
        <f t="shared" si="1"/>
        <v>0</v>
      </c>
      <c r="G30" s="2">
        <v>64</v>
      </c>
      <c r="H30" s="4" t="s">
        <v>25</v>
      </c>
      <c r="I30" s="2" t="s">
        <v>9</v>
      </c>
      <c r="J30" s="2">
        <f>'s1'!J30+'s2'!J30+'s3'!J30+'s4'!J30+'s5'!J30+'s6'!J30+'s7'!J30+'s8'!J30</f>
        <v>0</v>
      </c>
      <c r="K30" s="2">
        <v>4.2</v>
      </c>
      <c r="L30" s="6">
        <f t="shared" si="0"/>
        <v>0</v>
      </c>
    </row>
    <row r="31" spans="1:12" ht="13.15" customHeight="1">
      <c r="A31" s="2">
        <v>27</v>
      </c>
      <c r="B31" s="9" t="s">
        <v>102</v>
      </c>
      <c r="C31" s="8" t="s">
        <v>9</v>
      </c>
      <c r="D31" s="8">
        <f>'s1'!D31+'s2'!D31+'s3'!D31+'s4'!D31+'s5'!D31+'s6'!D31+'s7'!D31+'s8'!D31</f>
        <v>0</v>
      </c>
      <c r="E31" s="26">
        <v>7</v>
      </c>
      <c r="F31" s="28">
        <f t="shared" si="1"/>
        <v>0</v>
      </c>
      <c r="G31" s="2">
        <v>65</v>
      </c>
      <c r="H31" s="4" t="s">
        <v>261</v>
      </c>
      <c r="I31" s="2" t="s">
        <v>9</v>
      </c>
      <c r="J31" s="2">
        <f>'s1'!J31+'s2'!J31+'s3'!J31+'s4'!J31+'s5'!J31+'s6'!J31+'s7'!J31+'s8'!J31</f>
        <v>0</v>
      </c>
      <c r="K31" s="2">
        <v>2.4</v>
      </c>
      <c r="L31" s="6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>
        <f>'s1'!D32+'s2'!D32+'s3'!D32+'s4'!D32+'s5'!D32+'s6'!D32+'s7'!D32+'s8'!D32</f>
        <v>0</v>
      </c>
      <c r="E32" s="5">
        <v>8.25</v>
      </c>
      <c r="F32" s="7">
        <f t="shared" si="1"/>
        <v>0</v>
      </c>
      <c r="G32" s="2">
        <v>66</v>
      </c>
      <c r="H32" s="4"/>
      <c r="I32" s="2" t="s">
        <v>9</v>
      </c>
      <c r="J32" s="2">
        <f>'s1'!J32+'s2'!J32+'s3'!J32+'s4'!J32+'s5'!J32+'s6'!J32+'s7'!J32+'s8'!J32</f>
        <v>0</v>
      </c>
      <c r="K32" s="2"/>
      <c r="L32" s="6">
        <f t="shared" si="0"/>
        <v>0</v>
      </c>
    </row>
    <row r="33" spans="1:13" ht="13.15" customHeight="1">
      <c r="A33" s="2">
        <v>29</v>
      </c>
      <c r="B33" s="4" t="s">
        <v>68</v>
      </c>
      <c r="C33" s="2" t="s">
        <v>9</v>
      </c>
      <c r="D33" s="2">
        <f>'s1'!D33+'s2'!D33+'s3'!D33+'s4'!D33+'s5'!D33+'s6'!D33+'s7'!D33+'s8'!D33</f>
        <v>0</v>
      </c>
      <c r="E33" s="5">
        <v>6.4</v>
      </c>
      <c r="F33" s="6">
        <f t="shared" si="1"/>
        <v>0</v>
      </c>
      <c r="G33" s="2">
        <v>67</v>
      </c>
      <c r="H33" s="4"/>
      <c r="I33" s="2" t="s">
        <v>9</v>
      </c>
      <c r="J33" s="2">
        <f>'s1'!J33+'s2'!J33+'s3'!J33+'s4'!J33+'s5'!J33+'s6'!J33+'s7'!J33+'s8'!J33</f>
        <v>0</v>
      </c>
      <c r="K33" s="2"/>
      <c r="L33" s="6">
        <f t="shared" si="0"/>
        <v>0</v>
      </c>
    </row>
    <row r="34" spans="1:13" ht="13.15" customHeight="1">
      <c r="A34" s="2">
        <v>30</v>
      </c>
      <c r="B34" s="4" t="s">
        <v>70</v>
      </c>
      <c r="C34" s="2" t="s">
        <v>9</v>
      </c>
      <c r="D34" s="2">
        <f>'s1'!D34+'s2'!D34+'s3'!D34+'s4'!D34+'s5'!D34+'s6'!D34+'s7'!D34+'s8'!D34</f>
        <v>0</v>
      </c>
      <c r="E34" s="5">
        <v>0</v>
      </c>
      <c r="F34" s="6">
        <f t="shared" si="1"/>
        <v>0</v>
      </c>
      <c r="G34" s="2">
        <v>68</v>
      </c>
      <c r="H34" s="4"/>
      <c r="I34" s="2" t="s">
        <v>9</v>
      </c>
      <c r="J34" s="2">
        <f>'s1'!J34+'s2'!J34+'s3'!J34+'s4'!J34+'s5'!J34+'s6'!J34+'s7'!J34+'s8'!J34</f>
        <v>0</v>
      </c>
      <c r="K34" s="2"/>
      <c r="L34" s="6">
        <f t="shared" si="0"/>
        <v>0</v>
      </c>
      <c r="M34" s="10"/>
    </row>
    <row r="35" spans="1:13" ht="13.15" customHeight="1">
      <c r="A35" s="2">
        <v>31</v>
      </c>
      <c r="B35" s="4" t="s">
        <v>72</v>
      </c>
      <c r="C35" s="2" t="s">
        <v>9</v>
      </c>
      <c r="D35" s="2">
        <f>'s1'!D35+'s2'!D35+'s3'!D35+'s4'!D35+'s5'!D35+'s6'!D35+'s7'!D35+'s8'!D35</f>
        <v>0</v>
      </c>
      <c r="E35" s="5">
        <v>6.5</v>
      </c>
      <c r="F35" s="7">
        <f t="shared" si="1"/>
        <v>0</v>
      </c>
      <c r="G35" s="2">
        <v>69</v>
      </c>
      <c r="H35" s="4"/>
      <c r="I35" s="2" t="s">
        <v>9</v>
      </c>
      <c r="J35" s="2">
        <f>'s1'!J35+'s2'!J35+'s3'!J35+'s4'!J35+'s5'!J35+'s6'!J35+'s7'!J35+'s8'!J35</f>
        <v>0</v>
      </c>
      <c r="K35" s="2"/>
      <c r="L35" s="6">
        <f t="shared" si="0"/>
        <v>0</v>
      </c>
    </row>
    <row r="36" spans="1:13" ht="13.15" customHeight="1">
      <c r="A36" s="2">
        <v>32</v>
      </c>
      <c r="B36" s="4" t="s">
        <v>74</v>
      </c>
      <c r="C36" s="2" t="s">
        <v>9</v>
      </c>
      <c r="D36" s="2">
        <f>'s1'!D36+'s2'!D36+'s3'!D36+'s4'!D36+'s5'!D36+'s6'!D36+'s7'!D36+'s8'!D36</f>
        <v>0</v>
      </c>
      <c r="E36" s="2">
        <v>0</v>
      </c>
      <c r="F36" s="7">
        <f t="shared" si="1"/>
        <v>0</v>
      </c>
      <c r="G36" s="2">
        <v>70</v>
      </c>
      <c r="H36" s="4"/>
      <c r="I36" s="2" t="s">
        <v>9</v>
      </c>
      <c r="J36" s="2">
        <f>'s1'!J36+'s2'!J36+'s3'!J36+'s4'!J36+'s5'!J36+'s6'!J36+'s7'!J36+'s8'!J36</f>
        <v>0</v>
      </c>
      <c r="K36" s="2"/>
      <c r="L36" s="6">
        <f t="shared" si="0"/>
        <v>0</v>
      </c>
    </row>
    <row r="37" spans="1:13" ht="13.15" customHeight="1">
      <c r="A37" s="2">
        <v>33</v>
      </c>
      <c r="B37" s="4" t="s">
        <v>76</v>
      </c>
      <c r="C37" s="2" t="s">
        <v>9</v>
      </c>
      <c r="D37" s="2">
        <f>'s1'!D37+'s2'!D37+'s3'!D37+'s4'!D37+'s5'!D37+'s6'!D37+'s7'!D37+'s8'!D37</f>
        <v>0</v>
      </c>
      <c r="E37" s="2">
        <v>0</v>
      </c>
      <c r="F37" s="7">
        <f t="shared" si="1"/>
        <v>0</v>
      </c>
      <c r="G37" s="2">
        <v>71</v>
      </c>
      <c r="H37" s="4"/>
      <c r="I37" s="2" t="s">
        <v>9</v>
      </c>
      <c r="J37" s="2">
        <f>'s1'!J37+'s2'!J37+'s3'!J37+'s4'!J37+'s5'!J37+'s6'!J37+'s7'!J37+'s8'!J37</f>
        <v>0</v>
      </c>
      <c r="K37" s="2"/>
      <c r="L37" s="6">
        <f t="shared" si="0"/>
        <v>0</v>
      </c>
      <c r="M37" s="11"/>
    </row>
    <row r="38" spans="1:13" ht="13.15" customHeight="1">
      <c r="A38" s="2">
        <v>34</v>
      </c>
      <c r="B38" s="4" t="s">
        <v>78</v>
      </c>
      <c r="C38" s="2" t="s">
        <v>9</v>
      </c>
      <c r="D38" s="2">
        <f>'s1'!D38+'s2'!D38+'s3'!D38+'s4'!D38+'s5'!D38+'s6'!D38+'s7'!D38+'s8'!D38</f>
        <v>0</v>
      </c>
      <c r="E38" s="2">
        <v>0</v>
      </c>
      <c r="F38" s="7">
        <f t="shared" si="1"/>
        <v>0</v>
      </c>
      <c r="G38" s="2">
        <v>72</v>
      </c>
      <c r="H38" s="4"/>
      <c r="I38" s="2" t="s">
        <v>9</v>
      </c>
      <c r="J38" s="2">
        <f>'s1'!J38+'s2'!J38+'s3'!J38+'s4'!J38+'s5'!J38+'s6'!J38+'s7'!J38+'s8'!J38</f>
        <v>0</v>
      </c>
      <c r="K38" s="2"/>
      <c r="L38" s="6">
        <f t="shared" si="0"/>
        <v>0</v>
      </c>
    </row>
    <row r="39" spans="1:13" ht="13.15" customHeight="1">
      <c r="A39" s="2">
        <v>35</v>
      </c>
      <c r="B39" s="4" t="s">
        <v>80</v>
      </c>
      <c r="C39" s="2" t="s">
        <v>9</v>
      </c>
      <c r="D39" s="2">
        <f>'s1'!D39+'s2'!D39+'s3'!D39+'s4'!D39+'s5'!D39+'s6'!D39+'s7'!D39+'s8'!D39</f>
        <v>0</v>
      </c>
      <c r="E39" s="2">
        <v>0</v>
      </c>
      <c r="F39" s="7">
        <f t="shared" si="1"/>
        <v>0</v>
      </c>
      <c r="G39" s="2">
        <v>73</v>
      </c>
      <c r="H39" s="4"/>
      <c r="I39" s="2" t="s">
        <v>9</v>
      </c>
      <c r="J39" s="2">
        <f>'s1'!J39+'s2'!J39+'s3'!J39+'s4'!J39+'s5'!J39+'s6'!J39+'s7'!J39+'s8'!J39</f>
        <v>0</v>
      </c>
      <c r="K39" s="2"/>
      <c r="L39" s="6">
        <f t="shared" si="0"/>
        <v>0</v>
      </c>
    </row>
    <row r="40" spans="1:13" ht="13.15" customHeight="1">
      <c r="I40" s="33" t="s">
        <v>82</v>
      </c>
      <c r="J40" s="34"/>
      <c r="K40" s="34"/>
      <c r="L40" s="23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166.5</v>
      </c>
    </row>
    <row r="42" spans="1:13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>
  <dimension ref="A1:M42"/>
  <sheetViews>
    <sheetView workbookViewId="0">
      <selection activeCell="D10" sqref="D10"/>
    </sheetView>
  </sheetViews>
  <sheetFormatPr defaultRowHeight="13.15" customHeight="1"/>
  <cols>
    <col min="1" max="1" width="4.7109375" style="17" customWidth="1"/>
    <col min="2" max="2" width="28.28515625" customWidth="1"/>
    <col min="3" max="3" width="6" bestFit="1" customWidth="1"/>
    <col min="4" max="4" width="5.85546875" bestFit="1" customWidth="1"/>
    <col min="5" max="5" width="8.28515625" customWidth="1"/>
    <col min="7" max="7" width="4.85546875" style="17" customWidth="1"/>
    <col min="8" max="8" width="23.28515625" customWidth="1"/>
    <col min="9" max="9" width="6.85546875" customWidth="1"/>
    <col min="10" max="10" width="6.7109375" customWidth="1"/>
    <col min="11" max="11" width="8.42578125" customWidth="1"/>
  </cols>
  <sheetData>
    <row r="1" spans="1:12" ht="13.15" customHeight="1">
      <c r="A1" s="30"/>
      <c r="B1" s="30"/>
      <c r="C1" s="30"/>
      <c r="D1" s="30" t="s">
        <v>260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 t="s">
        <v>236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1.45</v>
      </c>
      <c r="L2" s="6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0</v>
      </c>
      <c r="L3" s="6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2.5499999999999998</v>
      </c>
      <c r="L4" s="6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0</v>
      </c>
      <c r="F5" s="7">
        <f>D5*E5</f>
        <v>0</v>
      </c>
      <c r="G5" s="2">
        <v>39</v>
      </c>
      <c r="H5" s="4" t="s">
        <v>13</v>
      </c>
      <c r="I5" s="2" t="s">
        <v>9</v>
      </c>
      <c r="J5" s="2"/>
      <c r="K5" s="5">
        <v>2.1</v>
      </c>
      <c r="L5" s="6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</v>
      </c>
      <c r="F6" s="7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8.8000000000000007</v>
      </c>
      <c r="L6" s="6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0</v>
      </c>
      <c r="F7" s="7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0</v>
      </c>
      <c r="L7" s="6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7.85</v>
      </c>
      <c r="F8" s="7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2.5499999999999998</v>
      </c>
      <c r="L8" s="6">
        <f t="shared" si="0"/>
        <v>0</v>
      </c>
    </row>
    <row r="9" spans="1:12" ht="13.15" customHeight="1">
      <c r="A9" s="2">
        <v>5</v>
      </c>
      <c r="B9" s="9" t="s">
        <v>20</v>
      </c>
      <c r="C9" s="8" t="s">
        <v>9</v>
      </c>
      <c r="D9" s="8">
        <v>12</v>
      </c>
      <c r="E9" s="26">
        <v>5.75</v>
      </c>
      <c r="F9" s="27">
        <f t="shared" si="1"/>
        <v>69</v>
      </c>
      <c r="G9" s="2">
        <v>43</v>
      </c>
      <c r="H9" s="4" t="s">
        <v>21</v>
      </c>
      <c r="I9" s="2" t="s">
        <v>9</v>
      </c>
      <c r="J9" s="2"/>
      <c r="K9" s="5">
        <v>0</v>
      </c>
      <c r="L9" s="6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0</v>
      </c>
      <c r="F10" s="7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1.1499999999999999</v>
      </c>
      <c r="L10" s="6">
        <f t="shared" si="0"/>
        <v>0</v>
      </c>
    </row>
    <row r="11" spans="1:12" ht="13.15" customHeight="1">
      <c r="A11" s="2">
        <v>7</v>
      </c>
      <c r="B11" s="4" t="s">
        <v>125</v>
      </c>
      <c r="C11" s="2" t="s">
        <v>9</v>
      </c>
      <c r="D11" s="2"/>
      <c r="E11" s="5">
        <v>6.9</v>
      </c>
      <c r="F11" s="7">
        <f t="shared" si="1"/>
        <v>0</v>
      </c>
      <c r="G11" s="2">
        <v>45</v>
      </c>
      <c r="H11" s="4" t="s">
        <v>238</v>
      </c>
      <c r="I11" s="2" t="s">
        <v>9</v>
      </c>
      <c r="J11" s="2"/>
      <c r="K11" s="5">
        <v>0</v>
      </c>
      <c r="L11" s="6">
        <f t="shared" si="0"/>
        <v>0</v>
      </c>
    </row>
    <row r="12" spans="1:12" ht="13.15" customHeight="1">
      <c r="A12" s="2">
        <v>8</v>
      </c>
      <c r="B12" s="4" t="s">
        <v>239</v>
      </c>
      <c r="C12" s="2" t="s">
        <v>9</v>
      </c>
      <c r="D12" s="2"/>
      <c r="E12" s="5">
        <v>0</v>
      </c>
      <c r="F12" s="7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0</v>
      </c>
      <c r="L12" s="6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0</v>
      </c>
      <c r="F13" s="7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0</v>
      </c>
      <c r="L13" s="6">
        <f t="shared" si="0"/>
        <v>0</v>
      </c>
    </row>
    <row r="14" spans="1:12" ht="13.15" customHeight="1">
      <c r="A14" s="2">
        <v>3</v>
      </c>
      <c r="B14" s="4" t="s">
        <v>30</v>
      </c>
      <c r="C14" s="2" t="s">
        <v>9</v>
      </c>
      <c r="D14" s="2"/>
      <c r="E14" s="5">
        <v>0</v>
      </c>
      <c r="F14" s="7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0</v>
      </c>
      <c r="L14" s="6">
        <f t="shared" si="0"/>
        <v>0</v>
      </c>
    </row>
    <row r="15" spans="1:12" ht="13.15" customHeight="1">
      <c r="A15" s="2">
        <v>11</v>
      </c>
      <c r="B15" s="9" t="s">
        <v>32</v>
      </c>
      <c r="C15" s="8" t="s">
        <v>9</v>
      </c>
      <c r="D15" s="8"/>
      <c r="E15" s="26">
        <v>6.5</v>
      </c>
      <c r="F15" s="27">
        <f t="shared" si="1"/>
        <v>0</v>
      </c>
      <c r="G15" s="2">
        <v>49</v>
      </c>
      <c r="H15" s="4" t="s">
        <v>240</v>
      </c>
      <c r="I15" s="2" t="s">
        <v>9</v>
      </c>
      <c r="J15" s="2"/>
      <c r="K15" s="5">
        <v>9.1</v>
      </c>
      <c r="L15" s="6">
        <f t="shared" si="0"/>
        <v>0</v>
      </c>
    </row>
    <row r="16" spans="1:12" ht="13.15" customHeight="1">
      <c r="A16" s="2">
        <v>12</v>
      </c>
      <c r="B16" s="9" t="s">
        <v>241</v>
      </c>
      <c r="C16" s="8" t="s">
        <v>9</v>
      </c>
      <c r="D16" s="8"/>
      <c r="E16" s="26">
        <v>6.5</v>
      </c>
      <c r="F16" s="27">
        <f t="shared" si="1"/>
        <v>0</v>
      </c>
      <c r="G16" s="2">
        <v>50</v>
      </c>
      <c r="H16" s="4" t="s">
        <v>92</v>
      </c>
      <c r="I16" s="2" t="s">
        <v>9</v>
      </c>
      <c r="J16" s="2"/>
      <c r="K16" s="5">
        <v>7.45</v>
      </c>
      <c r="L16" s="6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0</v>
      </c>
      <c r="F17" s="7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0</v>
      </c>
      <c r="L17" s="6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0</v>
      </c>
      <c r="F18" s="7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3.2</v>
      </c>
      <c r="L18" s="6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6.2</v>
      </c>
      <c r="F19" s="7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0</v>
      </c>
      <c r="L19" s="6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0</v>
      </c>
      <c r="F20" s="7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0</v>
      </c>
      <c r="L20" s="6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0</v>
      </c>
      <c r="F21" s="7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0</v>
      </c>
      <c r="L21" s="6">
        <f t="shared" si="0"/>
        <v>0</v>
      </c>
    </row>
    <row r="22" spans="1:12" ht="13.15" customHeight="1">
      <c r="A22" s="2">
        <v>18</v>
      </c>
      <c r="B22" s="9" t="s">
        <v>46</v>
      </c>
      <c r="C22" s="8" t="s">
        <v>9</v>
      </c>
      <c r="D22" s="8"/>
      <c r="E22" s="26">
        <v>7</v>
      </c>
      <c r="F22" s="27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20.65</v>
      </c>
      <c r="L22" s="6">
        <f t="shared" si="0"/>
        <v>0</v>
      </c>
    </row>
    <row r="23" spans="1:12" ht="13.15" customHeight="1">
      <c r="A23" s="2">
        <v>19</v>
      </c>
      <c r="B23" s="9" t="s">
        <v>48</v>
      </c>
      <c r="C23" s="8" t="s">
        <v>9</v>
      </c>
      <c r="D23" s="8"/>
      <c r="E23" s="26">
        <v>7.75</v>
      </c>
      <c r="F23" s="27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14</v>
      </c>
      <c r="L23" s="6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0</v>
      </c>
      <c r="F24" s="7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0</v>
      </c>
      <c r="L24" s="6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7.9</v>
      </c>
      <c r="F25" s="7">
        <f t="shared" si="1"/>
        <v>0</v>
      </c>
      <c r="G25" s="2">
        <v>59</v>
      </c>
      <c r="H25" s="4" t="s">
        <v>243</v>
      </c>
      <c r="I25" s="2" t="s">
        <v>9</v>
      </c>
      <c r="J25" s="4"/>
      <c r="K25" s="2">
        <v>0</v>
      </c>
      <c r="L25" s="6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0</v>
      </c>
      <c r="F26" s="7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0</v>
      </c>
      <c r="L26" s="6">
        <f t="shared" si="0"/>
        <v>0</v>
      </c>
    </row>
    <row r="27" spans="1:12" ht="13.15" customHeight="1">
      <c r="A27" s="2">
        <v>23</v>
      </c>
      <c r="B27" s="9" t="s">
        <v>56</v>
      </c>
      <c r="C27" s="8" t="s">
        <v>9</v>
      </c>
      <c r="D27" s="8"/>
      <c r="E27" s="26">
        <v>5.75</v>
      </c>
      <c r="F27" s="27">
        <f t="shared" si="1"/>
        <v>0</v>
      </c>
      <c r="G27" s="2">
        <v>61</v>
      </c>
      <c r="H27" s="4" t="s">
        <v>244</v>
      </c>
      <c r="I27" s="2" t="s">
        <v>9</v>
      </c>
      <c r="J27" s="4"/>
      <c r="K27" s="2">
        <v>3.7</v>
      </c>
      <c r="L27" s="6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0</v>
      </c>
      <c r="F28" s="7">
        <f t="shared" si="1"/>
        <v>0</v>
      </c>
      <c r="G28" s="2">
        <v>62</v>
      </c>
      <c r="H28" s="4" t="s">
        <v>245</v>
      </c>
      <c r="I28" s="2" t="s">
        <v>9</v>
      </c>
      <c r="J28" s="4"/>
      <c r="K28" s="2">
        <v>7.35</v>
      </c>
      <c r="L28" s="6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6.7</v>
      </c>
      <c r="F29" s="7">
        <f t="shared" si="1"/>
        <v>0</v>
      </c>
      <c r="G29" s="2">
        <v>63</v>
      </c>
      <c r="H29" s="4" t="s">
        <v>63</v>
      </c>
      <c r="I29" s="2" t="s">
        <v>9</v>
      </c>
      <c r="J29" s="4"/>
      <c r="K29" s="2">
        <v>7.65</v>
      </c>
      <c r="L29" s="6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0</v>
      </c>
      <c r="F30" s="6">
        <f t="shared" si="1"/>
        <v>0</v>
      </c>
      <c r="G30" s="2">
        <v>64</v>
      </c>
      <c r="H30" s="4" t="s">
        <v>25</v>
      </c>
      <c r="I30" s="2" t="s">
        <v>9</v>
      </c>
      <c r="J30" s="4"/>
      <c r="K30" s="2">
        <v>4.2</v>
      </c>
      <c r="L30" s="6">
        <f t="shared" si="0"/>
        <v>0</v>
      </c>
    </row>
    <row r="31" spans="1:12" ht="13.15" customHeight="1">
      <c r="A31" s="2">
        <v>27</v>
      </c>
      <c r="B31" s="9" t="s">
        <v>102</v>
      </c>
      <c r="C31" s="8" t="s">
        <v>9</v>
      </c>
      <c r="D31" s="8"/>
      <c r="E31" s="26">
        <v>7</v>
      </c>
      <c r="F31" s="28">
        <f t="shared" si="1"/>
        <v>0</v>
      </c>
      <c r="G31" s="2">
        <v>65</v>
      </c>
      <c r="H31" s="4" t="s">
        <v>261</v>
      </c>
      <c r="I31" s="2" t="s">
        <v>9</v>
      </c>
      <c r="J31" s="4"/>
      <c r="K31" s="2">
        <v>2.4</v>
      </c>
      <c r="L31" s="6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8.25</v>
      </c>
      <c r="F32" s="7">
        <f t="shared" si="1"/>
        <v>0</v>
      </c>
      <c r="G32" s="2">
        <v>66</v>
      </c>
      <c r="H32" s="4"/>
      <c r="I32" s="2" t="s">
        <v>9</v>
      </c>
      <c r="J32" s="4"/>
      <c r="K32" s="2"/>
      <c r="L32" s="6">
        <f t="shared" si="0"/>
        <v>0</v>
      </c>
    </row>
    <row r="33" spans="1:13" ht="13.15" customHeight="1">
      <c r="A33" s="2">
        <v>29</v>
      </c>
      <c r="B33" s="4" t="s">
        <v>68</v>
      </c>
      <c r="C33" s="2" t="s">
        <v>9</v>
      </c>
      <c r="D33" s="2"/>
      <c r="E33" s="5">
        <v>6.4</v>
      </c>
      <c r="F33" s="6">
        <f t="shared" si="1"/>
        <v>0</v>
      </c>
      <c r="G33" s="2">
        <v>67</v>
      </c>
      <c r="H33" s="4"/>
      <c r="I33" s="2" t="s">
        <v>9</v>
      </c>
      <c r="J33" s="4"/>
      <c r="K33" s="2"/>
      <c r="L33" s="6">
        <f t="shared" si="0"/>
        <v>0</v>
      </c>
    </row>
    <row r="34" spans="1:13" ht="13.15" customHeight="1">
      <c r="A34" s="2">
        <v>30</v>
      </c>
      <c r="B34" s="4" t="s">
        <v>70</v>
      </c>
      <c r="C34" s="2" t="s">
        <v>9</v>
      </c>
      <c r="D34" s="2"/>
      <c r="E34" s="5">
        <v>0</v>
      </c>
      <c r="F34" s="6">
        <f t="shared" si="1"/>
        <v>0</v>
      </c>
      <c r="G34" s="2">
        <v>68</v>
      </c>
      <c r="H34" s="4"/>
      <c r="I34" s="2" t="s">
        <v>9</v>
      </c>
      <c r="J34" s="4"/>
      <c r="K34" s="2"/>
      <c r="L34" s="6">
        <f t="shared" si="0"/>
        <v>0</v>
      </c>
      <c r="M34" s="10"/>
    </row>
    <row r="35" spans="1:13" ht="13.15" customHeight="1">
      <c r="A35" s="2">
        <v>31</v>
      </c>
      <c r="B35" s="4" t="s">
        <v>72</v>
      </c>
      <c r="C35" s="2" t="s">
        <v>9</v>
      </c>
      <c r="D35" s="2"/>
      <c r="E35" s="5">
        <v>6.5</v>
      </c>
      <c r="F35" s="7">
        <f t="shared" si="1"/>
        <v>0</v>
      </c>
      <c r="G35" s="2">
        <v>69</v>
      </c>
      <c r="H35" s="4"/>
      <c r="I35" s="2" t="s">
        <v>9</v>
      </c>
      <c r="J35" s="4"/>
      <c r="K35" s="2"/>
      <c r="L35" s="6">
        <f t="shared" si="0"/>
        <v>0</v>
      </c>
    </row>
    <row r="36" spans="1:13" ht="13.15" customHeight="1">
      <c r="A36" s="2">
        <v>32</v>
      </c>
      <c r="B36" s="4" t="s">
        <v>74</v>
      </c>
      <c r="C36" s="2" t="s">
        <v>9</v>
      </c>
      <c r="D36" s="2"/>
      <c r="E36" s="2">
        <v>0</v>
      </c>
      <c r="F36" s="7">
        <f t="shared" si="1"/>
        <v>0</v>
      </c>
      <c r="G36" s="2">
        <v>70</v>
      </c>
      <c r="H36" s="4"/>
      <c r="I36" s="2" t="s">
        <v>9</v>
      </c>
      <c r="J36" s="4"/>
      <c r="K36" s="2"/>
      <c r="L36" s="6">
        <f t="shared" si="0"/>
        <v>0</v>
      </c>
    </row>
    <row r="37" spans="1:13" ht="13.15" customHeight="1">
      <c r="A37" s="2">
        <v>33</v>
      </c>
      <c r="B37" s="4" t="s">
        <v>76</v>
      </c>
      <c r="C37" s="2" t="s">
        <v>9</v>
      </c>
      <c r="D37" s="2"/>
      <c r="E37" s="2">
        <v>0</v>
      </c>
      <c r="F37" s="7">
        <f t="shared" si="1"/>
        <v>0</v>
      </c>
      <c r="G37" s="2">
        <v>71</v>
      </c>
      <c r="H37" s="4"/>
      <c r="I37" s="2" t="s">
        <v>9</v>
      </c>
      <c r="J37" s="4"/>
      <c r="K37" s="2"/>
      <c r="L37" s="6">
        <f t="shared" si="0"/>
        <v>0</v>
      </c>
      <c r="M37" s="11"/>
    </row>
    <row r="38" spans="1:13" ht="13.15" customHeight="1">
      <c r="A38" s="2">
        <v>34</v>
      </c>
      <c r="B38" s="4" t="s">
        <v>78</v>
      </c>
      <c r="C38" s="2" t="s">
        <v>9</v>
      </c>
      <c r="D38" s="2"/>
      <c r="E38" s="2">
        <v>0</v>
      </c>
      <c r="F38" s="7">
        <f t="shared" si="1"/>
        <v>0</v>
      </c>
      <c r="G38" s="2">
        <v>72</v>
      </c>
      <c r="H38" s="4"/>
      <c r="I38" s="2" t="s">
        <v>9</v>
      </c>
      <c r="J38" s="4"/>
      <c r="K38" s="2"/>
      <c r="L38" s="6">
        <f t="shared" si="0"/>
        <v>0</v>
      </c>
    </row>
    <row r="39" spans="1:13" ht="13.15" customHeight="1">
      <c r="A39" s="2">
        <v>35</v>
      </c>
      <c r="B39" s="4" t="s">
        <v>80</v>
      </c>
      <c r="C39" s="2" t="s">
        <v>9</v>
      </c>
      <c r="D39" s="2"/>
      <c r="E39" s="2">
        <v>0</v>
      </c>
      <c r="F39" s="7">
        <f t="shared" si="1"/>
        <v>0</v>
      </c>
      <c r="G39" s="2">
        <v>73</v>
      </c>
      <c r="H39" s="4"/>
      <c r="I39" s="2" t="s">
        <v>9</v>
      </c>
      <c r="J39" s="4"/>
      <c r="K39" s="2"/>
      <c r="L39" s="6">
        <f t="shared" si="0"/>
        <v>0</v>
      </c>
    </row>
    <row r="40" spans="1:13" ht="13.15" customHeight="1">
      <c r="I40" s="33" t="s">
        <v>82</v>
      </c>
      <c r="J40" s="34"/>
      <c r="K40" s="34"/>
      <c r="L40" s="23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69</v>
      </c>
    </row>
    <row r="42" spans="1:13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>
  <dimension ref="A1:M42"/>
  <sheetViews>
    <sheetView workbookViewId="0">
      <selection activeCell="D10" sqref="D10"/>
    </sheetView>
  </sheetViews>
  <sheetFormatPr defaultRowHeight="13.15" customHeight="1"/>
  <cols>
    <col min="1" max="1" width="4.7109375" style="17" customWidth="1"/>
    <col min="2" max="2" width="28.28515625" customWidth="1"/>
    <col min="3" max="3" width="6" bestFit="1" customWidth="1"/>
    <col min="4" max="4" width="5.85546875" bestFit="1" customWidth="1"/>
    <col min="5" max="5" width="8.28515625" customWidth="1"/>
    <col min="7" max="7" width="4.85546875" style="17" customWidth="1"/>
    <col min="8" max="8" width="23.28515625" customWidth="1"/>
    <col min="9" max="9" width="6.85546875" customWidth="1"/>
    <col min="10" max="10" width="6.7109375" customWidth="1"/>
    <col min="11" max="11" width="8.42578125" customWidth="1"/>
  </cols>
  <sheetData>
    <row r="1" spans="1:12" ht="13.15" customHeight="1">
      <c r="A1" s="30"/>
      <c r="B1" s="30"/>
      <c r="C1" s="30"/>
      <c r="D1" s="30" t="s">
        <v>260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 t="s">
        <v>236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1.45</v>
      </c>
      <c r="L2" s="6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0</v>
      </c>
      <c r="L3" s="6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2.5499999999999998</v>
      </c>
      <c r="L4" s="6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0</v>
      </c>
      <c r="F5" s="7">
        <f>D5*E5</f>
        <v>0</v>
      </c>
      <c r="G5" s="2">
        <v>39</v>
      </c>
      <c r="H5" s="4" t="s">
        <v>13</v>
      </c>
      <c r="I5" s="2" t="s">
        <v>9</v>
      </c>
      <c r="J5" s="2"/>
      <c r="K5" s="5">
        <v>2.1</v>
      </c>
      <c r="L5" s="6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</v>
      </c>
      <c r="F6" s="7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8.8000000000000007</v>
      </c>
      <c r="L6" s="6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0</v>
      </c>
      <c r="F7" s="7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0</v>
      </c>
      <c r="L7" s="6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7.85</v>
      </c>
      <c r="F8" s="7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2.5499999999999998</v>
      </c>
      <c r="L8" s="6">
        <f t="shared" si="0"/>
        <v>0</v>
      </c>
    </row>
    <row r="9" spans="1:12" ht="13.15" customHeight="1">
      <c r="A9" s="2">
        <v>5</v>
      </c>
      <c r="B9" s="9" t="s">
        <v>20</v>
      </c>
      <c r="C9" s="8" t="s">
        <v>9</v>
      </c>
      <c r="D9" s="8">
        <v>12</v>
      </c>
      <c r="E9" s="26">
        <v>5.75</v>
      </c>
      <c r="F9" s="27">
        <f t="shared" si="1"/>
        <v>69</v>
      </c>
      <c r="G9" s="2">
        <v>43</v>
      </c>
      <c r="H9" s="4" t="s">
        <v>21</v>
      </c>
      <c r="I9" s="2" t="s">
        <v>9</v>
      </c>
      <c r="J9" s="2"/>
      <c r="K9" s="5">
        <v>0</v>
      </c>
      <c r="L9" s="6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0</v>
      </c>
      <c r="F10" s="7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1.1499999999999999</v>
      </c>
      <c r="L10" s="6">
        <f t="shared" si="0"/>
        <v>0</v>
      </c>
    </row>
    <row r="11" spans="1:12" ht="13.15" customHeight="1">
      <c r="A11" s="2">
        <v>7</v>
      </c>
      <c r="B11" s="4" t="s">
        <v>125</v>
      </c>
      <c r="C11" s="2" t="s">
        <v>9</v>
      </c>
      <c r="D11" s="2"/>
      <c r="E11" s="5">
        <v>6.9</v>
      </c>
      <c r="F11" s="7">
        <f t="shared" si="1"/>
        <v>0</v>
      </c>
      <c r="G11" s="2">
        <v>45</v>
      </c>
      <c r="H11" s="4" t="s">
        <v>238</v>
      </c>
      <c r="I11" s="2" t="s">
        <v>9</v>
      </c>
      <c r="J11" s="2"/>
      <c r="K11" s="5">
        <v>0</v>
      </c>
      <c r="L11" s="6">
        <f t="shared" si="0"/>
        <v>0</v>
      </c>
    </row>
    <row r="12" spans="1:12" ht="13.15" customHeight="1">
      <c r="A12" s="2">
        <v>8</v>
      </c>
      <c r="B12" s="4" t="s">
        <v>239</v>
      </c>
      <c r="C12" s="2" t="s">
        <v>9</v>
      </c>
      <c r="D12" s="2"/>
      <c r="E12" s="5">
        <v>0</v>
      </c>
      <c r="F12" s="7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0</v>
      </c>
      <c r="L12" s="6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0</v>
      </c>
      <c r="F13" s="7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0</v>
      </c>
      <c r="L13" s="6">
        <f t="shared" si="0"/>
        <v>0</v>
      </c>
    </row>
    <row r="14" spans="1:12" ht="13.15" customHeight="1">
      <c r="A14" s="2">
        <v>3</v>
      </c>
      <c r="B14" s="4" t="s">
        <v>30</v>
      </c>
      <c r="C14" s="2" t="s">
        <v>9</v>
      </c>
      <c r="D14" s="2"/>
      <c r="E14" s="5">
        <v>0</v>
      </c>
      <c r="F14" s="7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0</v>
      </c>
      <c r="L14" s="6">
        <f t="shared" si="0"/>
        <v>0</v>
      </c>
    </row>
    <row r="15" spans="1:12" ht="13.15" customHeight="1">
      <c r="A15" s="2">
        <v>11</v>
      </c>
      <c r="B15" s="9" t="s">
        <v>32</v>
      </c>
      <c r="C15" s="8" t="s">
        <v>9</v>
      </c>
      <c r="D15" s="8"/>
      <c r="E15" s="26">
        <v>6.5</v>
      </c>
      <c r="F15" s="27">
        <f t="shared" si="1"/>
        <v>0</v>
      </c>
      <c r="G15" s="2">
        <v>49</v>
      </c>
      <c r="H15" s="4" t="s">
        <v>240</v>
      </c>
      <c r="I15" s="2" t="s">
        <v>9</v>
      </c>
      <c r="J15" s="2"/>
      <c r="K15" s="5">
        <v>9.1</v>
      </c>
      <c r="L15" s="6">
        <f t="shared" si="0"/>
        <v>0</v>
      </c>
    </row>
    <row r="16" spans="1:12" ht="13.15" customHeight="1">
      <c r="A16" s="2">
        <v>12</v>
      </c>
      <c r="B16" s="9" t="s">
        <v>241</v>
      </c>
      <c r="C16" s="8" t="s">
        <v>9</v>
      </c>
      <c r="D16" s="8"/>
      <c r="E16" s="26">
        <v>6.5</v>
      </c>
      <c r="F16" s="27">
        <f t="shared" si="1"/>
        <v>0</v>
      </c>
      <c r="G16" s="2">
        <v>50</v>
      </c>
      <c r="H16" s="4" t="s">
        <v>92</v>
      </c>
      <c r="I16" s="2" t="s">
        <v>9</v>
      </c>
      <c r="J16" s="2"/>
      <c r="K16" s="5">
        <v>7.45</v>
      </c>
      <c r="L16" s="6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0</v>
      </c>
      <c r="F17" s="7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0</v>
      </c>
      <c r="L17" s="6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0</v>
      </c>
      <c r="F18" s="7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3.2</v>
      </c>
      <c r="L18" s="6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6.2</v>
      </c>
      <c r="F19" s="7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0</v>
      </c>
      <c r="L19" s="6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0</v>
      </c>
      <c r="F20" s="7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0</v>
      </c>
      <c r="L20" s="6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0</v>
      </c>
      <c r="F21" s="7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0</v>
      </c>
      <c r="L21" s="6">
        <f t="shared" si="0"/>
        <v>0</v>
      </c>
    </row>
    <row r="22" spans="1:12" ht="13.15" customHeight="1">
      <c r="A22" s="2">
        <v>18</v>
      </c>
      <c r="B22" s="9" t="s">
        <v>46</v>
      </c>
      <c r="C22" s="8" t="s">
        <v>9</v>
      </c>
      <c r="D22" s="8"/>
      <c r="E22" s="26">
        <v>7</v>
      </c>
      <c r="F22" s="27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20.65</v>
      </c>
      <c r="L22" s="6">
        <f t="shared" si="0"/>
        <v>0</v>
      </c>
    </row>
    <row r="23" spans="1:12" ht="13.15" customHeight="1">
      <c r="A23" s="2">
        <v>19</v>
      </c>
      <c r="B23" s="9" t="s">
        <v>48</v>
      </c>
      <c r="C23" s="8" t="s">
        <v>9</v>
      </c>
      <c r="D23" s="8"/>
      <c r="E23" s="26">
        <v>7.75</v>
      </c>
      <c r="F23" s="27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14</v>
      </c>
      <c r="L23" s="6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0</v>
      </c>
      <c r="F24" s="7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0</v>
      </c>
      <c r="L24" s="6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7.9</v>
      </c>
      <c r="F25" s="7">
        <f t="shared" si="1"/>
        <v>0</v>
      </c>
      <c r="G25" s="2">
        <v>59</v>
      </c>
      <c r="H25" s="4" t="s">
        <v>243</v>
      </c>
      <c r="I25" s="2" t="s">
        <v>9</v>
      </c>
      <c r="J25" s="4"/>
      <c r="K25" s="2">
        <v>0</v>
      </c>
      <c r="L25" s="6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0</v>
      </c>
      <c r="F26" s="7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0</v>
      </c>
      <c r="L26" s="6">
        <f t="shared" si="0"/>
        <v>0</v>
      </c>
    </row>
    <row r="27" spans="1:12" ht="13.15" customHeight="1">
      <c r="A27" s="2">
        <v>23</v>
      </c>
      <c r="B27" s="9" t="s">
        <v>56</v>
      </c>
      <c r="C27" s="8" t="s">
        <v>9</v>
      </c>
      <c r="D27" s="8"/>
      <c r="E27" s="26">
        <v>5.75</v>
      </c>
      <c r="F27" s="27">
        <f t="shared" si="1"/>
        <v>0</v>
      </c>
      <c r="G27" s="2">
        <v>61</v>
      </c>
      <c r="H27" s="4" t="s">
        <v>244</v>
      </c>
      <c r="I27" s="2" t="s">
        <v>9</v>
      </c>
      <c r="J27" s="4"/>
      <c r="K27" s="2">
        <v>3.7</v>
      </c>
      <c r="L27" s="6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0</v>
      </c>
      <c r="F28" s="7">
        <f t="shared" si="1"/>
        <v>0</v>
      </c>
      <c r="G28" s="2">
        <v>62</v>
      </c>
      <c r="H28" s="4" t="s">
        <v>245</v>
      </c>
      <c r="I28" s="2" t="s">
        <v>9</v>
      </c>
      <c r="J28" s="4"/>
      <c r="K28" s="2">
        <v>7.35</v>
      </c>
      <c r="L28" s="6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6.7</v>
      </c>
      <c r="F29" s="7">
        <f t="shared" si="1"/>
        <v>0</v>
      </c>
      <c r="G29" s="2">
        <v>63</v>
      </c>
      <c r="H29" s="4" t="s">
        <v>63</v>
      </c>
      <c r="I29" s="2" t="s">
        <v>9</v>
      </c>
      <c r="J29" s="4"/>
      <c r="K29" s="2">
        <v>7.65</v>
      </c>
      <c r="L29" s="6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0</v>
      </c>
      <c r="F30" s="6">
        <f t="shared" si="1"/>
        <v>0</v>
      </c>
      <c r="G30" s="2">
        <v>64</v>
      </c>
      <c r="H30" s="4" t="s">
        <v>25</v>
      </c>
      <c r="I30" s="2" t="s">
        <v>9</v>
      </c>
      <c r="J30" s="4"/>
      <c r="K30" s="2">
        <v>4.2</v>
      </c>
      <c r="L30" s="6">
        <f t="shared" si="0"/>
        <v>0</v>
      </c>
    </row>
    <row r="31" spans="1:12" ht="13.15" customHeight="1">
      <c r="A31" s="2">
        <v>27</v>
      </c>
      <c r="B31" s="9" t="s">
        <v>102</v>
      </c>
      <c r="C31" s="8" t="s">
        <v>9</v>
      </c>
      <c r="D31" s="8"/>
      <c r="E31" s="26">
        <v>7</v>
      </c>
      <c r="F31" s="28">
        <f t="shared" si="1"/>
        <v>0</v>
      </c>
      <c r="G31" s="2">
        <v>65</v>
      </c>
      <c r="H31" s="4" t="s">
        <v>261</v>
      </c>
      <c r="I31" s="2" t="s">
        <v>9</v>
      </c>
      <c r="J31" s="4"/>
      <c r="K31" s="2">
        <v>2.4</v>
      </c>
      <c r="L31" s="6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8.25</v>
      </c>
      <c r="F32" s="7">
        <f t="shared" si="1"/>
        <v>0</v>
      </c>
      <c r="G32" s="2">
        <v>66</v>
      </c>
      <c r="H32" s="4"/>
      <c r="I32" s="2" t="s">
        <v>9</v>
      </c>
      <c r="J32" s="4"/>
      <c r="K32" s="2"/>
      <c r="L32" s="6">
        <f t="shared" si="0"/>
        <v>0</v>
      </c>
    </row>
    <row r="33" spans="1:13" ht="13.15" customHeight="1">
      <c r="A33" s="2">
        <v>29</v>
      </c>
      <c r="B33" s="4" t="s">
        <v>68</v>
      </c>
      <c r="C33" s="2" t="s">
        <v>9</v>
      </c>
      <c r="D33" s="2"/>
      <c r="E33" s="5">
        <v>6.4</v>
      </c>
      <c r="F33" s="6">
        <f t="shared" si="1"/>
        <v>0</v>
      </c>
      <c r="G33" s="2">
        <v>67</v>
      </c>
      <c r="H33" s="4"/>
      <c r="I33" s="2" t="s">
        <v>9</v>
      </c>
      <c r="J33" s="4"/>
      <c r="K33" s="2"/>
      <c r="L33" s="6">
        <f t="shared" si="0"/>
        <v>0</v>
      </c>
    </row>
    <row r="34" spans="1:13" ht="13.15" customHeight="1">
      <c r="A34" s="2">
        <v>30</v>
      </c>
      <c r="B34" s="4" t="s">
        <v>70</v>
      </c>
      <c r="C34" s="2" t="s">
        <v>9</v>
      </c>
      <c r="D34" s="2"/>
      <c r="E34" s="5">
        <v>0</v>
      </c>
      <c r="F34" s="6">
        <f t="shared" si="1"/>
        <v>0</v>
      </c>
      <c r="G34" s="2">
        <v>68</v>
      </c>
      <c r="H34" s="4"/>
      <c r="I34" s="2" t="s">
        <v>9</v>
      </c>
      <c r="J34" s="4"/>
      <c r="K34" s="2"/>
      <c r="L34" s="6">
        <f t="shared" si="0"/>
        <v>0</v>
      </c>
      <c r="M34" s="10"/>
    </row>
    <row r="35" spans="1:13" ht="13.15" customHeight="1">
      <c r="A35" s="2">
        <v>31</v>
      </c>
      <c r="B35" s="4" t="s">
        <v>72</v>
      </c>
      <c r="C35" s="2" t="s">
        <v>9</v>
      </c>
      <c r="D35" s="2"/>
      <c r="E35" s="5">
        <v>6.5</v>
      </c>
      <c r="F35" s="7">
        <f t="shared" si="1"/>
        <v>0</v>
      </c>
      <c r="G35" s="2">
        <v>69</v>
      </c>
      <c r="H35" s="4"/>
      <c r="I35" s="2" t="s">
        <v>9</v>
      </c>
      <c r="J35" s="4"/>
      <c r="K35" s="2"/>
      <c r="L35" s="6">
        <f t="shared" si="0"/>
        <v>0</v>
      </c>
    </row>
    <row r="36" spans="1:13" ht="13.15" customHeight="1">
      <c r="A36" s="2">
        <v>32</v>
      </c>
      <c r="B36" s="4" t="s">
        <v>74</v>
      </c>
      <c r="C36" s="2" t="s">
        <v>9</v>
      </c>
      <c r="D36" s="2"/>
      <c r="E36" s="2">
        <v>0</v>
      </c>
      <c r="F36" s="7">
        <f t="shared" si="1"/>
        <v>0</v>
      </c>
      <c r="G36" s="2">
        <v>70</v>
      </c>
      <c r="H36" s="4"/>
      <c r="I36" s="2" t="s">
        <v>9</v>
      </c>
      <c r="J36" s="4"/>
      <c r="K36" s="2"/>
      <c r="L36" s="6">
        <f t="shared" si="0"/>
        <v>0</v>
      </c>
    </row>
    <row r="37" spans="1:13" ht="13.15" customHeight="1">
      <c r="A37" s="2">
        <v>33</v>
      </c>
      <c r="B37" s="4" t="s">
        <v>76</v>
      </c>
      <c r="C37" s="2" t="s">
        <v>9</v>
      </c>
      <c r="D37" s="2"/>
      <c r="E37" s="2">
        <v>0</v>
      </c>
      <c r="F37" s="7">
        <f t="shared" si="1"/>
        <v>0</v>
      </c>
      <c r="G37" s="2">
        <v>71</v>
      </c>
      <c r="H37" s="4"/>
      <c r="I37" s="2" t="s">
        <v>9</v>
      </c>
      <c r="J37" s="4"/>
      <c r="K37" s="2"/>
      <c r="L37" s="6">
        <f t="shared" si="0"/>
        <v>0</v>
      </c>
      <c r="M37" s="11"/>
    </row>
    <row r="38" spans="1:13" ht="13.15" customHeight="1">
      <c r="A38" s="2">
        <v>34</v>
      </c>
      <c r="B38" s="4" t="s">
        <v>78</v>
      </c>
      <c r="C38" s="2" t="s">
        <v>9</v>
      </c>
      <c r="D38" s="2"/>
      <c r="E38" s="2">
        <v>0</v>
      </c>
      <c r="F38" s="7">
        <f t="shared" si="1"/>
        <v>0</v>
      </c>
      <c r="G38" s="2">
        <v>72</v>
      </c>
      <c r="H38" s="4"/>
      <c r="I38" s="2" t="s">
        <v>9</v>
      </c>
      <c r="J38" s="4"/>
      <c r="K38" s="2"/>
      <c r="L38" s="6">
        <f t="shared" si="0"/>
        <v>0</v>
      </c>
    </row>
    <row r="39" spans="1:13" ht="13.15" customHeight="1">
      <c r="A39" s="2">
        <v>35</v>
      </c>
      <c r="B39" s="4" t="s">
        <v>80</v>
      </c>
      <c r="C39" s="2" t="s">
        <v>9</v>
      </c>
      <c r="D39" s="2"/>
      <c r="E39" s="2">
        <v>0</v>
      </c>
      <c r="F39" s="7">
        <f t="shared" si="1"/>
        <v>0</v>
      </c>
      <c r="G39" s="2">
        <v>73</v>
      </c>
      <c r="H39" s="4"/>
      <c r="I39" s="2" t="s">
        <v>9</v>
      </c>
      <c r="J39" s="4"/>
      <c r="K39" s="2"/>
      <c r="L39" s="6">
        <f t="shared" si="0"/>
        <v>0</v>
      </c>
    </row>
    <row r="40" spans="1:13" ht="13.15" customHeight="1">
      <c r="I40" s="33" t="s">
        <v>82</v>
      </c>
      <c r="J40" s="34"/>
      <c r="K40" s="34"/>
      <c r="L40" s="23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69</v>
      </c>
    </row>
    <row r="42" spans="1:13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>
  <dimension ref="A1:M42"/>
  <sheetViews>
    <sheetView workbookViewId="0">
      <selection activeCell="D10" sqref="D10"/>
    </sheetView>
  </sheetViews>
  <sheetFormatPr defaultRowHeight="13.15" customHeight="1"/>
  <cols>
    <col min="1" max="1" width="4.7109375" style="17" customWidth="1"/>
    <col min="2" max="2" width="28.28515625" customWidth="1"/>
    <col min="3" max="3" width="6" bestFit="1" customWidth="1"/>
    <col min="4" max="4" width="5.85546875" bestFit="1" customWidth="1"/>
    <col min="5" max="5" width="8.28515625" customWidth="1"/>
    <col min="7" max="7" width="4.85546875" style="17" customWidth="1"/>
    <col min="8" max="8" width="23.28515625" customWidth="1"/>
    <col min="9" max="9" width="6.85546875" customWidth="1"/>
    <col min="10" max="10" width="6.7109375" customWidth="1"/>
    <col min="11" max="11" width="8.42578125" customWidth="1"/>
  </cols>
  <sheetData>
    <row r="1" spans="1:12" ht="13.15" customHeight="1">
      <c r="A1" s="30"/>
      <c r="B1" s="30"/>
      <c r="C1" s="30"/>
      <c r="D1" s="30" t="s">
        <v>260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 t="s">
        <v>236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1.45</v>
      </c>
      <c r="L2" s="6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0</v>
      </c>
      <c r="L3" s="6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2.5499999999999998</v>
      </c>
      <c r="L4" s="6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0</v>
      </c>
      <c r="F5" s="7">
        <f>D5*E5</f>
        <v>0</v>
      </c>
      <c r="G5" s="2">
        <v>39</v>
      </c>
      <c r="H5" s="4" t="s">
        <v>13</v>
      </c>
      <c r="I5" s="2" t="s">
        <v>9</v>
      </c>
      <c r="J5" s="2"/>
      <c r="K5" s="5">
        <v>2.1</v>
      </c>
      <c r="L5" s="6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</v>
      </c>
      <c r="F6" s="7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8.8000000000000007</v>
      </c>
      <c r="L6" s="6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0</v>
      </c>
      <c r="F7" s="7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0</v>
      </c>
      <c r="L7" s="6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7.85</v>
      </c>
      <c r="F8" s="7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2.5499999999999998</v>
      </c>
      <c r="L8" s="6">
        <f t="shared" si="0"/>
        <v>0</v>
      </c>
    </row>
    <row r="9" spans="1:12" ht="13.15" customHeight="1">
      <c r="A9" s="2">
        <v>5</v>
      </c>
      <c r="B9" s="9" t="s">
        <v>20</v>
      </c>
      <c r="C9" s="8" t="s">
        <v>9</v>
      </c>
      <c r="D9" s="8">
        <v>12</v>
      </c>
      <c r="E9" s="26">
        <v>5.75</v>
      </c>
      <c r="F9" s="27">
        <f t="shared" si="1"/>
        <v>69</v>
      </c>
      <c r="G9" s="2">
        <v>43</v>
      </c>
      <c r="H9" s="4" t="s">
        <v>21</v>
      </c>
      <c r="I9" s="2" t="s">
        <v>9</v>
      </c>
      <c r="J9" s="2"/>
      <c r="K9" s="5">
        <v>0</v>
      </c>
      <c r="L9" s="6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0</v>
      </c>
      <c r="F10" s="7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1.1499999999999999</v>
      </c>
      <c r="L10" s="6">
        <f t="shared" si="0"/>
        <v>0</v>
      </c>
    </row>
    <row r="11" spans="1:12" ht="13.15" customHeight="1">
      <c r="A11" s="2">
        <v>7</v>
      </c>
      <c r="B11" s="4" t="s">
        <v>125</v>
      </c>
      <c r="C11" s="2" t="s">
        <v>9</v>
      </c>
      <c r="D11" s="2"/>
      <c r="E11" s="5">
        <v>6.9</v>
      </c>
      <c r="F11" s="7">
        <f t="shared" si="1"/>
        <v>0</v>
      </c>
      <c r="G11" s="2">
        <v>45</v>
      </c>
      <c r="H11" s="4" t="s">
        <v>238</v>
      </c>
      <c r="I11" s="2" t="s">
        <v>9</v>
      </c>
      <c r="J11" s="2"/>
      <c r="K11" s="5">
        <v>0</v>
      </c>
      <c r="L11" s="6">
        <f t="shared" si="0"/>
        <v>0</v>
      </c>
    </row>
    <row r="12" spans="1:12" ht="13.15" customHeight="1">
      <c r="A12" s="2">
        <v>8</v>
      </c>
      <c r="B12" s="4" t="s">
        <v>239</v>
      </c>
      <c r="C12" s="2" t="s">
        <v>9</v>
      </c>
      <c r="D12" s="2"/>
      <c r="E12" s="5">
        <v>0</v>
      </c>
      <c r="F12" s="7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0</v>
      </c>
      <c r="L12" s="6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0</v>
      </c>
      <c r="F13" s="7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0</v>
      </c>
      <c r="L13" s="6">
        <f t="shared" si="0"/>
        <v>0</v>
      </c>
    </row>
    <row r="14" spans="1:12" ht="13.15" customHeight="1">
      <c r="A14" s="2">
        <v>3</v>
      </c>
      <c r="B14" s="4" t="s">
        <v>30</v>
      </c>
      <c r="C14" s="2" t="s">
        <v>9</v>
      </c>
      <c r="D14" s="2"/>
      <c r="E14" s="5">
        <v>0</v>
      </c>
      <c r="F14" s="7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0</v>
      </c>
      <c r="L14" s="6">
        <f t="shared" si="0"/>
        <v>0</v>
      </c>
    </row>
    <row r="15" spans="1:12" ht="13.15" customHeight="1">
      <c r="A15" s="2">
        <v>11</v>
      </c>
      <c r="B15" s="9" t="s">
        <v>32</v>
      </c>
      <c r="C15" s="8" t="s">
        <v>9</v>
      </c>
      <c r="D15" s="8"/>
      <c r="E15" s="26">
        <v>6.5</v>
      </c>
      <c r="F15" s="27">
        <f t="shared" si="1"/>
        <v>0</v>
      </c>
      <c r="G15" s="2">
        <v>49</v>
      </c>
      <c r="H15" s="4" t="s">
        <v>240</v>
      </c>
      <c r="I15" s="2" t="s">
        <v>9</v>
      </c>
      <c r="J15" s="2"/>
      <c r="K15" s="5">
        <v>9.1</v>
      </c>
      <c r="L15" s="6">
        <f t="shared" si="0"/>
        <v>0</v>
      </c>
    </row>
    <row r="16" spans="1:12" ht="13.15" customHeight="1">
      <c r="A16" s="2">
        <v>12</v>
      </c>
      <c r="B16" s="9" t="s">
        <v>241</v>
      </c>
      <c r="C16" s="8" t="s">
        <v>9</v>
      </c>
      <c r="D16" s="8"/>
      <c r="E16" s="26">
        <v>6.5</v>
      </c>
      <c r="F16" s="27">
        <f t="shared" si="1"/>
        <v>0</v>
      </c>
      <c r="G16" s="2">
        <v>50</v>
      </c>
      <c r="H16" s="4" t="s">
        <v>92</v>
      </c>
      <c r="I16" s="2" t="s">
        <v>9</v>
      </c>
      <c r="J16" s="2"/>
      <c r="K16" s="5">
        <v>7.45</v>
      </c>
      <c r="L16" s="6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0</v>
      </c>
      <c r="F17" s="7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0</v>
      </c>
      <c r="L17" s="6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0</v>
      </c>
      <c r="F18" s="7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3.2</v>
      </c>
      <c r="L18" s="6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6.2</v>
      </c>
      <c r="F19" s="7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0</v>
      </c>
      <c r="L19" s="6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0</v>
      </c>
      <c r="F20" s="7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0</v>
      </c>
      <c r="L20" s="6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0</v>
      </c>
      <c r="F21" s="7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0</v>
      </c>
      <c r="L21" s="6">
        <f t="shared" si="0"/>
        <v>0</v>
      </c>
    </row>
    <row r="22" spans="1:12" ht="13.15" customHeight="1">
      <c r="A22" s="2">
        <v>18</v>
      </c>
      <c r="B22" s="9" t="s">
        <v>46</v>
      </c>
      <c r="C22" s="8" t="s">
        <v>9</v>
      </c>
      <c r="D22" s="8"/>
      <c r="E22" s="26">
        <v>7</v>
      </c>
      <c r="F22" s="27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20.65</v>
      </c>
      <c r="L22" s="6">
        <f t="shared" si="0"/>
        <v>0</v>
      </c>
    </row>
    <row r="23" spans="1:12" ht="13.15" customHeight="1">
      <c r="A23" s="2">
        <v>19</v>
      </c>
      <c r="B23" s="9" t="s">
        <v>48</v>
      </c>
      <c r="C23" s="8" t="s">
        <v>9</v>
      </c>
      <c r="D23" s="8"/>
      <c r="E23" s="26">
        <v>7.75</v>
      </c>
      <c r="F23" s="27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14</v>
      </c>
      <c r="L23" s="6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0</v>
      </c>
      <c r="F24" s="7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0</v>
      </c>
      <c r="L24" s="6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7.9</v>
      </c>
      <c r="F25" s="7">
        <f t="shared" si="1"/>
        <v>0</v>
      </c>
      <c r="G25" s="2">
        <v>59</v>
      </c>
      <c r="H25" s="4" t="s">
        <v>243</v>
      </c>
      <c r="I25" s="2" t="s">
        <v>9</v>
      </c>
      <c r="J25" s="4"/>
      <c r="K25" s="2">
        <v>0</v>
      </c>
      <c r="L25" s="6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0</v>
      </c>
      <c r="F26" s="7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0</v>
      </c>
      <c r="L26" s="6">
        <f t="shared" si="0"/>
        <v>0</v>
      </c>
    </row>
    <row r="27" spans="1:12" ht="13.15" customHeight="1">
      <c r="A27" s="2">
        <v>23</v>
      </c>
      <c r="B27" s="9" t="s">
        <v>56</v>
      </c>
      <c r="C27" s="8" t="s">
        <v>9</v>
      </c>
      <c r="D27" s="8"/>
      <c r="E27" s="26">
        <v>5.75</v>
      </c>
      <c r="F27" s="27">
        <f t="shared" si="1"/>
        <v>0</v>
      </c>
      <c r="G27" s="2">
        <v>61</v>
      </c>
      <c r="H27" s="4" t="s">
        <v>244</v>
      </c>
      <c r="I27" s="2" t="s">
        <v>9</v>
      </c>
      <c r="J27" s="4"/>
      <c r="K27" s="2">
        <v>3.7</v>
      </c>
      <c r="L27" s="6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0</v>
      </c>
      <c r="F28" s="7">
        <f t="shared" si="1"/>
        <v>0</v>
      </c>
      <c r="G28" s="2">
        <v>62</v>
      </c>
      <c r="H28" s="4" t="s">
        <v>245</v>
      </c>
      <c r="I28" s="2" t="s">
        <v>9</v>
      </c>
      <c r="J28" s="4"/>
      <c r="K28" s="2">
        <v>7.35</v>
      </c>
      <c r="L28" s="6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6.7</v>
      </c>
      <c r="F29" s="7">
        <f t="shared" si="1"/>
        <v>0</v>
      </c>
      <c r="G29" s="2">
        <v>63</v>
      </c>
      <c r="H29" s="4" t="s">
        <v>63</v>
      </c>
      <c r="I29" s="2" t="s">
        <v>9</v>
      </c>
      <c r="J29" s="4"/>
      <c r="K29" s="2">
        <v>7.65</v>
      </c>
      <c r="L29" s="6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0</v>
      </c>
      <c r="F30" s="6">
        <f t="shared" si="1"/>
        <v>0</v>
      </c>
      <c r="G30" s="2">
        <v>64</v>
      </c>
      <c r="H30" s="4" t="s">
        <v>25</v>
      </c>
      <c r="I30" s="2" t="s">
        <v>9</v>
      </c>
      <c r="J30" s="4"/>
      <c r="K30" s="2">
        <v>4.2</v>
      </c>
      <c r="L30" s="6">
        <f t="shared" si="0"/>
        <v>0</v>
      </c>
    </row>
    <row r="31" spans="1:12" ht="13.15" customHeight="1">
      <c r="A31" s="2">
        <v>27</v>
      </c>
      <c r="B31" s="9" t="s">
        <v>102</v>
      </c>
      <c r="C31" s="8" t="s">
        <v>9</v>
      </c>
      <c r="D31" s="8"/>
      <c r="E31" s="26">
        <v>7</v>
      </c>
      <c r="F31" s="28">
        <f t="shared" si="1"/>
        <v>0</v>
      </c>
      <c r="G31" s="2">
        <v>65</v>
      </c>
      <c r="H31" s="4" t="s">
        <v>261</v>
      </c>
      <c r="I31" s="2" t="s">
        <v>9</v>
      </c>
      <c r="J31" s="4"/>
      <c r="K31" s="2">
        <v>2.4</v>
      </c>
      <c r="L31" s="6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8.25</v>
      </c>
      <c r="F32" s="7">
        <f t="shared" si="1"/>
        <v>0</v>
      </c>
      <c r="G32" s="2">
        <v>66</v>
      </c>
      <c r="H32" s="4"/>
      <c r="I32" s="2" t="s">
        <v>9</v>
      </c>
      <c r="J32" s="4"/>
      <c r="K32" s="2"/>
      <c r="L32" s="6">
        <f t="shared" si="0"/>
        <v>0</v>
      </c>
    </row>
    <row r="33" spans="1:13" ht="13.15" customHeight="1">
      <c r="A33" s="2">
        <v>29</v>
      </c>
      <c r="B33" s="4" t="s">
        <v>68</v>
      </c>
      <c r="C33" s="2" t="s">
        <v>9</v>
      </c>
      <c r="D33" s="2"/>
      <c r="E33" s="5">
        <v>6.4</v>
      </c>
      <c r="F33" s="6">
        <f t="shared" si="1"/>
        <v>0</v>
      </c>
      <c r="G33" s="2">
        <v>67</v>
      </c>
      <c r="H33" s="4"/>
      <c r="I33" s="2" t="s">
        <v>9</v>
      </c>
      <c r="J33" s="4"/>
      <c r="K33" s="2"/>
      <c r="L33" s="6">
        <f t="shared" si="0"/>
        <v>0</v>
      </c>
    </row>
    <row r="34" spans="1:13" ht="13.15" customHeight="1">
      <c r="A34" s="2">
        <v>30</v>
      </c>
      <c r="B34" s="4" t="s">
        <v>70</v>
      </c>
      <c r="C34" s="2" t="s">
        <v>9</v>
      </c>
      <c r="D34" s="2"/>
      <c r="E34" s="5">
        <v>0</v>
      </c>
      <c r="F34" s="6">
        <f t="shared" si="1"/>
        <v>0</v>
      </c>
      <c r="G34" s="2">
        <v>68</v>
      </c>
      <c r="H34" s="4"/>
      <c r="I34" s="2" t="s">
        <v>9</v>
      </c>
      <c r="J34" s="4"/>
      <c r="K34" s="2"/>
      <c r="L34" s="6">
        <f t="shared" si="0"/>
        <v>0</v>
      </c>
      <c r="M34" s="10"/>
    </row>
    <row r="35" spans="1:13" ht="13.15" customHeight="1">
      <c r="A35" s="2">
        <v>31</v>
      </c>
      <c r="B35" s="4" t="s">
        <v>72</v>
      </c>
      <c r="C35" s="2" t="s">
        <v>9</v>
      </c>
      <c r="D35" s="2"/>
      <c r="E35" s="5">
        <v>6.5</v>
      </c>
      <c r="F35" s="7">
        <f t="shared" si="1"/>
        <v>0</v>
      </c>
      <c r="G35" s="2">
        <v>69</v>
      </c>
      <c r="H35" s="4"/>
      <c r="I35" s="2" t="s">
        <v>9</v>
      </c>
      <c r="J35" s="4"/>
      <c r="K35" s="2"/>
      <c r="L35" s="6">
        <f t="shared" si="0"/>
        <v>0</v>
      </c>
    </row>
    <row r="36" spans="1:13" ht="13.15" customHeight="1">
      <c r="A36" s="2">
        <v>32</v>
      </c>
      <c r="B36" s="4" t="s">
        <v>74</v>
      </c>
      <c r="C36" s="2" t="s">
        <v>9</v>
      </c>
      <c r="D36" s="2"/>
      <c r="E36" s="2">
        <v>0</v>
      </c>
      <c r="F36" s="7">
        <f t="shared" si="1"/>
        <v>0</v>
      </c>
      <c r="G36" s="2">
        <v>70</v>
      </c>
      <c r="H36" s="4"/>
      <c r="I36" s="2" t="s">
        <v>9</v>
      </c>
      <c r="J36" s="4"/>
      <c r="K36" s="2"/>
      <c r="L36" s="6">
        <f t="shared" si="0"/>
        <v>0</v>
      </c>
    </row>
    <row r="37" spans="1:13" ht="13.15" customHeight="1">
      <c r="A37" s="2">
        <v>33</v>
      </c>
      <c r="B37" s="4" t="s">
        <v>76</v>
      </c>
      <c r="C37" s="2" t="s">
        <v>9</v>
      </c>
      <c r="D37" s="2"/>
      <c r="E37" s="2">
        <v>0</v>
      </c>
      <c r="F37" s="7">
        <f t="shared" si="1"/>
        <v>0</v>
      </c>
      <c r="G37" s="2">
        <v>71</v>
      </c>
      <c r="H37" s="4"/>
      <c r="I37" s="2" t="s">
        <v>9</v>
      </c>
      <c r="J37" s="4"/>
      <c r="K37" s="2"/>
      <c r="L37" s="6">
        <f t="shared" si="0"/>
        <v>0</v>
      </c>
      <c r="M37" s="11"/>
    </row>
    <row r="38" spans="1:13" ht="13.15" customHeight="1">
      <c r="A38" s="2">
        <v>34</v>
      </c>
      <c r="B38" s="4" t="s">
        <v>78</v>
      </c>
      <c r="C38" s="2" t="s">
        <v>9</v>
      </c>
      <c r="D38" s="2"/>
      <c r="E38" s="2">
        <v>0</v>
      </c>
      <c r="F38" s="7">
        <f t="shared" si="1"/>
        <v>0</v>
      </c>
      <c r="G38" s="2">
        <v>72</v>
      </c>
      <c r="H38" s="4"/>
      <c r="I38" s="2" t="s">
        <v>9</v>
      </c>
      <c r="J38" s="4"/>
      <c r="K38" s="2"/>
      <c r="L38" s="6">
        <f t="shared" si="0"/>
        <v>0</v>
      </c>
    </row>
    <row r="39" spans="1:13" ht="13.15" customHeight="1">
      <c r="A39" s="2">
        <v>35</v>
      </c>
      <c r="B39" s="4" t="s">
        <v>80</v>
      </c>
      <c r="C39" s="2" t="s">
        <v>9</v>
      </c>
      <c r="D39" s="2"/>
      <c r="E39" s="2">
        <v>0</v>
      </c>
      <c r="F39" s="7">
        <f t="shared" si="1"/>
        <v>0</v>
      </c>
      <c r="G39" s="2">
        <v>73</v>
      </c>
      <c r="H39" s="4"/>
      <c r="I39" s="2" t="s">
        <v>9</v>
      </c>
      <c r="J39" s="4"/>
      <c r="K39" s="2"/>
      <c r="L39" s="6">
        <f t="shared" si="0"/>
        <v>0</v>
      </c>
    </row>
    <row r="40" spans="1:13" ht="13.15" customHeight="1">
      <c r="I40" s="33" t="s">
        <v>82</v>
      </c>
      <c r="J40" s="34"/>
      <c r="K40" s="34"/>
      <c r="L40" s="23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69</v>
      </c>
    </row>
    <row r="42" spans="1:13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>
  <dimension ref="A1:M42"/>
  <sheetViews>
    <sheetView workbookViewId="0">
      <selection activeCell="D10" sqref="D10"/>
    </sheetView>
  </sheetViews>
  <sheetFormatPr defaultRowHeight="13.15" customHeight="1"/>
  <cols>
    <col min="1" max="1" width="4.7109375" style="17" customWidth="1"/>
    <col min="2" max="2" width="28.28515625" customWidth="1"/>
    <col min="3" max="3" width="6" bestFit="1" customWidth="1"/>
    <col min="4" max="4" width="5.85546875" bestFit="1" customWidth="1"/>
    <col min="5" max="5" width="8.28515625" customWidth="1"/>
    <col min="7" max="7" width="4.85546875" style="17" customWidth="1"/>
    <col min="8" max="8" width="23.28515625" customWidth="1"/>
    <col min="9" max="9" width="6.85546875" customWidth="1"/>
    <col min="10" max="10" width="6.7109375" customWidth="1"/>
    <col min="11" max="11" width="8.42578125" customWidth="1"/>
  </cols>
  <sheetData>
    <row r="1" spans="1:12" ht="13.15" customHeight="1">
      <c r="A1" s="30"/>
      <c r="B1" s="30"/>
      <c r="C1" s="30"/>
      <c r="D1" s="30" t="s">
        <v>260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 t="s">
        <v>236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1.45</v>
      </c>
      <c r="L2" s="6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0</v>
      </c>
      <c r="L3" s="6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2.5499999999999998</v>
      </c>
      <c r="L4" s="6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0</v>
      </c>
      <c r="F5" s="7">
        <f>D5*E5</f>
        <v>0</v>
      </c>
      <c r="G5" s="2">
        <v>39</v>
      </c>
      <c r="H5" s="4" t="s">
        <v>13</v>
      </c>
      <c r="I5" s="2" t="s">
        <v>9</v>
      </c>
      <c r="J5" s="2"/>
      <c r="K5" s="5">
        <v>2.1</v>
      </c>
      <c r="L5" s="6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</v>
      </c>
      <c r="F6" s="7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8.8000000000000007</v>
      </c>
      <c r="L6" s="6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0</v>
      </c>
      <c r="F7" s="7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0</v>
      </c>
      <c r="L7" s="6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7.85</v>
      </c>
      <c r="F8" s="7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2.5499999999999998</v>
      </c>
      <c r="L8" s="6">
        <f t="shared" si="0"/>
        <v>0</v>
      </c>
    </row>
    <row r="9" spans="1:12" ht="13.15" customHeight="1">
      <c r="A9" s="2">
        <v>5</v>
      </c>
      <c r="B9" s="9" t="s">
        <v>20</v>
      </c>
      <c r="C9" s="8" t="s">
        <v>9</v>
      </c>
      <c r="D9" s="8">
        <v>12</v>
      </c>
      <c r="E9" s="26">
        <v>5.75</v>
      </c>
      <c r="F9" s="27">
        <f t="shared" si="1"/>
        <v>69</v>
      </c>
      <c r="G9" s="2">
        <v>43</v>
      </c>
      <c r="H9" s="4" t="s">
        <v>21</v>
      </c>
      <c r="I9" s="2" t="s">
        <v>9</v>
      </c>
      <c r="J9" s="2"/>
      <c r="K9" s="5">
        <v>0</v>
      </c>
      <c r="L9" s="6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0</v>
      </c>
      <c r="F10" s="7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1.1499999999999999</v>
      </c>
      <c r="L10" s="6">
        <f t="shared" si="0"/>
        <v>0</v>
      </c>
    </row>
    <row r="11" spans="1:12" ht="13.15" customHeight="1">
      <c r="A11" s="2">
        <v>7</v>
      </c>
      <c r="B11" s="4" t="s">
        <v>125</v>
      </c>
      <c r="C11" s="2" t="s">
        <v>9</v>
      </c>
      <c r="D11" s="2"/>
      <c r="E11" s="5">
        <v>6.9</v>
      </c>
      <c r="F11" s="7">
        <f t="shared" si="1"/>
        <v>0</v>
      </c>
      <c r="G11" s="2">
        <v>45</v>
      </c>
      <c r="H11" s="4" t="s">
        <v>238</v>
      </c>
      <c r="I11" s="2" t="s">
        <v>9</v>
      </c>
      <c r="J11" s="2"/>
      <c r="K11" s="5">
        <v>0</v>
      </c>
      <c r="L11" s="6">
        <f t="shared" si="0"/>
        <v>0</v>
      </c>
    </row>
    <row r="12" spans="1:12" ht="13.15" customHeight="1">
      <c r="A12" s="2">
        <v>8</v>
      </c>
      <c r="B12" s="4" t="s">
        <v>239</v>
      </c>
      <c r="C12" s="2" t="s">
        <v>9</v>
      </c>
      <c r="D12" s="2"/>
      <c r="E12" s="5">
        <v>0</v>
      </c>
      <c r="F12" s="7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0</v>
      </c>
      <c r="L12" s="6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0</v>
      </c>
      <c r="F13" s="7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0</v>
      </c>
      <c r="L13" s="6">
        <f t="shared" si="0"/>
        <v>0</v>
      </c>
    </row>
    <row r="14" spans="1:12" ht="13.15" customHeight="1">
      <c r="A14" s="2">
        <v>3</v>
      </c>
      <c r="B14" s="4" t="s">
        <v>30</v>
      </c>
      <c r="C14" s="2" t="s">
        <v>9</v>
      </c>
      <c r="D14" s="2"/>
      <c r="E14" s="5">
        <v>0</v>
      </c>
      <c r="F14" s="7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0</v>
      </c>
      <c r="L14" s="6">
        <f t="shared" si="0"/>
        <v>0</v>
      </c>
    </row>
    <row r="15" spans="1:12" ht="13.15" customHeight="1">
      <c r="A15" s="2">
        <v>11</v>
      </c>
      <c r="B15" s="9" t="s">
        <v>32</v>
      </c>
      <c r="C15" s="8" t="s">
        <v>9</v>
      </c>
      <c r="D15" s="8"/>
      <c r="E15" s="26">
        <v>6.5</v>
      </c>
      <c r="F15" s="27">
        <f t="shared" si="1"/>
        <v>0</v>
      </c>
      <c r="G15" s="2">
        <v>49</v>
      </c>
      <c r="H15" s="4" t="s">
        <v>240</v>
      </c>
      <c r="I15" s="2" t="s">
        <v>9</v>
      </c>
      <c r="J15" s="2"/>
      <c r="K15" s="5">
        <v>9.1</v>
      </c>
      <c r="L15" s="6">
        <f t="shared" si="0"/>
        <v>0</v>
      </c>
    </row>
    <row r="16" spans="1:12" ht="13.15" customHeight="1">
      <c r="A16" s="2">
        <v>12</v>
      </c>
      <c r="B16" s="9" t="s">
        <v>241</v>
      </c>
      <c r="C16" s="8" t="s">
        <v>9</v>
      </c>
      <c r="D16" s="8"/>
      <c r="E16" s="26">
        <v>6.5</v>
      </c>
      <c r="F16" s="27">
        <f t="shared" si="1"/>
        <v>0</v>
      </c>
      <c r="G16" s="2">
        <v>50</v>
      </c>
      <c r="H16" s="4" t="s">
        <v>92</v>
      </c>
      <c r="I16" s="2" t="s">
        <v>9</v>
      </c>
      <c r="J16" s="2"/>
      <c r="K16" s="5">
        <v>7.45</v>
      </c>
      <c r="L16" s="6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0</v>
      </c>
      <c r="F17" s="7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0</v>
      </c>
      <c r="L17" s="6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0</v>
      </c>
      <c r="F18" s="7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3.2</v>
      </c>
      <c r="L18" s="6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6.2</v>
      </c>
      <c r="F19" s="7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0</v>
      </c>
      <c r="L19" s="6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0</v>
      </c>
      <c r="F20" s="7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0</v>
      </c>
      <c r="L20" s="6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0</v>
      </c>
      <c r="F21" s="7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0</v>
      </c>
      <c r="L21" s="6">
        <f t="shared" si="0"/>
        <v>0</v>
      </c>
    </row>
    <row r="22" spans="1:12" ht="13.15" customHeight="1">
      <c r="A22" s="2">
        <v>18</v>
      </c>
      <c r="B22" s="9" t="s">
        <v>46</v>
      </c>
      <c r="C22" s="8" t="s">
        <v>9</v>
      </c>
      <c r="D22" s="8"/>
      <c r="E22" s="26">
        <v>7</v>
      </c>
      <c r="F22" s="27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20.65</v>
      </c>
      <c r="L22" s="6">
        <f t="shared" si="0"/>
        <v>0</v>
      </c>
    </row>
    <row r="23" spans="1:12" ht="13.15" customHeight="1">
      <c r="A23" s="2">
        <v>19</v>
      </c>
      <c r="B23" s="9" t="s">
        <v>48</v>
      </c>
      <c r="C23" s="8" t="s">
        <v>9</v>
      </c>
      <c r="D23" s="8"/>
      <c r="E23" s="26">
        <v>7.75</v>
      </c>
      <c r="F23" s="27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14</v>
      </c>
      <c r="L23" s="6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0</v>
      </c>
      <c r="F24" s="7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0</v>
      </c>
      <c r="L24" s="6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7.9</v>
      </c>
      <c r="F25" s="7">
        <f t="shared" si="1"/>
        <v>0</v>
      </c>
      <c r="G25" s="2">
        <v>59</v>
      </c>
      <c r="H25" s="4" t="s">
        <v>243</v>
      </c>
      <c r="I25" s="2" t="s">
        <v>9</v>
      </c>
      <c r="J25" s="4"/>
      <c r="K25" s="2">
        <v>0</v>
      </c>
      <c r="L25" s="6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0</v>
      </c>
      <c r="F26" s="7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0</v>
      </c>
      <c r="L26" s="6">
        <f t="shared" si="0"/>
        <v>0</v>
      </c>
    </row>
    <row r="27" spans="1:12" ht="13.15" customHeight="1">
      <c r="A27" s="2">
        <v>23</v>
      </c>
      <c r="B27" s="9" t="s">
        <v>56</v>
      </c>
      <c r="C27" s="8" t="s">
        <v>9</v>
      </c>
      <c r="D27" s="8"/>
      <c r="E27" s="26">
        <v>5.75</v>
      </c>
      <c r="F27" s="27">
        <f t="shared" si="1"/>
        <v>0</v>
      </c>
      <c r="G27" s="2">
        <v>61</v>
      </c>
      <c r="H27" s="4" t="s">
        <v>244</v>
      </c>
      <c r="I27" s="2" t="s">
        <v>9</v>
      </c>
      <c r="J27" s="4"/>
      <c r="K27" s="2">
        <v>3.7</v>
      </c>
      <c r="L27" s="6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0</v>
      </c>
      <c r="F28" s="7">
        <f t="shared" si="1"/>
        <v>0</v>
      </c>
      <c r="G28" s="2">
        <v>62</v>
      </c>
      <c r="H28" s="4" t="s">
        <v>245</v>
      </c>
      <c r="I28" s="2" t="s">
        <v>9</v>
      </c>
      <c r="J28" s="4"/>
      <c r="K28" s="2">
        <v>7.35</v>
      </c>
      <c r="L28" s="6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6.7</v>
      </c>
      <c r="F29" s="7">
        <f t="shared" si="1"/>
        <v>0</v>
      </c>
      <c r="G29" s="2">
        <v>63</v>
      </c>
      <c r="H29" s="4" t="s">
        <v>63</v>
      </c>
      <c r="I29" s="2" t="s">
        <v>9</v>
      </c>
      <c r="J29" s="4"/>
      <c r="K29" s="2">
        <v>7.65</v>
      </c>
      <c r="L29" s="6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0</v>
      </c>
      <c r="F30" s="6">
        <f t="shared" si="1"/>
        <v>0</v>
      </c>
      <c r="G30" s="2">
        <v>64</v>
      </c>
      <c r="H30" s="4" t="s">
        <v>25</v>
      </c>
      <c r="I30" s="2" t="s">
        <v>9</v>
      </c>
      <c r="J30" s="4"/>
      <c r="K30" s="2">
        <v>4.2</v>
      </c>
      <c r="L30" s="6">
        <f t="shared" si="0"/>
        <v>0</v>
      </c>
    </row>
    <row r="31" spans="1:12" ht="13.15" customHeight="1">
      <c r="A31" s="2">
        <v>27</v>
      </c>
      <c r="B31" s="9" t="s">
        <v>102</v>
      </c>
      <c r="C31" s="8" t="s">
        <v>9</v>
      </c>
      <c r="D31" s="8"/>
      <c r="E31" s="26">
        <v>7</v>
      </c>
      <c r="F31" s="28">
        <f t="shared" si="1"/>
        <v>0</v>
      </c>
      <c r="G31" s="2">
        <v>65</v>
      </c>
      <c r="H31" s="4" t="s">
        <v>261</v>
      </c>
      <c r="I31" s="2" t="s">
        <v>9</v>
      </c>
      <c r="J31" s="4"/>
      <c r="K31" s="2">
        <v>2.4</v>
      </c>
      <c r="L31" s="6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8.25</v>
      </c>
      <c r="F32" s="7">
        <f t="shared" si="1"/>
        <v>0</v>
      </c>
      <c r="G32" s="2">
        <v>66</v>
      </c>
      <c r="H32" s="4"/>
      <c r="I32" s="2" t="s">
        <v>9</v>
      </c>
      <c r="J32" s="4"/>
      <c r="K32" s="2"/>
      <c r="L32" s="6">
        <f t="shared" si="0"/>
        <v>0</v>
      </c>
    </row>
    <row r="33" spans="1:13" ht="13.15" customHeight="1">
      <c r="A33" s="2">
        <v>29</v>
      </c>
      <c r="B33" s="4" t="s">
        <v>68</v>
      </c>
      <c r="C33" s="2" t="s">
        <v>9</v>
      </c>
      <c r="D33" s="2"/>
      <c r="E33" s="5">
        <v>6.4</v>
      </c>
      <c r="F33" s="6">
        <f t="shared" si="1"/>
        <v>0</v>
      </c>
      <c r="G33" s="2">
        <v>67</v>
      </c>
      <c r="H33" s="4"/>
      <c r="I33" s="2" t="s">
        <v>9</v>
      </c>
      <c r="J33" s="4"/>
      <c r="K33" s="2"/>
      <c r="L33" s="6">
        <f t="shared" si="0"/>
        <v>0</v>
      </c>
    </row>
    <row r="34" spans="1:13" ht="13.15" customHeight="1">
      <c r="A34" s="2">
        <v>30</v>
      </c>
      <c r="B34" s="4" t="s">
        <v>70</v>
      </c>
      <c r="C34" s="2" t="s">
        <v>9</v>
      </c>
      <c r="D34" s="2"/>
      <c r="E34" s="5">
        <v>0</v>
      </c>
      <c r="F34" s="6">
        <f t="shared" si="1"/>
        <v>0</v>
      </c>
      <c r="G34" s="2">
        <v>68</v>
      </c>
      <c r="H34" s="4"/>
      <c r="I34" s="2" t="s">
        <v>9</v>
      </c>
      <c r="J34" s="4"/>
      <c r="K34" s="2"/>
      <c r="L34" s="6">
        <f t="shared" si="0"/>
        <v>0</v>
      </c>
      <c r="M34" s="10"/>
    </row>
    <row r="35" spans="1:13" ht="13.15" customHeight="1">
      <c r="A35" s="2">
        <v>31</v>
      </c>
      <c r="B35" s="4" t="s">
        <v>72</v>
      </c>
      <c r="C35" s="2" t="s">
        <v>9</v>
      </c>
      <c r="D35" s="2"/>
      <c r="E35" s="5">
        <v>6.5</v>
      </c>
      <c r="F35" s="7">
        <f t="shared" si="1"/>
        <v>0</v>
      </c>
      <c r="G35" s="2">
        <v>69</v>
      </c>
      <c r="H35" s="4"/>
      <c r="I35" s="2" t="s">
        <v>9</v>
      </c>
      <c r="J35" s="4"/>
      <c r="K35" s="2"/>
      <c r="L35" s="6">
        <f t="shared" si="0"/>
        <v>0</v>
      </c>
    </row>
    <row r="36" spans="1:13" ht="13.15" customHeight="1">
      <c r="A36" s="2">
        <v>32</v>
      </c>
      <c r="B36" s="4" t="s">
        <v>74</v>
      </c>
      <c r="C36" s="2" t="s">
        <v>9</v>
      </c>
      <c r="D36" s="2"/>
      <c r="E36" s="2">
        <v>0</v>
      </c>
      <c r="F36" s="7">
        <f t="shared" si="1"/>
        <v>0</v>
      </c>
      <c r="G36" s="2">
        <v>70</v>
      </c>
      <c r="H36" s="4"/>
      <c r="I36" s="2" t="s">
        <v>9</v>
      </c>
      <c r="J36" s="4"/>
      <c r="K36" s="2"/>
      <c r="L36" s="6">
        <f t="shared" si="0"/>
        <v>0</v>
      </c>
    </row>
    <row r="37" spans="1:13" ht="13.15" customHeight="1">
      <c r="A37" s="2">
        <v>33</v>
      </c>
      <c r="B37" s="4" t="s">
        <v>76</v>
      </c>
      <c r="C37" s="2" t="s">
        <v>9</v>
      </c>
      <c r="D37" s="2"/>
      <c r="E37" s="2">
        <v>0</v>
      </c>
      <c r="F37" s="7">
        <f t="shared" si="1"/>
        <v>0</v>
      </c>
      <c r="G37" s="2">
        <v>71</v>
      </c>
      <c r="H37" s="4"/>
      <c r="I37" s="2" t="s">
        <v>9</v>
      </c>
      <c r="J37" s="4"/>
      <c r="K37" s="2"/>
      <c r="L37" s="6">
        <f t="shared" si="0"/>
        <v>0</v>
      </c>
      <c r="M37" s="11"/>
    </row>
    <row r="38" spans="1:13" ht="13.15" customHeight="1">
      <c r="A38" s="2">
        <v>34</v>
      </c>
      <c r="B38" s="4" t="s">
        <v>78</v>
      </c>
      <c r="C38" s="2" t="s">
        <v>9</v>
      </c>
      <c r="D38" s="2"/>
      <c r="E38" s="2">
        <v>0</v>
      </c>
      <c r="F38" s="7">
        <f t="shared" si="1"/>
        <v>0</v>
      </c>
      <c r="G38" s="2">
        <v>72</v>
      </c>
      <c r="H38" s="4"/>
      <c r="I38" s="2" t="s">
        <v>9</v>
      </c>
      <c r="J38" s="4"/>
      <c r="K38" s="2"/>
      <c r="L38" s="6">
        <f t="shared" si="0"/>
        <v>0</v>
      </c>
    </row>
    <row r="39" spans="1:13" ht="13.15" customHeight="1">
      <c r="A39" s="2">
        <v>35</v>
      </c>
      <c r="B39" s="4" t="s">
        <v>80</v>
      </c>
      <c r="C39" s="2" t="s">
        <v>9</v>
      </c>
      <c r="D39" s="2"/>
      <c r="E39" s="2">
        <v>0</v>
      </c>
      <c r="F39" s="7">
        <f t="shared" si="1"/>
        <v>0</v>
      </c>
      <c r="G39" s="2">
        <v>73</v>
      </c>
      <c r="H39" s="4"/>
      <c r="I39" s="2" t="s">
        <v>9</v>
      </c>
      <c r="J39" s="4"/>
      <c r="K39" s="2"/>
      <c r="L39" s="6">
        <f t="shared" si="0"/>
        <v>0</v>
      </c>
    </row>
    <row r="40" spans="1:13" ht="13.15" customHeight="1">
      <c r="I40" s="33" t="s">
        <v>82</v>
      </c>
      <c r="J40" s="34"/>
      <c r="K40" s="34"/>
      <c r="L40" s="23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69</v>
      </c>
    </row>
    <row r="42" spans="1:13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>
  <dimension ref="A1:M42"/>
  <sheetViews>
    <sheetView workbookViewId="0">
      <selection activeCell="D10" sqref="D10"/>
    </sheetView>
  </sheetViews>
  <sheetFormatPr defaultRowHeight="13.15" customHeight="1"/>
  <cols>
    <col min="1" max="1" width="4.7109375" style="17" customWidth="1"/>
    <col min="2" max="2" width="28.28515625" customWidth="1"/>
    <col min="3" max="3" width="6" bestFit="1" customWidth="1"/>
    <col min="4" max="4" width="5.85546875" bestFit="1" customWidth="1"/>
    <col min="5" max="5" width="8.28515625" customWidth="1"/>
    <col min="7" max="7" width="4.85546875" style="17" customWidth="1"/>
    <col min="8" max="8" width="23.28515625" customWidth="1"/>
    <col min="9" max="9" width="6.85546875" customWidth="1"/>
    <col min="10" max="10" width="6.7109375" customWidth="1"/>
    <col min="11" max="11" width="8.42578125" customWidth="1"/>
  </cols>
  <sheetData>
    <row r="1" spans="1:12" ht="13.15" customHeight="1">
      <c r="A1" s="30"/>
      <c r="B1" s="30"/>
      <c r="C1" s="30"/>
      <c r="D1" s="30" t="s">
        <v>260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 t="s">
        <v>236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1.45</v>
      </c>
      <c r="L2" s="6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0</v>
      </c>
      <c r="L3" s="6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2.5499999999999998</v>
      </c>
      <c r="L4" s="6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0</v>
      </c>
      <c r="F5" s="7">
        <f>D5*E5</f>
        <v>0</v>
      </c>
      <c r="G5" s="2">
        <v>39</v>
      </c>
      <c r="H5" s="4" t="s">
        <v>13</v>
      </c>
      <c r="I5" s="2" t="s">
        <v>9</v>
      </c>
      <c r="J5" s="2"/>
      <c r="K5" s="5">
        <v>2.1</v>
      </c>
      <c r="L5" s="6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</v>
      </c>
      <c r="F6" s="7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8.8000000000000007</v>
      </c>
      <c r="L6" s="6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0</v>
      </c>
      <c r="F7" s="7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0</v>
      </c>
      <c r="L7" s="6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7.85</v>
      </c>
      <c r="F8" s="7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2.5499999999999998</v>
      </c>
      <c r="L8" s="6">
        <f t="shared" si="0"/>
        <v>0</v>
      </c>
    </row>
    <row r="9" spans="1:12" ht="13.15" customHeight="1">
      <c r="A9" s="2">
        <v>5</v>
      </c>
      <c r="B9" s="9" t="s">
        <v>20</v>
      </c>
      <c r="C9" s="8" t="s">
        <v>9</v>
      </c>
      <c r="D9" s="8">
        <v>12</v>
      </c>
      <c r="E9" s="26">
        <v>5.75</v>
      </c>
      <c r="F9" s="27">
        <f t="shared" si="1"/>
        <v>69</v>
      </c>
      <c r="G9" s="2">
        <v>43</v>
      </c>
      <c r="H9" s="4" t="s">
        <v>21</v>
      </c>
      <c r="I9" s="2" t="s">
        <v>9</v>
      </c>
      <c r="J9" s="2"/>
      <c r="K9" s="5">
        <v>0</v>
      </c>
      <c r="L9" s="6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0</v>
      </c>
      <c r="F10" s="7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1.1499999999999999</v>
      </c>
      <c r="L10" s="6">
        <f t="shared" si="0"/>
        <v>0</v>
      </c>
    </row>
    <row r="11" spans="1:12" ht="13.15" customHeight="1">
      <c r="A11" s="2">
        <v>7</v>
      </c>
      <c r="B11" s="4" t="s">
        <v>125</v>
      </c>
      <c r="C11" s="2" t="s">
        <v>9</v>
      </c>
      <c r="D11" s="2"/>
      <c r="E11" s="5">
        <v>6.9</v>
      </c>
      <c r="F11" s="7">
        <f t="shared" si="1"/>
        <v>0</v>
      </c>
      <c r="G11" s="2">
        <v>45</v>
      </c>
      <c r="H11" s="4" t="s">
        <v>238</v>
      </c>
      <c r="I11" s="2" t="s">
        <v>9</v>
      </c>
      <c r="J11" s="2"/>
      <c r="K11" s="5">
        <v>0</v>
      </c>
      <c r="L11" s="6">
        <f t="shared" si="0"/>
        <v>0</v>
      </c>
    </row>
    <row r="12" spans="1:12" ht="13.15" customHeight="1">
      <c r="A12" s="2">
        <v>8</v>
      </c>
      <c r="B12" s="4" t="s">
        <v>239</v>
      </c>
      <c r="C12" s="2" t="s">
        <v>9</v>
      </c>
      <c r="D12" s="2"/>
      <c r="E12" s="5">
        <v>0</v>
      </c>
      <c r="F12" s="7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0</v>
      </c>
      <c r="L12" s="6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0</v>
      </c>
      <c r="F13" s="7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0</v>
      </c>
      <c r="L13" s="6">
        <f t="shared" si="0"/>
        <v>0</v>
      </c>
    </row>
    <row r="14" spans="1:12" ht="13.15" customHeight="1">
      <c r="A14" s="2">
        <v>3</v>
      </c>
      <c r="B14" s="4" t="s">
        <v>30</v>
      </c>
      <c r="C14" s="2" t="s">
        <v>9</v>
      </c>
      <c r="D14" s="2"/>
      <c r="E14" s="5">
        <v>0</v>
      </c>
      <c r="F14" s="7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0</v>
      </c>
      <c r="L14" s="6">
        <f t="shared" si="0"/>
        <v>0</v>
      </c>
    </row>
    <row r="15" spans="1:12" ht="13.15" customHeight="1">
      <c r="A15" s="2">
        <v>11</v>
      </c>
      <c r="B15" s="9" t="s">
        <v>32</v>
      </c>
      <c r="C15" s="8" t="s">
        <v>9</v>
      </c>
      <c r="D15" s="8"/>
      <c r="E15" s="26">
        <v>6.5</v>
      </c>
      <c r="F15" s="27">
        <f t="shared" si="1"/>
        <v>0</v>
      </c>
      <c r="G15" s="2">
        <v>49</v>
      </c>
      <c r="H15" s="4" t="s">
        <v>240</v>
      </c>
      <c r="I15" s="2" t="s">
        <v>9</v>
      </c>
      <c r="J15" s="2"/>
      <c r="K15" s="5">
        <v>9.1</v>
      </c>
      <c r="L15" s="6">
        <f t="shared" si="0"/>
        <v>0</v>
      </c>
    </row>
    <row r="16" spans="1:12" ht="13.15" customHeight="1">
      <c r="A16" s="2">
        <v>12</v>
      </c>
      <c r="B16" s="9" t="s">
        <v>241</v>
      </c>
      <c r="C16" s="8" t="s">
        <v>9</v>
      </c>
      <c r="D16" s="8"/>
      <c r="E16" s="26">
        <v>6.5</v>
      </c>
      <c r="F16" s="27">
        <f t="shared" si="1"/>
        <v>0</v>
      </c>
      <c r="G16" s="2">
        <v>50</v>
      </c>
      <c r="H16" s="4" t="s">
        <v>92</v>
      </c>
      <c r="I16" s="2" t="s">
        <v>9</v>
      </c>
      <c r="J16" s="2"/>
      <c r="K16" s="5">
        <v>7.45</v>
      </c>
      <c r="L16" s="6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0</v>
      </c>
      <c r="F17" s="7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0</v>
      </c>
      <c r="L17" s="6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0</v>
      </c>
      <c r="F18" s="7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3.2</v>
      </c>
      <c r="L18" s="6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6.2</v>
      </c>
      <c r="F19" s="7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0</v>
      </c>
      <c r="L19" s="6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0</v>
      </c>
      <c r="F20" s="7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0</v>
      </c>
      <c r="L20" s="6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0</v>
      </c>
      <c r="F21" s="7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0</v>
      </c>
      <c r="L21" s="6">
        <f t="shared" si="0"/>
        <v>0</v>
      </c>
    </row>
    <row r="22" spans="1:12" ht="13.15" customHeight="1">
      <c r="A22" s="2">
        <v>18</v>
      </c>
      <c r="B22" s="9" t="s">
        <v>46</v>
      </c>
      <c r="C22" s="8" t="s">
        <v>9</v>
      </c>
      <c r="D22" s="8"/>
      <c r="E22" s="26">
        <v>7</v>
      </c>
      <c r="F22" s="27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20.65</v>
      </c>
      <c r="L22" s="6">
        <f t="shared" si="0"/>
        <v>0</v>
      </c>
    </row>
    <row r="23" spans="1:12" ht="13.15" customHeight="1">
      <c r="A23" s="2">
        <v>19</v>
      </c>
      <c r="B23" s="9" t="s">
        <v>48</v>
      </c>
      <c r="C23" s="8" t="s">
        <v>9</v>
      </c>
      <c r="D23" s="8"/>
      <c r="E23" s="26">
        <v>7.75</v>
      </c>
      <c r="F23" s="27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14</v>
      </c>
      <c r="L23" s="6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0</v>
      </c>
      <c r="F24" s="7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0</v>
      </c>
      <c r="L24" s="6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7.9</v>
      </c>
      <c r="F25" s="7">
        <f t="shared" si="1"/>
        <v>0</v>
      </c>
      <c r="G25" s="2">
        <v>59</v>
      </c>
      <c r="H25" s="4" t="s">
        <v>243</v>
      </c>
      <c r="I25" s="2" t="s">
        <v>9</v>
      </c>
      <c r="J25" s="4"/>
      <c r="K25" s="2">
        <v>0</v>
      </c>
      <c r="L25" s="6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0</v>
      </c>
      <c r="F26" s="7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0</v>
      </c>
      <c r="L26" s="6">
        <f t="shared" si="0"/>
        <v>0</v>
      </c>
    </row>
    <row r="27" spans="1:12" ht="13.15" customHeight="1">
      <c r="A27" s="2">
        <v>23</v>
      </c>
      <c r="B27" s="9" t="s">
        <v>56</v>
      </c>
      <c r="C27" s="8" t="s">
        <v>9</v>
      </c>
      <c r="D27" s="8"/>
      <c r="E27" s="26">
        <v>5.75</v>
      </c>
      <c r="F27" s="27">
        <f t="shared" si="1"/>
        <v>0</v>
      </c>
      <c r="G27" s="2">
        <v>61</v>
      </c>
      <c r="H27" s="4" t="s">
        <v>244</v>
      </c>
      <c r="I27" s="2" t="s">
        <v>9</v>
      </c>
      <c r="J27" s="4"/>
      <c r="K27" s="2">
        <v>3.7</v>
      </c>
      <c r="L27" s="6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0</v>
      </c>
      <c r="F28" s="7">
        <f t="shared" si="1"/>
        <v>0</v>
      </c>
      <c r="G28" s="2">
        <v>62</v>
      </c>
      <c r="H28" s="4" t="s">
        <v>245</v>
      </c>
      <c r="I28" s="2" t="s">
        <v>9</v>
      </c>
      <c r="J28" s="4"/>
      <c r="K28" s="2">
        <v>7.35</v>
      </c>
      <c r="L28" s="6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6.7</v>
      </c>
      <c r="F29" s="7">
        <f t="shared" si="1"/>
        <v>0</v>
      </c>
      <c r="G29" s="2">
        <v>63</v>
      </c>
      <c r="H29" s="4" t="s">
        <v>63</v>
      </c>
      <c r="I29" s="2" t="s">
        <v>9</v>
      </c>
      <c r="J29" s="4"/>
      <c r="K29" s="2">
        <v>7.65</v>
      </c>
      <c r="L29" s="6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0</v>
      </c>
      <c r="F30" s="6">
        <f t="shared" si="1"/>
        <v>0</v>
      </c>
      <c r="G30" s="2">
        <v>64</v>
      </c>
      <c r="H30" s="4" t="s">
        <v>25</v>
      </c>
      <c r="I30" s="2" t="s">
        <v>9</v>
      </c>
      <c r="J30" s="4"/>
      <c r="K30" s="2">
        <v>4.2</v>
      </c>
      <c r="L30" s="6">
        <f t="shared" si="0"/>
        <v>0</v>
      </c>
    </row>
    <row r="31" spans="1:12" ht="13.15" customHeight="1">
      <c r="A31" s="2">
        <v>27</v>
      </c>
      <c r="B31" s="9" t="s">
        <v>102</v>
      </c>
      <c r="C31" s="8" t="s">
        <v>9</v>
      </c>
      <c r="D31" s="8"/>
      <c r="E31" s="26">
        <v>7</v>
      </c>
      <c r="F31" s="28">
        <f t="shared" si="1"/>
        <v>0</v>
      </c>
      <c r="G31" s="2">
        <v>65</v>
      </c>
      <c r="H31" s="4" t="s">
        <v>261</v>
      </c>
      <c r="I31" s="2" t="s">
        <v>9</v>
      </c>
      <c r="J31" s="4"/>
      <c r="K31" s="2">
        <v>2.4</v>
      </c>
      <c r="L31" s="6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8.25</v>
      </c>
      <c r="F32" s="7">
        <f t="shared" si="1"/>
        <v>0</v>
      </c>
      <c r="G32" s="2">
        <v>66</v>
      </c>
      <c r="H32" s="4"/>
      <c r="I32" s="2" t="s">
        <v>9</v>
      </c>
      <c r="J32" s="4"/>
      <c r="K32" s="2"/>
      <c r="L32" s="6">
        <f t="shared" si="0"/>
        <v>0</v>
      </c>
    </row>
    <row r="33" spans="1:13" ht="13.15" customHeight="1">
      <c r="A33" s="2">
        <v>29</v>
      </c>
      <c r="B33" s="4" t="s">
        <v>68</v>
      </c>
      <c r="C33" s="2" t="s">
        <v>9</v>
      </c>
      <c r="D33" s="2"/>
      <c r="E33" s="5">
        <v>6.4</v>
      </c>
      <c r="F33" s="6">
        <f t="shared" si="1"/>
        <v>0</v>
      </c>
      <c r="G33" s="2">
        <v>67</v>
      </c>
      <c r="H33" s="4"/>
      <c r="I33" s="2" t="s">
        <v>9</v>
      </c>
      <c r="J33" s="4"/>
      <c r="K33" s="2"/>
      <c r="L33" s="6">
        <f t="shared" si="0"/>
        <v>0</v>
      </c>
    </row>
    <row r="34" spans="1:13" ht="13.15" customHeight="1">
      <c r="A34" s="2">
        <v>30</v>
      </c>
      <c r="B34" s="4" t="s">
        <v>70</v>
      </c>
      <c r="C34" s="2" t="s">
        <v>9</v>
      </c>
      <c r="D34" s="2"/>
      <c r="E34" s="5">
        <v>0</v>
      </c>
      <c r="F34" s="6">
        <f t="shared" si="1"/>
        <v>0</v>
      </c>
      <c r="G34" s="2">
        <v>68</v>
      </c>
      <c r="H34" s="4"/>
      <c r="I34" s="2" t="s">
        <v>9</v>
      </c>
      <c r="J34" s="4"/>
      <c r="K34" s="2"/>
      <c r="L34" s="6">
        <f t="shared" si="0"/>
        <v>0</v>
      </c>
      <c r="M34" s="10"/>
    </row>
    <row r="35" spans="1:13" ht="13.15" customHeight="1">
      <c r="A35" s="2">
        <v>31</v>
      </c>
      <c r="B35" s="4" t="s">
        <v>72</v>
      </c>
      <c r="C35" s="2" t="s">
        <v>9</v>
      </c>
      <c r="D35" s="2"/>
      <c r="E35" s="5">
        <v>6.5</v>
      </c>
      <c r="F35" s="7">
        <f t="shared" si="1"/>
        <v>0</v>
      </c>
      <c r="G35" s="2">
        <v>69</v>
      </c>
      <c r="H35" s="4"/>
      <c r="I35" s="2" t="s">
        <v>9</v>
      </c>
      <c r="J35" s="4"/>
      <c r="K35" s="2"/>
      <c r="L35" s="6">
        <f t="shared" si="0"/>
        <v>0</v>
      </c>
    </row>
    <row r="36" spans="1:13" ht="13.15" customHeight="1">
      <c r="A36" s="2">
        <v>32</v>
      </c>
      <c r="B36" s="4" t="s">
        <v>74</v>
      </c>
      <c r="C36" s="2" t="s">
        <v>9</v>
      </c>
      <c r="D36" s="2"/>
      <c r="E36" s="2">
        <v>0</v>
      </c>
      <c r="F36" s="7">
        <f t="shared" si="1"/>
        <v>0</v>
      </c>
      <c r="G36" s="2">
        <v>70</v>
      </c>
      <c r="H36" s="4"/>
      <c r="I36" s="2" t="s">
        <v>9</v>
      </c>
      <c r="J36" s="4"/>
      <c r="K36" s="2"/>
      <c r="L36" s="6">
        <f t="shared" si="0"/>
        <v>0</v>
      </c>
    </row>
    <row r="37" spans="1:13" ht="13.15" customHeight="1">
      <c r="A37" s="2">
        <v>33</v>
      </c>
      <c r="B37" s="4" t="s">
        <v>76</v>
      </c>
      <c r="C37" s="2" t="s">
        <v>9</v>
      </c>
      <c r="D37" s="2"/>
      <c r="E37" s="2">
        <v>0</v>
      </c>
      <c r="F37" s="7">
        <f t="shared" si="1"/>
        <v>0</v>
      </c>
      <c r="G37" s="2">
        <v>71</v>
      </c>
      <c r="H37" s="4"/>
      <c r="I37" s="2" t="s">
        <v>9</v>
      </c>
      <c r="J37" s="4"/>
      <c r="K37" s="2"/>
      <c r="L37" s="6">
        <f t="shared" si="0"/>
        <v>0</v>
      </c>
      <c r="M37" s="11"/>
    </row>
    <row r="38" spans="1:13" ht="13.15" customHeight="1">
      <c r="A38" s="2">
        <v>34</v>
      </c>
      <c r="B38" s="4" t="s">
        <v>78</v>
      </c>
      <c r="C38" s="2" t="s">
        <v>9</v>
      </c>
      <c r="D38" s="2"/>
      <c r="E38" s="2">
        <v>0</v>
      </c>
      <c r="F38" s="7">
        <f t="shared" si="1"/>
        <v>0</v>
      </c>
      <c r="G38" s="2">
        <v>72</v>
      </c>
      <c r="H38" s="4"/>
      <c r="I38" s="2" t="s">
        <v>9</v>
      </c>
      <c r="J38" s="4"/>
      <c r="K38" s="2"/>
      <c r="L38" s="6">
        <f t="shared" si="0"/>
        <v>0</v>
      </c>
    </row>
    <row r="39" spans="1:13" ht="13.15" customHeight="1">
      <c r="A39" s="2">
        <v>35</v>
      </c>
      <c r="B39" s="4" t="s">
        <v>80</v>
      </c>
      <c r="C39" s="2" t="s">
        <v>9</v>
      </c>
      <c r="D39" s="2"/>
      <c r="E39" s="2">
        <v>0</v>
      </c>
      <c r="F39" s="7">
        <f t="shared" si="1"/>
        <v>0</v>
      </c>
      <c r="G39" s="2">
        <v>73</v>
      </c>
      <c r="H39" s="4"/>
      <c r="I39" s="2" t="s">
        <v>9</v>
      </c>
      <c r="J39" s="4"/>
      <c r="K39" s="2"/>
      <c r="L39" s="6">
        <f t="shared" si="0"/>
        <v>0</v>
      </c>
    </row>
    <row r="40" spans="1:13" ht="13.15" customHeight="1">
      <c r="I40" s="33" t="s">
        <v>82</v>
      </c>
      <c r="J40" s="34"/>
      <c r="K40" s="34"/>
      <c r="L40" s="23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69</v>
      </c>
    </row>
    <row r="42" spans="1:13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>
  <dimension ref="A1:M42"/>
  <sheetViews>
    <sheetView workbookViewId="0">
      <selection activeCell="D10" sqref="D10"/>
    </sheetView>
  </sheetViews>
  <sheetFormatPr defaultRowHeight="13.15" customHeight="1"/>
  <cols>
    <col min="1" max="1" width="4.7109375" style="17" customWidth="1"/>
    <col min="2" max="2" width="28.28515625" customWidth="1"/>
    <col min="3" max="3" width="6" bestFit="1" customWidth="1"/>
    <col min="4" max="4" width="5.85546875" bestFit="1" customWidth="1"/>
    <col min="5" max="5" width="8.28515625" customWidth="1"/>
    <col min="7" max="7" width="4.85546875" style="17" customWidth="1"/>
    <col min="8" max="8" width="23.28515625" customWidth="1"/>
    <col min="9" max="9" width="6.85546875" customWidth="1"/>
    <col min="10" max="10" width="6.7109375" customWidth="1"/>
    <col min="11" max="11" width="8.42578125" customWidth="1"/>
  </cols>
  <sheetData>
    <row r="1" spans="1:12" ht="13.15" customHeight="1">
      <c r="A1" s="30"/>
      <c r="B1" s="30"/>
      <c r="C1" s="30"/>
      <c r="D1" s="30" t="s">
        <v>260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 t="s">
        <v>236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1.45</v>
      </c>
      <c r="L2" s="6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0</v>
      </c>
      <c r="L3" s="6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2.5499999999999998</v>
      </c>
      <c r="L4" s="6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0</v>
      </c>
      <c r="F5" s="7">
        <f>D5*E5</f>
        <v>0</v>
      </c>
      <c r="G5" s="2">
        <v>39</v>
      </c>
      <c r="H5" s="4" t="s">
        <v>13</v>
      </c>
      <c r="I5" s="2" t="s">
        <v>9</v>
      </c>
      <c r="J5" s="2"/>
      <c r="K5" s="5">
        <v>2.1</v>
      </c>
      <c r="L5" s="6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</v>
      </c>
      <c r="F6" s="7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8.8000000000000007</v>
      </c>
      <c r="L6" s="6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0</v>
      </c>
      <c r="F7" s="7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0</v>
      </c>
      <c r="L7" s="6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7.85</v>
      </c>
      <c r="F8" s="7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2.5499999999999998</v>
      </c>
      <c r="L8" s="6">
        <f t="shared" si="0"/>
        <v>0</v>
      </c>
    </row>
    <row r="9" spans="1:12" ht="13.15" customHeight="1">
      <c r="A9" s="2">
        <v>5</v>
      </c>
      <c r="B9" s="9" t="s">
        <v>20</v>
      </c>
      <c r="C9" s="8" t="s">
        <v>9</v>
      </c>
      <c r="D9" s="8">
        <v>12</v>
      </c>
      <c r="E9" s="26">
        <v>5.75</v>
      </c>
      <c r="F9" s="27">
        <f t="shared" si="1"/>
        <v>69</v>
      </c>
      <c r="G9" s="2">
        <v>43</v>
      </c>
      <c r="H9" s="4" t="s">
        <v>21</v>
      </c>
      <c r="I9" s="2" t="s">
        <v>9</v>
      </c>
      <c r="J9" s="2"/>
      <c r="K9" s="5">
        <v>0</v>
      </c>
      <c r="L9" s="6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0</v>
      </c>
      <c r="F10" s="7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1.1499999999999999</v>
      </c>
      <c r="L10" s="6">
        <f t="shared" si="0"/>
        <v>0</v>
      </c>
    </row>
    <row r="11" spans="1:12" ht="13.15" customHeight="1">
      <c r="A11" s="2">
        <v>7</v>
      </c>
      <c r="B11" s="4" t="s">
        <v>125</v>
      </c>
      <c r="C11" s="2" t="s">
        <v>9</v>
      </c>
      <c r="D11" s="2"/>
      <c r="E11" s="5">
        <v>6.9</v>
      </c>
      <c r="F11" s="7">
        <f t="shared" si="1"/>
        <v>0</v>
      </c>
      <c r="G11" s="2">
        <v>45</v>
      </c>
      <c r="H11" s="4" t="s">
        <v>238</v>
      </c>
      <c r="I11" s="2" t="s">
        <v>9</v>
      </c>
      <c r="J11" s="2"/>
      <c r="K11" s="5">
        <v>0</v>
      </c>
      <c r="L11" s="6">
        <f t="shared" si="0"/>
        <v>0</v>
      </c>
    </row>
    <row r="12" spans="1:12" ht="13.15" customHeight="1">
      <c r="A12" s="2">
        <v>8</v>
      </c>
      <c r="B12" s="4" t="s">
        <v>239</v>
      </c>
      <c r="C12" s="2" t="s">
        <v>9</v>
      </c>
      <c r="D12" s="2"/>
      <c r="E12" s="5">
        <v>0</v>
      </c>
      <c r="F12" s="7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0</v>
      </c>
      <c r="L12" s="6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0</v>
      </c>
      <c r="F13" s="7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0</v>
      </c>
      <c r="L13" s="6">
        <f t="shared" si="0"/>
        <v>0</v>
      </c>
    </row>
    <row r="14" spans="1:12" ht="13.15" customHeight="1">
      <c r="A14" s="2">
        <v>3</v>
      </c>
      <c r="B14" s="4" t="s">
        <v>30</v>
      </c>
      <c r="C14" s="2" t="s">
        <v>9</v>
      </c>
      <c r="D14" s="2"/>
      <c r="E14" s="5">
        <v>0</v>
      </c>
      <c r="F14" s="7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0</v>
      </c>
      <c r="L14" s="6">
        <f t="shared" si="0"/>
        <v>0</v>
      </c>
    </row>
    <row r="15" spans="1:12" ht="13.15" customHeight="1">
      <c r="A15" s="2">
        <v>11</v>
      </c>
      <c r="B15" s="9" t="s">
        <v>32</v>
      </c>
      <c r="C15" s="8" t="s">
        <v>9</v>
      </c>
      <c r="D15" s="8"/>
      <c r="E15" s="26">
        <v>6.5</v>
      </c>
      <c r="F15" s="27">
        <f t="shared" si="1"/>
        <v>0</v>
      </c>
      <c r="G15" s="2">
        <v>49</v>
      </c>
      <c r="H15" s="4" t="s">
        <v>240</v>
      </c>
      <c r="I15" s="2" t="s">
        <v>9</v>
      </c>
      <c r="J15" s="2"/>
      <c r="K15" s="5">
        <v>9.1</v>
      </c>
      <c r="L15" s="6">
        <f t="shared" si="0"/>
        <v>0</v>
      </c>
    </row>
    <row r="16" spans="1:12" ht="13.15" customHeight="1">
      <c r="A16" s="2">
        <v>12</v>
      </c>
      <c r="B16" s="9" t="s">
        <v>241</v>
      </c>
      <c r="C16" s="8" t="s">
        <v>9</v>
      </c>
      <c r="D16" s="8"/>
      <c r="E16" s="26">
        <v>6.5</v>
      </c>
      <c r="F16" s="27">
        <f t="shared" si="1"/>
        <v>0</v>
      </c>
      <c r="G16" s="2">
        <v>50</v>
      </c>
      <c r="H16" s="4" t="s">
        <v>92</v>
      </c>
      <c r="I16" s="2" t="s">
        <v>9</v>
      </c>
      <c r="J16" s="2"/>
      <c r="K16" s="5">
        <v>7.45</v>
      </c>
      <c r="L16" s="6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0</v>
      </c>
      <c r="F17" s="7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0</v>
      </c>
      <c r="L17" s="6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0</v>
      </c>
      <c r="F18" s="7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3.2</v>
      </c>
      <c r="L18" s="6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6.2</v>
      </c>
      <c r="F19" s="7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0</v>
      </c>
      <c r="L19" s="6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0</v>
      </c>
      <c r="F20" s="7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0</v>
      </c>
      <c r="L20" s="6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0</v>
      </c>
      <c r="F21" s="7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0</v>
      </c>
      <c r="L21" s="6">
        <f t="shared" si="0"/>
        <v>0</v>
      </c>
    </row>
    <row r="22" spans="1:12" ht="13.15" customHeight="1">
      <c r="A22" s="2">
        <v>18</v>
      </c>
      <c r="B22" s="9" t="s">
        <v>46</v>
      </c>
      <c r="C22" s="8" t="s">
        <v>9</v>
      </c>
      <c r="D22" s="8"/>
      <c r="E22" s="26">
        <v>7</v>
      </c>
      <c r="F22" s="27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20.65</v>
      </c>
      <c r="L22" s="6">
        <f t="shared" si="0"/>
        <v>0</v>
      </c>
    </row>
    <row r="23" spans="1:12" ht="13.15" customHeight="1">
      <c r="A23" s="2">
        <v>19</v>
      </c>
      <c r="B23" s="9" t="s">
        <v>48</v>
      </c>
      <c r="C23" s="8" t="s">
        <v>9</v>
      </c>
      <c r="D23" s="8"/>
      <c r="E23" s="26">
        <v>7.75</v>
      </c>
      <c r="F23" s="27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14</v>
      </c>
      <c r="L23" s="6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0</v>
      </c>
      <c r="F24" s="7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0</v>
      </c>
      <c r="L24" s="6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7.9</v>
      </c>
      <c r="F25" s="7">
        <f t="shared" si="1"/>
        <v>0</v>
      </c>
      <c r="G25" s="2">
        <v>59</v>
      </c>
      <c r="H25" s="4" t="s">
        <v>243</v>
      </c>
      <c r="I25" s="2" t="s">
        <v>9</v>
      </c>
      <c r="J25" s="4"/>
      <c r="K25" s="2">
        <v>0</v>
      </c>
      <c r="L25" s="6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0</v>
      </c>
      <c r="F26" s="7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0</v>
      </c>
      <c r="L26" s="6">
        <f t="shared" si="0"/>
        <v>0</v>
      </c>
    </row>
    <row r="27" spans="1:12" ht="13.15" customHeight="1">
      <c r="A27" s="2">
        <v>23</v>
      </c>
      <c r="B27" s="9" t="s">
        <v>56</v>
      </c>
      <c r="C27" s="8" t="s">
        <v>9</v>
      </c>
      <c r="D27" s="8"/>
      <c r="E27" s="26">
        <v>5.75</v>
      </c>
      <c r="F27" s="27">
        <f t="shared" si="1"/>
        <v>0</v>
      </c>
      <c r="G27" s="2">
        <v>61</v>
      </c>
      <c r="H27" s="4" t="s">
        <v>244</v>
      </c>
      <c r="I27" s="2" t="s">
        <v>9</v>
      </c>
      <c r="J27" s="4"/>
      <c r="K27" s="2">
        <v>3.7</v>
      </c>
      <c r="L27" s="6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0</v>
      </c>
      <c r="F28" s="7">
        <f t="shared" si="1"/>
        <v>0</v>
      </c>
      <c r="G28" s="2">
        <v>62</v>
      </c>
      <c r="H28" s="4" t="s">
        <v>245</v>
      </c>
      <c r="I28" s="2" t="s">
        <v>9</v>
      </c>
      <c r="J28" s="4"/>
      <c r="K28" s="2">
        <v>7.35</v>
      </c>
      <c r="L28" s="6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6.7</v>
      </c>
      <c r="F29" s="7">
        <f t="shared" si="1"/>
        <v>0</v>
      </c>
      <c r="G29" s="2">
        <v>63</v>
      </c>
      <c r="H29" s="4" t="s">
        <v>63</v>
      </c>
      <c r="I29" s="2" t="s">
        <v>9</v>
      </c>
      <c r="J29" s="4"/>
      <c r="K29" s="2">
        <v>7.65</v>
      </c>
      <c r="L29" s="6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0</v>
      </c>
      <c r="F30" s="6">
        <f t="shared" si="1"/>
        <v>0</v>
      </c>
      <c r="G30" s="2">
        <v>64</v>
      </c>
      <c r="H30" s="4" t="s">
        <v>25</v>
      </c>
      <c r="I30" s="2" t="s">
        <v>9</v>
      </c>
      <c r="J30" s="4"/>
      <c r="K30" s="2">
        <v>4.2</v>
      </c>
      <c r="L30" s="6">
        <f t="shared" si="0"/>
        <v>0</v>
      </c>
    </row>
    <row r="31" spans="1:12" ht="13.15" customHeight="1">
      <c r="A31" s="2">
        <v>27</v>
      </c>
      <c r="B31" s="9" t="s">
        <v>102</v>
      </c>
      <c r="C31" s="8" t="s">
        <v>9</v>
      </c>
      <c r="D31" s="8"/>
      <c r="E31" s="26">
        <v>7</v>
      </c>
      <c r="F31" s="28">
        <f t="shared" si="1"/>
        <v>0</v>
      </c>
      <c r="G31" s="2">
        <v>65</v>
      </c>
      <c r="H31" s="4" t="s">
        <v>261</v>
      </c>
      <c r="I31" s="2" t="s">
        <v>9</v>
      </c>
      <c r="J31" s="4"/>
      <c r="K31" s="2">
        <v>2.4</v>
      </c>
      <c r="L31" s="6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8.25</v>
      </c>
      <c r="F32" s="7">
        <f t="shared" si="1"/>
        <v>0</v>
      </c>
      <c r="G32" s="2">
        <v>66</v>
      </c>
      <c r="H32" s="4"/>
      <c r="I32" s="2" t="s">
        <v>9</v>
      </c>
      <c r="J32" s="4"/>
      <c r="K32" s="2"/>
      <c r="L32" s="6">
        <f t="shared" si="0"/>
        <v>0</v>
      </c>
    </row>
    <row r="33" spans="1:13" ht="13.15" customHeight="1">
      <c r="A33" s="2">
        <v>29</v>
      </c>
      <c r="B33" s="4" t="s">
        <v>68</v>
      </c>
      <c r="C33" s="2" t="s">
        <v>9</v>
      </c>
      <c r="D33" s="2"/>
      <c r="E33" s="5">
        <v>6.4</v>
      </c>
      <c r="F33" s="6">
        <f t="shared" si="1"/>
        <v>0</v>
      </c>
      <c r="G33" s="2">
        <v>67</v>
      </c>
      <c r="H33" s="4"/>
      <c r="I33" s="2" t="s">
        <v>9</v>
      </c>
      <c r="J33" s="4"/>
      <c r="K33" s="2"/>
      <c r="L33" s="6">
        <f t="shared" si="0"/>
        <v>0</v>
      </c>
    </row>
    <row r="34" spans="1:13" ht="13.15" customHeight="1">
      <c r="A34" s="2">
        <v>30</v>
      </c>
      <c r="B34" s="4" t="s">
        <v>70</v>
      </c>
      <c r="C34" s="2" t="s">
        <v>9</v>
      </c>
      <c r="D34" s="2"/>
      <c r="E34" s="5">
        <v>0</v>
      </c>
      <c r="F34" s="6">
        <f t="shared" si="1"/>
        <v>0</v>
      </c>
      <c r="G34" s="2">
        <v>68</v>
      </c>
      <c r="H34" s="4"/>
      <c r="I34" s="2" t="s">
        <v>9</v>
      </c>
      <c r="J34" s="4"/>
      <c r="K34" s="2"/>
      <c r="L34" s="6">
        <f t="shared" si="0"/>
        <v>0</v>
      </c>
      <c r="M34" s="10"/>
    </row>
    <row r="35" spans="1:13" ht="13.15" customHeight="1">
      <c r="A35" s="2">
        <v>31</v>
      </c>
      <c r="B35" s="4" t="s">
        <v>72</v>
      </c>
      <c r="C35" s="2" t="s">
        <v>9</v>
      </c>
      <c r="D35" s="2"/>
      <c r="E35" s="5">
        <v>6.5</v>
      </c>
      <c r="F35" s="7">
        <f t="shared" si="1"/>
        <v>0</v>
      </c>
      <c r="G35" s="2">
        <v>69</v>
      </c>
      <c r="H35" s="4"/>
      <c r="I35" s="2" t="s">
        <v>9</v>
      </c>
      <c r="J35" s="4"/>
      <c r="K35" s="2"/>
      <c r="L35" s="6">
        <f t="shared" si="0"/>
        <v>0</v>
      </c>
    </row>
    <row r="36" spans="1:13" ht="13.15" customHeight="1">
      <c r="A36" s="2">
        <v>32</v>
      </c>
      <c r="B36" s="4" t="s">
        <v>74</v>
      </c>
      <c r="C36" s="2" t="s">
        <v>9</v>
      </c>
      <c r="D36" s="2"/>
      <c r="E36" s="2">
        <v>0</v>
      </c>
      <c r="F36" s="7">
        <f t="shared" si="1"/>
        <v>0</v>
      </c>
      <c r="G36" s="2">
        <v>70</v>
      </c>
      <c r="H36" s="4"/>
      <c r="I36" s="2" t="s">
        <v>9</v>
      </c>
      <c r="J36" s="4"/>
      <c r="K36" s="2"/>
      <c r="L36" s="6">
        <f t="shared" si="0"/>
        <v>0</v>
      </c>
    </row>
    <row r="37" spans="1:13" ht="13.15" customHeight="1">
      <c r="A37" s="2">
        <v>33</v>
      </c>
      <c r="B37" s="4" t="s">
        <v>76</v>
      </c>
      <c r="C37" s="2" t="s">
        <v>9</v>
      </c>
      <c r="D37" s="2"/>
      <c r="E37" s="2">
        <v>0</v>
      </c>
      <c r="F37" s="7">
        <f t="shared" si="1"/>
        <v>0</v>
      </c>
      <c r="G37" s="2">
        <v>71</v>
      </c>
      <c r="H37" s="4"/>
      <c r="I37" s="2" t="s">
        <v>9</v>
      </c>
      <c r="J37" s="4"/>
      <c r="K37" s="2"/>
      <c r="L37" s="6">
        <f t="shared" si="0"/>
        <v>0</v>
      </c>
      <c r="M37" s="11"/>
    </row>
    <row r="38" spans="1:13" ht="13.15" customHeight="1">
      <c r="A38" s="2">
        <v>34</v>
      </c>
      <c r="B38" s="4" t="s">
        <v>78</v>
      </c>
      <c r="C38" s="2" t="s">
        <v>9</v>
      </c>
      <c r="D38" s="2"/>
      <c r="E38" s="2">
        <v>0</v>
      </c>
      <c r="F38" s="7">
        <f t="shared" si="1"/>
        <v>0</v>
      </c>
      <c r="G38" s="2">
        <v>72</v>
      </c>
      <c r="H38" s="4"/>
      <c r="I38" s="2" t="s">
        <v>9</v>
      </c>
      <c r="J38" s="4"/>
      <c r="K38" s="2"/>
      <c r="L38" s="6">
        <f t="shared" si="0"/>
        <v>0</v>
      </c>
    </row>
    <row r="39" spans="1:13" ht="13.15" customHeight="1">
      <c r="A39" s="2">
        <v>35</v>
      </c>
      <c r="B39" s="4" t="s">
        <v>80</v>
      </c>
      <c r="C39" s="2" t="s">
        <v>9</v>
      </c>
      <c r="D39" s="2"/>
      <c r="E39" s="2">
        <v>0</v>
      </c>
      <c r="F39" s="7">
        <f t="shared" si="1"/>
        <v>0</v>
      </c>
      <c r="G39" s="2">
        <v>73</v>
      </c>
      <c r="H39" s="4"/>
      <c r="I39" s="2" t="s">
        <v>9</v>
      </c>
      <c r="J39" s="4"/>
      <c r="K39" s="2"/>
      <c r="L39" s="6">
        <f t="shared" si="0"/>
        <v>0</v>
      </c>
    </row>
    <row r="40" spans="1:13" ht="13.15" customHeight="1">
      <c r="I40" s="33" t="s">
        <v>82</v>
      </c>
      <c r="J40" s="34"/>
      <c r="K40" s="34"/>
      <c r="L40" s="23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69</v>
      </c>
    </row>
    <row r="42" spans="1:13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>
  <dimension ref="A1:M42"/>
  <sheetViews>
    <sheetView workbookViewId="0">
      <selection activeCell="D10" sqref="D10"/>
    </sheetView>
  </sheetViews>
  <sheetFormatPr defaultRowHeight="13.15" customHeight="1"/>
  <cols>
    <col min="1" max="1" width="4.7109375" style="17" customWidth="1"/>
    <col min="2" max="2" width="28.28515625" customWidth="1"/>
    <col min="3" max="3" width="6" bestFit="1" customWidth="1"/>
    <col min="4" max="4" width="5.85546875" bestFit="1" customWidth="1"/>
    <col min="5" max="5" width="8.28515625" customWidth="1"/>
    <col min="7" max="7" width="4.85546875" style="17" customWidth="1"/>
    <col min="8" max="8" width="23.28515625" customWidth="1"/>
    <col min="9" max="9" width="6.85546875" customWidth="1"/>
    <col min="10" max="10" width="6.7109375" customWidth="1"/>
    <col min="11" max="11" width="8.42578125" customWidth="1"/>
  </cols>
  <sheetData>
    <row r="1" spans="1:12" ht="13.15" customHeight="1">
      <c r="A1" s="30"/>
      <c r="B1" s="30"/>
      <c r="C1" s="30"/>
      <c r="D1" s="30" t="s">
        <v>260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 t="s">
        <v>236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1.45</v>
      </c>
      <c r="L2" s="6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0</v>
      </c>
      <c r="L3" s="6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2.5499999999999998</v>
      </c>
      <c r="L4" s="6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0</v>
      </c>
      <c r="F5" s="7">
        <f>D5*E5</f>
        <v>0</v>
      </c>
      <c r="G5" s="2">
        <v>39</v>
      </c>
      <c r="H5" s="4" t="s">
        <v>13</v>
      </c>
      <c r="I5" s="2" t="s">
        <v>9</v>
      </c>
      <c r="J5" s="2"/>
      <c r="K5" s="5">
        <v>2.1</v>
      </c>
      <c r="L5" s="6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</v>
      </c>
      <c r="F6" s="7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8.8000000000000007</v>
      </c>
      <c r="L6" s="6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0</v>
      </c>
      <c r="F7" s="7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0</v>
      </c>
      <c r="L7" s="6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7.85</v>
      </c>
      <c r="F8" s="7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2.5499999999999998</v>
      </c>
      <c r="L8" s="6">
        <f t="shared" si="0"/>
        <v>0</v>
      </c>
    </row>
    <row r="9" spans="1:12" ht="13.15" customHeight="1">
      <c r="A9" s="2">
        <v>5</v>
      </c>
      <c r="B9" s="9" t="s">
        <v>20</v>
      </c>
      <c r="C9" s="8" t="s">
        <v>9</v>
      </c>
      <c r="D9" s="8">
        <v>12</v>
      </c>
      <c r="E9" s="26">
        <v>5.75</v>
      </c>
      <c r="F9" s="27">
        <f t="shared" si="1"/>
        <v>69</v>
      </c>
      <c r="G9" s="2">
        <v>43</v>
      </c>
      <c r="H9" s="4" t="s">
        <v>21</v>
      </c>
      <c r="I9" s="2" t="s">
        <v>9</v>
      </c>
      <c r="J9" s="2"/>
      <c r="K9" s="5">
        <v>0</v>
      </c>
      <c r="L9" s="6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0</v>
      </c>
      <c r="F10" s="7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1.1499999999999999</v>
      </c>
      <c r="L10" s="6">
        <f t="shared" si="0"/>
        <v>0</v>
      </c>
    </row>
    <row r="11" spans="1:12" ht="13.15" customHeight="1">
      <c r="A11" s="2">
        <v>7</v>
      </c>
      <c r="B11" s="4" t="s">
        <v>125</v>
      </c>
      <c r="C11" s="2" t="s">
        <v>9</v>
      </c>
      <c r="D11" s="2"/>
      <c r="E11" s="5">
        <v>6.9</v>
      </c>
      <c r="F11" s="7">
        <f t="shared" si="1"/>
        <v>0</v>
      </c>
      <c r="G11" s="2">
        <v>45</v>
      </c>
      <c r="H11" s="4" t="s">
        <v>238</v>
      </c>
      <c r="I11" s="2" t="s">
        <v>9</v>
      </c>
      <c r="J11" s="2"/>
      <c r="K11" s="5">
        <v>0</v>
      </c>
      <c r="L11" s="6">
        <f t="shared" si="0"/>
        <v>0</v>
      </c>
    </row>
    <row r="12" spans="1:12" ht="13.15" customHeight="1">
      <c r="A12" s="2">
        <v>8</v>
      </c>
      <c r="B12" s="4" t="s">
        <v>239</v>
      </c>
      <c r="C12" s="2" t="s">
        <v>9</v>
      </c>
      <c r="D12" s="2"/>
      <c r="E12" s="5">
        <v>0</v>
      </c>
      <c r="F12" s="7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0</v>
      </c>
      <c r="L12" s="6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0</v>
      </c>
      <c r="F13" s="7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0</v>
      </c>
      <c r="L13" s="6">
        <f t="shared" si="0"/>
        <v>0</v>
      </c>
    </row>
    <row r="14" spans="1:12" ht="13.15" customHeight="1">
      <c r="A14" s="2">
        <v>3</v>
      </c>
      <c r="B14" s="4" t="s">
        <v>30</v>
      </c>
      <c r="C14" s="2" t="s">
        <v>9</v>
      </c>
      <c r="D14" s="2"/>
      <c r="E14" s="5">
        <v>0</v>
      </c>
      <c r="F14" s="7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0</v>
      </c>
      <c r="L14" s="6">
        <f t="shared" si="0"/>
        <v>0</v>
      </c>
    </row>
    <row r="15" spans="1:12" ht="13.15" customHeight="1">
      <c r="A15" s="2">
        <v>11</v>
      </c>
      <c r="B15" s="9" t="s">
        <v>32</v>
      </c>
      <c r="C15" s="8" t="s">
        <v>9</v>
      </c>
      <c r="D15" s="8"/>
      <c r="E15" s="26">
        <v>6.5</v>
      </c>
      <c r="F15" s="27">
        <f t="shared" si="1"/>
        <v>0</v>
      </c>
      <c r="G15" s="2">
        <v>49</v>
      </c>
      <c r="H15" s="4" t="s">
        <v>240</v>
      </c>
      <c r="I15" s="2" t="s">
        <v>9</v>
      </c>
      <c r="J15" s="2"/>
      <c r="K15" s="5">
        <v>9.1</v>
      </c>
      <c r="L15" s="6">
        <f t="shared" si="0"/>
        <v>0</v>
      </c>
    </row>
    <row r="16" spans="1:12" ht="13.15" customHeight="1">
      <c r="A16" s="2">
        <v>12</v>
      </c>
      <c r="B16" s="9" t="s">
        <v>241</v>
      </c>
      <c r="C16" s="8" t="s">
        <v>9</v>
      </c>
      <c r="D16" s="8"/>
      <c r="E16" s="26">
        <v>6.5</v>
      </c>
      <c r="F16" s="27">
        <f t="shared" si="1"/>
        <v>0</v>
      </c>
      <c r="G16" s="2">
        <v>50</v>
      </c>
      <c r="H16" s="4" t="s">
        <v>92</v>
      </c>
      <c r="I16" s="2" t="s">
        <v>9</v>
      </c>
      <c r="J16" s="2"/>
      <c r="K16" s="5">
        <v>7.45</v>
      </c>
      <c r="L16" s="6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0</v>
      </c>
      <c r="F17" s="7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0</v>
      </c>
      <c r="L17" s="6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0</v>
      </c>
      <c r="F18" s="7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3.2</v>
      </c>
      <c r="L18" s="6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6.2</v>
      </c>
      <c r="F19" s="7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0</v>
      </c>
      <c r="L19" s="6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0</v>
      </c>
      <c r="F20" s="7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0</v>
      </c>
      <c r="L20" s="6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0</v>
      </c>
      <c r="F21" s="7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0</v>
      </c>
      <c r="L21" s="6">
        <f t="shared" si="0"/>
        <v>0</v>
      </c>
    </row>
    <row r="22" spans="1:12" ht="13.15" customHeight="1">
      <c r="A22" s="2">
        <v>18</v>
      </c>
      <c r="B22" s="9" t="s">
        <v>46</v>
      </c>
      <c r="C22" s="8" t="s">
        <v>9</v>
      </c>
      <c r="D22" s="8"/>
      <c r="E22" s="26">
        <v>7</v>
      </c>
      <c r="F22" s="27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20.65</v>
      </c>
      <c r="L22" s="6">
        <f t="shared" si="0"/>
        <v>0</v>
      </c>
    </row>
    <row r="23" spans="1:12" ht="13.15" customHeight="1">
      <c r="A23" s="2">
        <v>19</v>
      </c>
      <c r="B23" s="9" t="s">
        <v>48</v>
      </c>
      <c r="C23" s="8" t="s">
        <v>9</v>
      </c>
      <c r="D23" s="8"/>
      <c r="E23" s="26">
        <v>7.75</v>
      </c>
      <c r="F23" s="27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14</v>
      </c>
      <c r="L23" s="6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0</v>
      </c>
      <c r="F24" s="7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0</v>
      </c>
      <c r="L24" s="6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7.9</v>
      </c>
      <c r="F25" s="7">
        <f t="shared" si="1"/>
        <v>0</v>
      </c>
      <c r="G25" s="2">
        <v>59</v>
      </c>
      <c r="H25" s="4" t="s">
        <v>243</v>
      </c>
      <c r="I25" s="2" t="s">
        <v>9</v>
      </c>
      <c r="J25" s="4"/>
      <c r="K25" s="2">
        <v>0</v>
      </c>
      <c r="L25" s="6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0</v>
      </c>
      <c r="F26" s="7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0</v>
      </c>
      <c r="L26" s="6">
        <f t="shared" si="0"/>
        <v>0</v>
      </c>
    </row>
    <row r="27" spans="1:12" ht="13.15" customHeight="1">
      <c r="A27" s="2">
        <v>23</v>
      </c>
      <c r="B27" s="9" t="s">
        <v>56</v>
      </c>
      <c r="C27" s="8" t="s">
        <v>9</v>
      </c>
      <c r="D27" s="8"/>
      <c r="E27" s="26">
        <v>5.75</v>
      </c>
      <c r="F27" s="27">
        <f t="shared" si="1"/>
        <v>0</v>
      </c>
      <c r="G27" s="2">
        <v>61</v>
      </c>
      <c r="H27" s="4" t="s">
        <v>244</v>
      </c>
      <c r="I27" s="2" t="s">
        <v>9</v>
      </c>
      <c r="J27" s="4"/>
      <c r="K27" s="2">
        <v>3.7</v>
      </c>
      <c r="L27" s="6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0</v>
      </c>
      <c r="F28" s="7">
        <f t="shared" si="1"/>
        <v>0</v>
      </c>
      <c r="G28" s="2">
        <v>62</v>
      </c>
      <c r="H28" s="4" t="s">
        <v>245</v>
      </c>
      <c r="I28" s="2" t="s">
        <v>9</v>
      </c>
      <c r="J28" s="4"/>
      <c r="K28" s="2">
        <v>7.35</v>
      </c>
      <c r="L28" s="6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6.7</v>
      </c>
      <c r="F29" s="7">
        <f t="shared" si="1"/>
        <v>0</v>
      </c>
      <c r="G29" s="2">
        <v>63</v>
      </c>
      <c r="H29" s="4" t="s">
        <v>63</v>
      </c>
      <c r="I29" s="2" t="s">
        <v>9</v>
      </c>
      <c r="J29" s="4"/>
      <c r="K29" s="2">
        <v>7.65</v>
      </c>
      <c r="L29" s="6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0</v>
      </c>
      <c r="F30" s="6">
        <f t="shared" si="1"/>
        <v>0</v>
      </c>
      <c r="G30" s="2">
        <v>64</v>
      </c>
      <c r="H30" s="4" t="s">
        <v>25</v>
      </c>
      <c r="I30" s="2" t="s">
        <v>9</v>
      </c>
      <c r="J30" s="4"/>
      <c r="K30" s="2">
        <v>4.2</v>
      </c>
      <c r="L30" s="6">
        <f t="shared" si="0"/>
        <v>0</v>
      </c>
    </row>
    <row r="31" spans="1:12" ht="13.15" customHeight="1">
      <c r="A31" s="2">
        <v>27</v>
      </c>
      <c r="B31" s="9" t="s">
        <v>102</v>
      </c>
      <c r="C31" s="8" t="s">
        <v>9</v>
      </c>
      <c r="D31" s="8"/>
      <c r="E31" s="26">
        <v>7</v>
      </c>
      <c r="F31" s="28">
        <f t="shared" si="1"/>
        <v>0</v>
      </c>
      <c r="G31" s="2">
        <v>65</v>
      </c>
      <c r="H31" s="4" t="s">
        <v>261</v>
      </c>
      <c r="I31" s="2" t="s">
        <v>9</v>
      </c>
      <c r="J31" s="4"/>
      <c r="K31" s="2">
        <v>2.4</v>
      </c>
      <c r="L31" s="6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8.25</v>
      </c>
      <c r="F32" s="7">
        <f t="shared" si="1"/>
        <v>0</v>
      </c>
      <c r="G32" s="2">
        <v>66</v>
      </c>
      <c r="H32" s="4"/>
      <c r="I32" s="2" t="s">
        <v>9</v>
      </c>
      <c r="J32" s="4"/>
      <c r="K32" s="2"/>
      <c r="L32" s="6">
        <f t="shared" si="0"/>
        <v>0</v>
      </c>
    </row>
    <row r="33" spans="1:13" ht="13.15" customHeight="1">
      <c r="A33" s="2">
        <v>29</v>
      </c>
      <c r="B33" s="4" t="s">
        <v>68</v>
      </c>
      <c r="C33" s="2" t="s">
        <v>9</v>
      </c>
      <c r="D33" s="2"/>
      <c r="E33" s="5">
        <v>6.4</v>
      </c>
      <c r="F33" s="6">
        <f t="shared" si="1"/>
        <v>0</v>
      </c>
      <c r="G33" s="2">
        <v>67</v>
      </c>
      <c r="H33" s="4"/>
      <c r="I33" s="2" t="s">
        <v>9</v>
      </c>
      <c r="J33" s="4"/>
      <c r="K33" s="2"/>
      <c r="L33" s="6">
        <f t="shared" si="0"/>
        <v>0</v>
      </c>
    </row>
    <row r="34" spans="1:13" ht="13.15" customHeight="1">
      <c r="A34" s="2">
        <v>30</v>
      </c>
      <c r="B34" s="4" t="s">
        <v>70</v>
      </c>
      <c r="C34" s="2" t="s">
        <v>9</v>
      </c>
      <c r="D34" s="2"/>
      <c r="E34" s="5">
        <v>0</v>
      </c>
      <c r="F34" s="6">
        <f t="shared" si="1"/>
        <v>0</v>
      </c>
      <c r="G34" s="2">
        <v>68</v>
      </c>
      <c r="H34" s="4"/>
      <c r="I34" s="2" t="s">
        <v>9</v>
      </c>
      <c r="J34" s="4"/>
      <c r="K34" s="2"/>
      <c r="L34" s="6">
        <f t="shared" si="0"/>
        <v>0</v>
      </c>
      <c r="M34" s="10"/>
    </row>
    <row r="35" spans="1:13" ht="13.15" customHeight="1">
      <c r="A35" s="2">
        <v>31</v>
      </c>
      <c r="B35" s="4" t="s">
        <v>72</v>
      </c>
      <c r="C35" s="2" t="s">
        <v>9</v>
      </c>
      <c r="D35" s="2"/>
      <c r="E35" s="5">
        <v>6.5</v>
      </c>
      <c r="F35" s="7">
        <f t="shared" si="1"/>
        <v>0</v>
      </c>
      <c r="G35" s="2">
        <v>69</v>
      </c>
      <c r="H35" s="4"/>
      <c r="I35" s="2" t="s">
        <v>9</v>
      </c>
      <c r="J35" s="4"/>
      <c r="K35" s="2"/>
      <c r="L35" s="6">
        <f t="shared" si="0"/>
        <v>0</v>
      </c>
    </row>
    <row r="36" spans="1:13" ht="13.15" customHeight="1">
      <c r="A36" s="2">
        <v>32</v>
      </c>
      <c r="B36" s="4" t="s">
        <v>74</v>
      </c>
      <c r="C36" s="2" t="s">
        <v>9</v>
      </c>
      <c r="D36" s="2"/>
      <c r="E36" s="2">
        <v>0</v>
      </c>
      <c r="F36" s="7">
        <f t="shared" si="1"/>
        <v>0</v>
      </c>
      <c r="G36" s="2">
        <v>70</v>
      </c>
      <c r="H36" s="4"/>
      <c r="I36" s="2" t="s">
        <v>9</v>
      </c>
      <c r="J36" s="4"/>
      <c r="K36" s="2"/>
      <c r="L36" s="6">
        <f t="shared" si="0"/>
        <v>0</v>
      </c>
    </row>
    <row r="37" spans="1:13" ht="13.15" customHeight="1">
      <c r="A37" s="2">
        <v>33</v>
      </c>
      <c r="B37" s="4" t="s">
        <v>76</v>
      </c>
      <c r="C37" s="2" t="s">
        <v>9</v>
      </c>
      <c r="D37" s="2"/>
      <c r="E37" s="2">
        <v>0</v>
      </c>
      <c r="F37" s="7">
        <f t="shared" si="1"/>
        <v>0</v>
      </c>
      <c r="G37" s="2">
        <v>71</v>
      </c>
      <c r="H37" s="4"/>
      <c r="I37" s="2" t="s">
        <v>9</v>
      </c>
      <c r="J37" s="4"/>
      <c r="K37" s="2"/>
      <c r="L37" s="6">
        <f t="shared" si="0"/>
        <v>0</v>
      </c>
      <c r="M37" s="11"/>
    </row>
    <row r="38" spans="1:13" ht="13.15" customHeight="1">
      <c r="A38" s="2">
        <v>34</v>
      </c>
      <c r="B38" s="4" t="s">
        <v>78</v>
      </c>
      <c r="C38" s="2" t="s">
        <v>9</v>
      </c>
      <c r="D38" s="2"/>
      <c r="E38" s="2">
        <v>0</v>
      </c>
      <c r="F38" s="7">
        <f t="shared" si="1"/>
        <v>0</v>
      </c>
      <c r="G38" s="2">
        <v>72</v>
      </c>
      <c r="H38" s="4"/>
      <c r="I38" s="2" t="s">
        <v>9</v>
      </c>
      <c r="J38" s="4"/>
      <c r="K38" s="2"/>
      <c r="L38" s="6">
        <f t="shared" si="0"/>
        <v>0</v>
      </c>
    </row>
    <row r="39" spans="1:13" ht="13.15" customHeight="1">
      <c r="A39" s="2">
        <v>35</v>
      </c>
      <c r="B39" s="4" t="s">
        <v>80</v>
      </c>
      <c r="C39" s="2" t="s">
        <v>9</v>
      </c>
      <c r="D39" s="2"/>
      <c r="E39" s="2">
        <v>0</v>
      </c>
      <c r="F39" s="7">
        <f t="shared" si="1"/>
        <v>0</v>
      </c>
      <c r="G39" s="2">
        <v>73</v>
      </c>
      <c r="H39" s="4"/>
      <c r="I39" s="2" t="s">
        <v>9</v>
      </c>
      <c r="J39" s="4"/>
      <c r="K39" s="2"/>
      <c r="L39" s="6">
        <f t="shared" si="0"/>
        <v>0</v>
      </c>
    </row>
    <row r="40" spans="1:13" ht="13.15" customHeight="1">
      <c r="I40" s="33" t="s">
        <v>82</v>
      </c>
      <c r="J40" s="34"/>
      <c r="K40" s="34"/>
      <c r="L40" s="23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69</v>
      </c>
    </row>
    <row r="42" spans="1:13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>
  <dimension ref="A1:M42"/>
  <sheetViews>
    <sheetView workbookViewId="0">
      <selection activeCell="D10" sqref="D10"/>
    </sheetView>
  </sheetViews>
  <sheetFormatPr defaultRowHeight="13.15" customHeight="1"/>
  <cols>
    <col min="1" max="1" width="4.7109375" style="17" customWidth="1"/>
    <col min="2" max="2" width="28.28515625" customWidth="1"/>
    <col min="3" max="3" width="6" bestFit="1" customWidth="1"/>
    <col min="4" max="4" width="5.85546875" bestFit="1" customWidth="1"/>
    <col min="5" max="5" width="8.28515625" customWidth="1"/>
    <col min="7" max="7" width="4.85546875" style="17" customWidth="1"/>
    <col min="8" max="8" width="23.28515625" customWidth="1"/>
    <col min="9" max="9" width="6.85546875" customWidth="1"/>
    <col min="10" max="10" width="6.7109375" customWidth="1"/>
    <col min="11" max="11" width="8.42578125" customWidth="1"/>
  </cols>
  <sheetData>
    <row r="1" spans="1:12" ht="13.15" customHeight="1">
      <c r="A1" s="30"/>
      <c r="B1" s="30"/>
      <c r="C1" s="30"/>
      <c r="D1" s="30" t="s">
        <v>260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 t="s">
        <v>236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1.45</v>
      </c>
      <c r="L2" s="6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0</v>
      </c>
      <c r="L3" s="6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2.5499999999999998</v>
      </c>
      <c r="L4" s="6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0</v>
      </c>
      <c r="F5" s="7">
        <f>D5*E5</f>
        <v>0</v>
      </c>
      <c r="G5" s="2">
        <v>39</v>
      </c>
      <c r="H5" s="4" t="s">
        <v>13</v>
      </c>
      <c r="I5" s="2" t="s">
        <v>9</v>
      </c>
      <c r="J5" s="2"/>
      <c r="K5" s="5">
        <v>2.1</v>
      </c>
      <c r="L5" s="6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</v>
      </c>
      <c r="F6" s="7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8.8000000000000007</v>
      </c>
      <c r="L6" s="6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0</v>
      </c>
      <c r="F7" s="7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0</v>
      </c>
      <c r="L7" s="6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7.85</v>
      </c>
      <c r="F8" s="7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2.5499999999999998</v>
      </c>
      <c r="L8" s="6">
        <f t="shared" si="0"/>
        <v>0</v>
      </c>
    </row>
    <row r="9" spans="1:12" ht="13.15" customHeight="1">
      <c r="A9" s="2">
        <v>5</v>
      </c>
      <c r="B9" s="9" t="s">
        <v>20</v>
      </c>
      <c r="C9" s="8" t="s">
        <v>9</v>
      </c>
      <c r="D9" s="8">
        <v>12</v>
      </c>
      <c r="E9" s="26">
        <v>5.75</v>
      </c>
      <c r="F9" s="27">
        <f t="shared" si="1"/>
        <v>69</v>
      </c>
      <c r="G9" s="2">
        <v>43</v>
      </c>
      <c r="H9" s="4" t="s">
        <v>21</v>
      </c>
      <c r="I9" s="2" t="s">
        <v>9</v>
      </c>
      <c r="J9" s="2"/>
      <c r="K9" s="5">
        <v>0</v>
      </c>
      <c r="L9" s="6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0</v>
      </c>
      <c r="F10" s="7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1.1499999999999999</v>
      </c>
      <c r="L10" s="6">
        <f t="shared" si="0"/>
        <v>0</v>
      </c>
    </row>
    <row r="11" spans="1:12" ht="13.15" customHeight="1">
      <c r="A11" s="2">
        <v>7</v>
      </c>
      <c r="B11" s="4" t="s">
        <v>125</v>
      </c>
      <c r="C11" s="2" t="s">
        <v>9</v>
      </c>
      <c r="D11" s="2"/>
      <c r="E11" s="5">
        <v>6.9</v>
      </c>
      <c r="F11" s="7">
        <f t="shared" si="1"/>
        <v>0</v>
      </c>
      <c r="G11" s="2">
        <v>45</v>
      </c>
      <c r="H11" s="4" t="s">
        <v>238</v>
      </c>
      <c r="I11" s="2" t="s">
        <v>9</v>
      </c>
      <c r="J11" s="2"/>
      <c r="K11" s="5">
        <v>0</v>
      </c>
      <c r="L11" s="6">
        <f t="shared" si="0"/>
        <v>0</v>
      </c>
    </row>
    <row r="12" spans="1:12" ht="13.15" customHeight="1">
      <c r="A12" s="2">
        <v>8</v>
      </c>
      <c r="B12" s="4" t="s">
        <v>239</v>
      </c>
      <c r="C12" s="2" t="s">
        <v>9</v>
      </c>
      <c r="D12" s="2"/>
      <c r="E12" s="5">
        <v>0</v>
      </c>
      <c r="F12" s="7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0</v>
      </c>
      <c r="L12" s="6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0</v>
      </c>
      <c r="F13" s="7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0</v>
      </c>
      <c r="L13" s="6">
        <f t="shared" si="0"/>
        <v>0</v>
      </c>
    </row>
    <row r="14" spans="1:12" ht="13.15" customHeight="1">
      <c r="A14" s="2">
        <v>3</v>
      </c>
      <c r="B14" s="4" t="s">
        <v>30</v>
      </c>
      <c r="C14" s="2" t="s">
        <v>9</v>
      </c>
      <c r="D14" s="2"/>
      <c r="E14" s="5">
        <v>0</v>
      </c>
      <c r="F14" s="7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0</v>
      </c>
      <c r="L14" s="6">
        <f t="shared" si="0"/>
        <v>0</v>
      </c>
    </row>
    <row r="15" spans="1:12" ht="13.15" customHeight="1">
      <c r="A15" s="2">
        <v>11</v>
      </c>
      <c r="B15" s="9" t="s">
        <v>32</v>
      </c>
      <c r="C15" s="8" t="s">
        <v>9</v>
      </c>
      <c r="D15" s="8"/>
      <c r="E15" s="26">
        <v>6.5</v>
      </c>
      <c r="F15" s="27">
        <f t="shared" si="1"/>
        <v>0</v>
      </c>
      <c r="G15" s="2">
        <v>49</v>
      </c>
      <c r="H15" s="4" t="s">
        <v>240</v>
      </c>
      <c r="I15" s="2" t="s">
        <v>9</v>
      </c>
      <c r="J15" s="2"/>
      <c r="K15" s="5">
        <v>9.1</v>
      </c>
      <c r="L15" s="6">
        <f t="shared" si="0"/>
        <v>0</v>
      </c>
    </row>
    <row r="16" spans="1:12" ht="13.15" customHeight="1">
      <c r="A16" s="2">
        <v>12</v>
      </c>
      <c r="B16" s="9" t="s">
        <v>241</v>
      </c>
      <c r="C16" s="8" t="s">
        <v>9</v>
      </c>
      <c r="D16" s="8"/>
      <c r="E16" s="26">
        <v>6.5</v>
      </c>
      <c r="F16" s="27">
        <f t="shared" si="1"/>
        <v>0</v>
      </c>
      <c r="G16" s="2">
        <v>50</v>
      </c>
      <c r="H16" s="4" t="s">
        <v>92</v>
      </c>
      <c r="I16" s="2" t="s">
        <v>9</v>
      </c>
      <c r="J16" s="2"/>
      <c r="K16" s="5">
        <v>7.45</v>
      </c>
      <c r="L16" s="6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0</v>
      </c>
      <c r="F17" s="7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0</v>
      </c>
      <c r="L17" s="6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0</v>
      </c>
      <c r="F18" s="7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3.2</v>
      </c>
      <c r="L18" s="6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6.2</v>
      </c>
      <c r="F19" s="7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0</v>
      </c>
      <c r="L19" s="6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0</v>
      </c>
      <c r="F20" s="7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0</v>
      </c>
      <c r="L20" s="6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0</v>
      </c>
      <c r="F21" s="7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0</v>
      </c>
      <c r="L21" s="6">
        <f t="shared" si="0"/>
        <v>0</v>
      </c>
    </row>
    <row r="22" spans="1:12" ht="13.15" customHeight="1">
      <c r="A22" s="2">
        <v>18</v>
      </c>
      <c r="B22" s="9" t="s">
        <v>46</v>
      </c>
      <c r="C22" s="8" t="s">
        <v>9</v>
      </c>
      <c r="D22" s="8"/>
      <c r="E22" s="26">
        <v>7</v>
      </c>
      <c r="F22" s="27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20.65</v>
      </c>
      <c r="L22" s="6">
        <f t="shared" si="0"/>
        <v>0</v>
      </c>
    </row>
    <row r="23" spans="1:12" ht="13.15" customHeight="1">
      <c r="A23" s="2">
        <v>19</v>
      </c>
      <c r="B23" s="9" t="s">
        <v>48</v>
      </c>
      <c r="C23" s="8" t="s">
        <v>9</v>
      </c>
      <c r="D23" s="8"/>
      <c r="E23" s="26">
        <v>7.75</v>
      </c>
      <c r="F23" s="27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14</v>
      </c>
      <c r="L23" s="6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0</v>
      </c>
      <c r="F24" s="7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0</v>
      </c>
      <c r="L24" s="6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7.9</v>
      </c>
      <c r="F25" s="7">
        <f t="shared" si="1"/>
        <v>0</v>
      </c>
      <c r="G25" s="2">
        <v>59</v>
      </c>
      <c r="H25" s="4" t="s">
        <v>243</v>
      </c>
      <c r="I25" s="2" t="s">
        <v>9</v>
      </c>
      <c r="J25" s="4"/>
      <c r="K25" s="2">
        <v>0</v>
      </c>
      <c r="L25" s="6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0</v>
      </c>
      <c r="F26" s="7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0</v>
      </c>
      <c r="L26" s="6">
        <f t="shared" si="0"/>
        <v>0</v>
      </c>
    </row>
    <row r="27" spans="1:12" ht="13.15" customHeight="1">
      <c r="A27" s="2">
        <v>23</v>
      </c>
      <c r="B27" s="9" t="s">
        <v>56</v>
      </c>
      <c r="C27" s="8" t="s">
        <v>9</v>
      </c>
      <c r="D27" s="8"/>
      <c r="E27" s="26">
        <v>5.75</v>
      </c>
      <c r="F27" s="27">
        <f t="shared" si="1"/>
        <v>0</v>
      </c>
      <c r="G27" s="2">
        <v>61</v>
      </c>
      <c r="H27" s="4" t="s">
        <v>244</v>
      </c>
      <c r="I27" s="2" t="s">
        <v>9</v>
      </c>
      <c r="J27" s="4"/>
      <c r="K27" s="2">
        <v>3.7</v>
      </c>
      <c r="L27" s="6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0</v>
      </c>
      <c r="F28" s="7">
        <f t="shared" si="1"/>
        <v>0</v>
      </c>
      <c r="G28" s="2">
        <v>62</v>
      </c>
      <c r="H28" s="4" t="s">
        <v>245</v>
      </c>
      <c r="I28" s="2" t="s">
        <v>9</v>
      </c>
      <c r="J28" s="4"/>
      <c r="K28" s="2">
        <v>7.35</v>
      </c>
      <c r="L28" s="6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6.7</v>
      </c>
      <c r="F29" s="7">
        <f t="shared" si="1"/>
        <v>0</v>
      </c>
      <c r="G29" s="2">
        <v>63</v>
      </c>
      <c r="H29" s="4" t="s">
        <v>63</v>
      </c>
      <c r="I29" s="2" t="s">
        <v>9</v>
      </c>
      <c r="J29" s="4"/>
      <c r="K29" s="2">
        <v>7.65</v>
      </c>
      <c r="L29" s="6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0</v>
      </c>
      <c r="F30" s="6">
        <f t="shared" si="1"/>
        <v>0</v>
      </c>
      <c r="G30" s="2">
        <v>64</v>
      </c>
      <c r="H30" s="4" t="s">
        <v>25</v>
      </c>
      <c r="I30" s="2" t="s">
        <v>9</v>
      </c>
      <c r="J30" s="4"/>
      <c r="K30" s="2">
        <v>4.2</v>
      </c>
      <c r="L30" s="6">
        <f t="shared" si="0"/>
        <v>0</v>
      </c>
    </row>
    <row r="31" spans="1:12" ht="13.15" customHeight="1">
      <c r="A31" s="2">
        <v>27</v>
      </c>
      <c r="B31" s="9" t="s">
        <v>102</v>
      </c>
      <c r="C31" s="8" t="s">
        <v>9</v>
      </c>
      <c r="D31" s="8"/>
      <c r="E31" s="26">
        <v>7</v>
      </c>
      <c r="F31" s="28">
        <f t="shared" si="1"/>
        <v>0</v>
      </c>
      <c r="G31" s="2">
        <v>65</v>
      </c>
      <c r="H31" s="4" t="s">
        <v>261</v>
      </c>
      <c r="I31" s="2" t="s">
        <v>9</v>
      </c>
      <c r="J31" s="4"/>
      <c r="K31" s="2">
        <v>2.4</v>
      </c>
      <c r="L31" s="6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8.25</v>
      </c>
      <c r="F32" s="7">
        <f t="shared" si="1"/>
        <v>0</v>
      </c>
      <c r="G32" s="2">
        <v>66</v>
      </c>
      <c r="H32" s="4"/>
      <c r="I32" s="2" t="s">
        <v>9</v>
      </c>
      <c r="J32" s="4"/>
      <c r="K32" s="2"/>
      <c r="L32" s="6">
        <f t="shared" si="0"/>
        <v>0</v>
      </c>
    </row>
    <row r="33" spans="1:13" ht="13.15" customHeight="1">
      <c r="A33" s="2">
        <v>29</v>
      </c>
      <c r="B33" s="4" t="s">
        <v>68</v>
      </c>
      <c r="C33" s="2" t="s">
        <v>9</v>
      </c>
      <c r="D33" s="2"/>
      <c r="E33" s="5">
        <v>6.4</v>
      </c>
      <c r="F33" s="6">
        <f t="shared" si="1"/>
        <v>0</v>
      </c>
      <c r="G33" s="2">
        <v>67</v>
      </c>
      <c r="H33" s="4"/>
      <c r="I33" s="2" t="s">
        <v>9</v>
      </c>
      <c r="J33" s="4"/>
      <c r="K33" s="2"/>
      <c r="L33" s="6">
        <f t="shared" si="0"/>
        <v>0</v>
      </c>
    </row>
    <row r="34" spans="1:13" ht="13.15" customHeight="1">
      <c r="A34" s="2">
        <v>30</v>
      </c>
      <c r="B34" s="4" t="s">
        <v>70</v>
      </c>
      <c r="C34" s="2" t="s">
        <v>9</v>
      </c>
      <c r="D34" s="2"/>
      <c r="E34" s="5">
        <v>0</v>
      </c>
      <c r="F34" s="6">
        <f t="shared" si="1"/>
        <v>0</v>
      </c>
      <c r="G34" s="2">
        <v>68</v>
      </c>
      <c r="H34" s="4"/>
      <c r="I34" s="2" t="s">
        <v>9</v>
      </c>
      <c r="J34" s="4"/>
      <c r="K34" s="2"/>
      <c r="L34" s="6">
        <f t="shared" si="0"/>
        <v>0</v>
      </c>
      <c r="M34" s="10"/>
    </row>
    <row r="35" spans="1:13" ht="13.15" customHeight="1">
      <c r="A35" s="2">
        <v>31</v>
      </c>
      <c r="B35" s="4" t="s">
        <v>72</v>
      </c>
      <c r="C35" s="2" t="s">
        <v>9</v>
      </c>
      <c r="D35" s="2"/>
      <c r="E35" s="5">
        <v>6.5</v>
      </c>
      <c r="F35" s="7">
        <f t="shared" si="1"/>
        <v>0</v>
      </c>
      <c r="G35" s="2">
        <v>69</v>
      </c>
      <c r="H35" s="4"/>
      <c r="I35" s="2" t="s">
        <v>9</v>
      </c>
      <c r="J35" s="4"/>
      <c r="K35" s="2"/>
      <c r="L35" s="6">
        <f t="shared" si="0"/>
        <v>0</v>
      </c>
    </row>
    <row r="36" spans="1:13" ht="13.15" customHeight="1">
      <c r="A36" s="2">
        <v>32</v>
      </c>
      <c r="B36" s="4" t="s">
        <v>74</v>
      </c>
      <c r="C36" s="2" t="s">
        <v>9</v>
      </c>
      <c r="D36" s="2"/>
      <c r="E36" s="2">
        <v>0</v>
      </c>
      <c r="F36" s="7">
        <f t="shared" si="1"/>
        <v>0</v>
      </c>
      <c r="G36" s="2">
        <v>70</v>
      </c>
      <c r="H36" s="4"/>
      <c r="I36" s="2" t="s">
        <v>9</v>
      </c>
      <c r="J36" s="4"/>
      <c r="K36" s="2"/>
      <c r="L36" s="6">
        <f t="shared" si="0"/>
        <v>0</v>
      </c>
    </row>
    <row r="37" spans="1:13" ht="13.15" customHeight="1">
      <c r="A37" s="2">
        <v>33</v>
      </c>
      <c r="B37" s="4" t="s">
        <v>76</v>
      </c>
      <c r="C37" s="2" t="s">
        <v>9</v>
      </c>
      <c r="D37" s="2"/>
      <c r="E37" s="2">
        <v>0</v>
      </c>
      <c r="F37" s="7">
        <f t="shared" si="1"/>
        <v>0</v>
      </c>
      <c r="G37" s="2">
        <v>71</v>
      </c>
      <c r="H37" s="4"/>
      <c r="I37" s="2" t="s">
        <v>9</v>
      </c>
      <c r="J37" s="4"/>
      <c r="K37" s="2"/>
      <c r="L37" s="6">
        <f t="shared" si="0"/>
        <v>0</v>
      </c>
      <c r="M37" s="11"/>
    </row>
    <row r="38" spans="1:13" ht="13.15" customHeight="1">
      <c r="A38" s="2">
        <v>34</v>
      </c>
      <c r="B38" s="4" t="s">
        <v>78</v>
      </c>
      <c r="C38" s="2" t="s">
        <v>9</v>
      </c>
      <c r="D38" s="2"/>
      <c r="E38" s="2">
        <v>0</v>
      </c>
      <c r="F38" s="7">
        <f t="shared" si="1"/>
        <v>0</v>
      </c>
      <c r="G38" s="2">
        <v>72</v>
      </c>
      <c r="H38" s="4"/>
      <c r="I38" s="2" t="s">
        <v>9</v>
      </c>
      <c r="J38" s="4"/>
      <c r="K38" s="2"/>
      <c r="L38" s="6">
        <f t="shared" si="0"/>
        <v>0</v>
      </c>
    </row>
    <row r="39" spans="1:13" ht="13.15" customHeight="1">
      <c r="A39" s="2">
        <v>35</v>
      </c>
      <c r="B39" s="4" t="s">
        <v>80</v>
      </c>
      <c r="C39" s="2" t="s">
        <v>9</v>
      </c>
      <c r="D39" s="2"/>
      <c r="E39" s="2">
        <v>0</v>
      </c>
      <c r="F39" s="7">
        <f t="shared" si="1"/>
        <v>0</v>
      </c>
      <c r="G39" s="2">
        <v>73</v>
      </c>
      <c r="H39" s="4"/>
      <c r="I39" s="2" t="s">
        <v>9</v>
      </c>
      <c r="J39" s="4"/>
      <c r="K39" s="2"/>
      <c r="L39" s="6">
        <f t="shared" si="0"/>
        <v>0</v>
      </c>
    </row>
    <row r="40" spans="1:13" ht="13.15" customHeight="1">
      <c r="I40" s="33" t="s">
        <v>82</v>
      </c>
      <c r="J40" s="34"/>
      <c r="K40" s="34"/>
      <c r="L40" s="23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69</v>
      </c>
    </row>
    <row r="42" spans="1:13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>
  <dimension ref="A1:M42"/>
  <sheetViews>
    <sheetView workbookViewId="0">
      <selection activeCell="D10" sqref="D10"/>
    </sheetView>
  </sheetViews>
  <sheetFormatPr defaultRowHeight="13.15" customHeight="1"/>
  <cols>
    <col min="1" max="1" width="4.7109375" style="17" customWidth="1"/>
    <col min="2" max="2" width="28.28515625" customWidth="1"/>
    <col min="3" max="3" width="6" bestFit="1" customWidth="1"/>
    <col min="4" max="4" width="5.85546875" bestFit="1" customWidth="1"/>
    <col min="5" max="5" width="8.28515625" customWidth="1"/>
    <col min="7" max="7" width="4.85546875" style="17" customWidth="1"/>
    <col min="8" max="8" width="23.28515625" customWidth="1"/>
    <col min="9" max="9" width="6.85546875" customWidth="1"/>
    <col min="10" max="10" width="6.7109375" customWidth="1"/>
    <col min="11" max="11" width="8.42578125" customWidth="1"/>
  </cols>
  <sheetData>
    <row r="1" spans="1:12" ht="13.15" customHeight="1">
      <c r="A1" s="30"/>
      <c r="B1" s="30"/>
      <c r="C1" s="30"/>
      <c r="D1" s="30" t="s">
        <v>260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 t="s">
        <v>236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1.45</v>
      </c>
      <c r="L2" s="6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0</v>
      </c>
      <c r="L3" s="6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2.5499999999999998</v>
      </c>
      <c r="L4" s="6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0</v>
      </c>
      <c r="F5" s="7">
        <f>D5*E5</f>
        <v>0</v>
      </c>
      <c r="G5" s="2">
        <v>39</v>
      </c>
      <c r="H5" s="4" t="s">
        <v>13</v>
      </c>
      <c r="I5" s="2" t="s">
        <v>9</v>
      </c>
      <c r="J5" s="2"/>
      <c r="K5" s="5">
        <v>2.1</v>
      </c>
      <c r="L5" s="6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</v>
      </c>
      <c r="F6" s="7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8.8000000000000007</v>
      </c>
      <c r="L6" s="6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0</v>
      </c>
      <c r="F7" s="7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0</v>
      </c>
      <c r="L7" s="6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7.85</v>
      </c>
      <c r="F8" s="7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2.5499999999999998</v>
      </c>
      <c r="L8" s="6">
        <f t="shared" si="0"/>
        <v>0</v>
      </c>
    </row>
    <row r="9" spans="1:12" ht="13.15" customHeight="1">
      <c r="A9" s="2">
        <v>5</v>
      </c>
      <c r="B9" s="9" t="s">
        <v>20</v>
      </c>
      <c r="C9" s="8" t="s">
        <v>9</v>
      </c>
      <c r="D9" s="8">
        <v>12</v>
      </c>
      <c r="E9" s="26">
        <v>5.75</v>
      </c>
      <c r="F9" s="27">
        <f t="shared" si="1"/>
        <v>69</v>
      </c>
      <c r="G9" s="2">
        <v>43</v>
      </c>
      <c r="H9" s="4" t="s">
        <v>21</v>
      </c>
      <c r="I9" s="2" t="s">
        <v>9</v>
      </c>
      <c r="J9" s="2"/>
      <c r="K9" s="5">
        <v>0</v>
      </c>
      <c r="L9" s="6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0</v>
      </c>
      <c r="F10" s="7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1.1499999999999999</v>
      </c>
      <c r="L10" s="6">
        <f t="shared" si="0"/>
        <v>0</v>
      </c>
    </row>
    <row r="11" spans="1:12" ht="13.15" customHeight="1">
      <c r="A11" s="2">
        <v>7</v>
      </c>
      <c r="B11" s="4" t="s">
        <v>125</v>
      </c>
      <c r="C11" s="2" t="s">
        <v>9</v>
      </c>
      <c r="D11" s="2"/>
      <c r="E11" s="5">
        <v>6.9</v>
      </c>
      <c r="F11" s="7">
        <f t="shared" si="1"/>
        <v>0</v>
      </c>
      <c r="G11" s="2">
        <v>45</v>
      </c>
      <c r="H11" s="4" t="s">
        <v>238</v>
      </c>
      <c r="I11" s="2" t="s">
        <v>9</v>
      </c>
      <c r="J11" s="2"/>
      <c r="K11" s="5">
        <v>0</v>
      </c>
      <c r="L11" s="6">
        <f t="shared" si="0"/>
        <v>0</v>
      </c>
    </row>
    <row r="12" spans="1:12" ht="13.15" customHeight="1">
      <c r="A12" s="2">
        <v>8</v>
      </c>
      <c r="B12" s="4" t="s">
        <v>239</v>
      </c>
      <c r="C12" s="2" t="s">
        <v>9</v>
      </c>
      <c r="D12" s="2"/>
      <c r="E12" s="5">
        <v>0</v>
      </c>
      <c r="F12" s="7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0</v>
      </c>
      <c r="L12" s="6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0</v>
      </c>
      <c r="F13" s="7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0</v>
      </c>
      <c r="L13" s="6">
        <f t="shared" si="0"/>
        <v>0</v>
      </c>
    </row>
    <row r="14" spans="1:12" ht="13.15" customHeight="1">
      <c r="A14" s="2">
        <v>3</v>
      </c>
      <c r="B14" s="4" t="s">
        <v>30</v>
      </c>
      <c r="C14" s="2" t="s">
        <v>9</v>
      </c>
      <c r="D14" s="2"/>
      <c r="E14" s="5">
        <v>0</v>
      </c>
      <c r="F14" s="7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0</v>
      </c>
      <c r="L14" s="6">
        <f t="shared" si="0"/>
        <v>0</v>
      </c>
    </row>
    <row r="15" spans="1:12" ht="13.15" customHeight="1">
      <c r="A15" s="2">
        <v>11</v>
      </c>
      <c r="B15" s="9" t="s">
        <v>32</v>
      </c>
      <c r="C15" s="8" t="s">
        <v>9</v>
      </c>
      <c r="D15" s="8"/>
      <c r="E15" s="26">
        <v>6.5</v>
      </c>
      <c r="F15" s="27">
        <f t="shared" si="1"/>
        <v>0</v>
      </c>
      <c r="G15" s="2">
        <v>49</v>
      </c>
      <c r="H15" s="4" t="s">
        <v>240</v>
      </c>
      <c r="I15" s="2" t="s">
        <v>9</v>
      </c>
      <c r="J15" s="2"/>
      <c r="K15" s="5">
        <v>9.1</v>
      </c>
      <c r="L15" s="6">
        <f t="shared" si="0"/>
        <v>0</v>
      </c>
    </row>
    <row r="16" spans="1:12" ht="13.15" customHeight="1">
      <c r="A16" s="2">
        <v>12</v>
      </c>
      <c r="B16" s="9" t="s">
        <v>241</v>
      </c>
      <c r="C16" s="8" t="s">
        <v>9</v>
      </c>
      <c r="D16" s="8"/>
      <c r="E16" s="26">
        <v>6.5</v>
      </c>
      <c r="F16" s="27">
        <f t="shared" si="1"/>
        <v>0</v>
      </c>
      <c r="G16" s="2">
        <v>50</v>
      </c>
      <c r="H16" s="4" t="s">
        <v>92</v>
      </c>
      <c r="I16" s="2" t="s">
        <v>9</v>
      </c>
      <c r="J16" s="2"/>
      <c r="K16" s="5">
        <v>7.45</v>
      </c>
      <c r="L16" s="6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0</v>
      </c>
      <c r="F17" s="7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0</v>
      </c>
      <c r="L17" s="6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0</v>
      </c>
      <c r="F18" s="7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3.2</v>
      </c>
      <c r="L18" s="6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6.2</v>
      </c>
      <c r="F19" s="7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0</v>
      </c>
      <c r="L19" s="6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0</v>
      </c>
      <c r="F20" s="7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0</v>
      </c>
      <c r="L20" s="6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0</v>
      </c>
      <c r="F21" s="7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0</v>
      </c>
      <c r="L21" s="6">
        <f t="shared" si="0"/>
        <v>0</v>
      </c>
    </row>
    <row r="22" spans="1:12" ht="13.15" customHeight="1">
      <c r="A22" s="2">
        <v>18</v>
      </c>
      <c r="B22" s="9" t="s">
        <v>46</v>
      </c>
      <c r="C22" s="8" t="s">
        <v>9</v>
      </c>
      <c r="D22" s="8"/>
      <c r="E22" s="26">
        <v>7</v>
      </c>
      <c r="F22" s="27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20.65</v>
      </c>
      <c r="L22" s="6">
        <f t="shared" si="0"/>
        <v>0</v>
      </c>
    </row>
    <row r="23" spans="1:12" ht="13.15" customHeight="1">
      <c r="A23" s="2">
        <v>19</v>
      </c>
      <c r="B23" s="9" t="s">
        <v>48</v>
      </c>
      <c r="C23" s="8" t="s">
        <v>9</v>
      </c>
      <c r="D23" s="8"/>
      <c r="E23" s="26">
        <v>7.75</v>
      </c>
      <c r="F23" s="27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14</v>
      </c>
      <c r="L23" s="6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0</v>
      </c>
      <c r="F24" s="7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0</v>
      </c>
      <c r="L24" s="6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7.9</v>
      </c>
      <c r="F25" s="7">
        <f t="shared" si="1"/>
        <v>0</v>
      </c>
      <c r="G25" s="2">
        <v>59</v>
      </c>
      <c r="H25" s="4" t="s">
        <v>243</v>
      </c>
      <c r="I25" s="2" t="s">
        <v>9</v>
      </c>
      <c r="J25" s="4"/>
      <c r="K25" s="2">
        <v>0</v>
      </c>
      <c r="L25" s="6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0</v>
      </c>
      <c r="F26" s="7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0</v>
      </c>
      <c r="L26" s="6">
        <f t="shared" si="0"/>
        <v>0</v>
      </c>
    </row>
    <row r="27" spans="1:12" ht="13.15" customHeight="1">
      <c r="A27" s="2">
        <v>23</v>
      </c>
      <c r="B27" s="9" t="s">
        <v>56</v>
      </c>
      <c r="C27" s="8" t="s">
        <v>9</v>
      </c>
      <c r="D27" s="8"/>
      <c r="E27" s="26">
        <v>5.75</v>
      </c>
      <c r="F27" s="27">
        <f t="shared" si="1"/>
        <v>0</v>
      </c>
      <c r="G27" s="2">
        <v>61</v>
      </c>
      <c r="H27" s="4" t="s">
        <v>244</v>
      </c>
      <c r="I27" s="2" t="s">
        <v>9</v>
      </c>
      <c r="J27" s="4"/>
      <c r="K27" s="2">
        <v>3.7</v>
      </c>
      <c r="L27" s="6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0</v>
      </c>
      <c r="F28" s="7">
        <f t="shared" si="1"/>
        <v>0</v>
      </c>
      <c r="G28" s="2">
        <v>62</v>
      </c>
      <c r="H28" s="4" t="s">
        <v>245</v>
      </c>
      <c r="I28" s="2" t="s">
        <v>9</v>
      </c>
      <c r="J28" s="4"/>
      <c r="K28" s="2">
        <v>7.35</v>
      </c>
      <c r="L28" s="6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6.7</v>
      </c>
      <c r="F29" s="7">
        <f t="shared" si="1"/>
        <v>0</v>
      </c>
      <c r="G29" s="2">
        <v>63</v>
      </c>
      <c r="H29" s="4" t="s">
        <v>63</v>
      </c>
      <c r="I29" s="2" t="s">
        <v>9</v>
      </c>
      <c r="J29" s="4"/>
      <c r="K29" s="2">
        <v>7.65</v>
      </c>
      <c r="L29" s="6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0</v>
      </c>
      <c r="F30" s="6">
        <f t="shared" si="1"/>
        <v>0</v>
      </c>
      <c r="G30" s="2">
        <v>64</v>
      </c>
      <c r="H30" s="4" t="s">
        <v>25</v>
      </c>
      <c r="I30" s="2" t="s">
        <v>9</v>
      </c>
      <c r="J30" s="4"/>
      <c r="K30" s="2">
        <v>4.2</v>
      </c>
      <c r="L30" s="6">
        <f t="shared" si="0"/>
        <v>0</v>
      </c>
    </row>
    <row r="31" spans="1:12" ht="13.15" customHeight="1">
      <c r="A31" s="2">
        <v>27</v>
      </c>
      <c r="B31" s="9" t="s">
        <v>102</v>
      </c>
      <c r="C31" s="8" t="s">
        <v>9</v>
      </c>
      <c r="D31" s="8"/>
      <c r="E31" s="26">
        <v>7</v>
      </c>
      <c r="F31" s="28">
        <f t="shared" si="1"/>
        <v>0</v>
      </c>
      <c r="G31" s="2">
        <v>65</v>
      </c>
      <c r="H31" s="4" t="s">
        <v>261</v>
      </c>
      <c r="I31" s="2" t="s">
        <v>9</v>
      </c>
      <c r="J31" s="4"/>
      <c r="K31" s="2">
        <v>2.4</v>
      </c>
      <c r="L31" s="6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8.25</v>
      </c>
      <c r="F32" s="7">
        <f t="shared" si="1"/>
        <v>0</v>
      </c>
      <c r="G32" s="2">
        <v>66</v>
      </c>
      <c r="H32" s="4"/>
      <c r="I32" s="2" t="s">
        <v>9</v>
      </c>
      <c r="J32" s="4"/>
      <c r="K32" s="2"/>
      <c r="L32" s="6">
        <f t="shared" si="0"/>
        <v>0</v>
      </c>
    </row>
    <row r="33" spans="1:13" ht="13.15" customHeight="1">
      <c r="A33" s="2">
        <v>29</v>
      </c>
      <c r="B33" s="4" t="s">
        <v>68</v>
      </c>
      <c r="C33" s="2" t="s">
        <v>9</v>
      </c>
      <c r="D33" s="2"/>
      <c r="E33" s="5">
        <v>6.4</v>
      </c>
      <c r="F33" s="6">
        <f t="shared" si="1"/>
        <v>0</v>
      </c>
      <c r="G33" s="2">
        <v>67</v>
      </c>
      <c r="H33" s="4"/>
      <c r="I33" s="2" t="s">
        <v>9</v>
      </c>
      <c r="J33" s="4"/>
      <c r="K33" s="2"/>
      <c r="L33" s="6">
        <f t="shared" si="0"/>
        <v>0</v>
      </c>
    </row>
    <row r="34" spans="1:13" ht="13.15" customHeight="1">
      <c r="A34" s="2">
        <v>30</v>
      </c>
      <c r="B34" s="4" t="s">
        <v>70</v>
      </c>
      <c r="C34" s="2" t="s">
        <v>9</v>
      </c>
      <c r="D34" s="2"/>
      <c r="E34" s="5">
        <v>0</v>
      </c>
      <c r="F34" s="6">
        <f t="shared" si="1"/>
        <v>0</v>
      </c>
      <c r="G34" s="2">
        <v>68</v>
      </c>
      <c r="H34" s="4"/>
      <c r="I34" s="2" t="s">
        <v>9</v>
      </c>
      <c r="J34" s="4"/>
      <c r="K34" s="2"/>
      <c r="L34" s="6">
        <f t="shared" si="0"/>
        <v>0</v>
      </c>
      <c r="M34" s="10"/>
    </row>
    <row r="35" spans="1:13" ht="13.15" customHeight="1">
      <c r="A35" s="2">
        <v>31</v>
      </c>
      <c r="B35" s="4" t="s">
        <v>72</v>
      </c>
      <c r="C35" s="2" t="s">
        <v>9</v>
      </c>
      <c r="D35" s="2"/>
      <c r="E35" s="5">
        <v>6.5</v>
      </c>
      <c r="F35" s="7">
        <f t="shared" si="1"/>
        <v>0</v>
      </c>
      <c r="G35" s="2">
        <v>69</v>
      </c>
      <c r="H35" s="4"/>
      <c r="I35" s="2" t="s">
        <v>9</v>
      </c>
      <c r="J35" s="4"/>
      <c r="K35" s="2"/>
      <c r="L35" s="6">
        <f t="shared" si="0"/>
        <v>0</v>
      </c>
    </row>
    <row r="36" spans="1:13" ht="13.15" customHeight="1">
      <c r="A36" s="2">
        <v>32</v>
      </c>
      <c r="B36" s="4" t="s">
        <v>74</v>
      </c>
      <c r="C36" s="2" t="s">
        <v>9</v>
      </c>
      <c r="D36" s="2"/>
      <c r="E36" s="2">
        <v>0</v>
      </c>
      <c r="F36" s="7">
        <f t="shared" si="1"/>
        <v>0</v>
      </c>
      <c r="G36" s="2">
        <v>70</v>
      </c>
      <c r="H36" s="4"/>
      <c r="I36" s="2" t="s">
        <v>9</v>
      </c>
      <c r="J36" s="4"/>
      <c r="K36" s="2"/>
      <c r="L36" s="6">
        <f t="shared" si="0"/>
        <v>0</v>
      </c>
    </row>
    <row r="37" spans="1:13" ht="13.15" customHeight="1">
      <c r="A37" s="2">
        <v>33</v>
      </c>
      <c r="B37" s="4" t="s">
        <v>76</v>
      </c>
      <c r="C37" s="2" t="s">
        <v>9</v>
      </c>
      <c r="D37" s="2"/>
      <c r="E37" s="2">
        <v>0</v>
      </c>
      <c r="F37" s="7">
        <f t="shared" si="1"/>
        <v>0</v>
      </c>
      <c r="G37" s="2">
        <v>71</v>
      </c>
      <c r="H37" s="4"/>
      <c r="I37" s="2" t="s">
        <v>9</v>
      </c>
      <c r="J37" s="4"/>
      <c r="K37" s="2"/>
      <c r="L37" s="6">
        <f t="shared" si="0"/>
        <v>0</v>
      </c>
      <c r="M37" s="11"/>
    </row>
    <row r="38" spans="1:13" ht="13.15" customHeight="1">
      <c r="A38" s="2">
        <v>34</v>
      </c>
      <c r="B38" s="4" t="s">
        <v>78</v>
      </c>
      <c r="C38" s="2" t="s">
        <v>9</v>
      </c>
      <c r="D38" s="2"/>
      <c r="E38" s="2">
        <v>0</v>
      </c>
      <c r="F38" s="7">
        <f t="shared" si="1"/>
        <v>0</v>
      </c>
      <c r="G38" s="2">
        <v>72</v>
      </c>
      <c r="H38" s="4"/>
      <c r="I38" s="2" t="s">
        <v>9</v>
      </c>
      <c r="J38" s="4"/>
      <c r="K38" s="2"/>
      <c r="L38" s="6">
        <f t="shared" si="0"/>
        <v>0</v>
      </c>
    </row>
    <row r="39" spans="1:13" ht="13.15" customHeight="1">
      <c r="A39" s="2">
        <v>35</v>
      </c>
      <c r="B39" s="4" t="s">
        <v>80</v>
      </c>
      <c r="C39" s="2" t="s">
        <v>9</v>
      </c>
      <c r="D39" s="2"/>
      <c r="E39" s="2">
        <v>0</v>
      </c>
      <c r="F39" s="7">
        <f t="shared" si="1"/>
        <v>0</v>
      </c>
      <c r="G39" s="2">
        <v>73</v>
      </c>
      <c r="H39" s="4"/>
      <c r="I39" s="2" t="s">
        <v>9</v>
      </c>
      <c r="J39" s="4"/>
      <c r="K39" s="2"/>
      <c r="L39" s="6">
        <f t="shared" si="0"/>
        <v>0</v>
      </c>
    </row>
    <row r="40" spans="1:13" ht="13.15" customHeight="1">
      <c r="I40" s="33" t="s">
        <v>82</v>
      </c>
      <c r="J40" s="34"/>
      <c r="K40" s="34"/>
      <c r="L40" s="23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69</v>
      </c>
    </row>
    <row r="42" spans="1:13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>
  <dimension ref="A1:M42"/>
  <sheetViews>
    <sheetView workbookViewId="0">
      <selection activeCell="D10" sqref="D10"/>
    </sheetView>
  </sheetViews>
  <sheetFormatPr defaultRowHeight="13.15" customHeight="1"/>
  <cols>
    <col min="1" max="1" width="4.7109375" style="17" customWidth="1"/>
    <col min="2" max="2" width="28.28515625" customWidth="1"/>
    <col min="3" max="3" width="6" bestFit="1" customWidth="1"/>
    <col min="4" max="4" width="5.85546875" bestFit="1" customWidth="1"/>
    <col min="5" max="5" width="8.28515625" customWidth="1"/>
    <col min="7" max="7" width="4.85546875" style="17" customWidth="1"/>
    <col min="8" max="8" width="23.28515625" customWidth="1"/>
    <col min="9" max="9" width="6.85546875" customWidth="1"/>
    <col min="10" max="10" width="6.7109375" customWidth="1"/>
    <col min="11" max="11" width="8.42578125" customWidth="1"/>
  </cols>
  <sheetData>
    <row r="1" spans="1:12" ht="13.15" customHeight="1">
      <c r="A1" s="30"/>
      <c r="B1" s="30"/>
      <c r="C1" s="30"/>
      <c r="D1" s="30" t="s">
        <v>260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 t="s">
        <v>236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1.45</v>
      </c>
      <c r="L2" s="6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0</v>
      </c>
      <c r="L3" s="6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2.5499999999999998</v>
      </c>
      <c r="L4" s="6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0</v>
      </c>
      <c r="F5" s="7">
        <f>D5*E5</f>
        <v>0</v>
      </c>
      <c r="G5" s="2">
        <v>39</v>
      </c>
      <c r="H5" s="4" t="s">
        <v>13</v>
      </c>
      <c r="I5" s="2" t="s">
        <v>9</v>
      </c>
      <c r="J5" s="2"/>
      <c r="K5" s="5">
        <v>2.1</v>
      </c>
      <c r="L5" s="6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</v>
      </c>
      <c r="F6" s="7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8.8000000000000007</v>
      </c>
      <c r="L6" s="6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0</v>
      </c>
      <c r="F7" s="7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0</v>
      </c>
      <c r="L7" s="6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7.85</v>
      </c>
      <c r="F8" s="7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2.5499999999999998</v>
      </c>
      <c r="L8" s="6">
        <f t="shared" si="0"/>
        <v>0</v>
      </c>
    </row>
    <row r="9" spans="1:12" ht="13.15" customHeight="1">
      <c r="A9" s="2">
        <v>5</v>
      </c>
      <c r="B9" s="9" t="s">
        <v>20</v>
      </c>
      <c r="C9" s="8" t="s">
        <v>9</v>
      </c>
      <c r="D9" s="8">
        <v>12</v>
      </c>
      <c r="E9" s="26">
        <v>5.75</v>
      </c>
      <c r="F9" s="27">
        <f t="shared" si="1"/>
        <v>69</v>
      </c>
      <c r="G9" s="2">
        <v>43</v>
      </c>
      <c r="H9" s="4" t="s">
        <v>21</v>
      </c>
      <c r="I9" s="2" t="s">
        <v>9</v>
      </c>
      <c r="J9" s="2"/>
      <c r="K9" s="5">
        <v>0</v>
      </c>
      <c r="L9" s="6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0</v>
      </c>
      <c r="F10" s="7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1.1499999999999999</v>
      </c>
      <c r="L10" s="6">
        <f t="shared" si="0"/>
        <v>0</v>
      </c>
    </row>
    <row r="11" spans="1:12" ht="13.15" customHeight="1">
      <c r="A11" s="2">
        <v>7</v>
      </c>
      <c r="B11" s="4" t="s">
        <v>125</v>
      </c>
      <c r="C11" s="2" t="s">
        <v>9</v>
      </c>
      <c r="D11" s="2"/>
      <c r="E11" s="5">
        <v>6.9</v>
      </c>
      <c r="F11" s="7">
        <f t="shared" si="1"/>
        <v>0</v>
      </c>
      <c r="G11" s="2">
        <v>45</v>
      </c>
      <c r="H11" s="4" t="s">
        <v>238</v>
      </c>
      <c r="I11" s="2" t="s">
        <v>9</v>
      </c>
      <c r="J11" s="2"/>
      <c r="K11" s="5">
        <v>0</v>
      </c>
      <c r="L11" s="6">
        <f t="shared" si="0"/>
        <v>0</v>
      </c>
    </row>
    <row r="12" spans="1:12" ht="13.15" customHeight="1">
      <c r="A12" s="2">
        <v>8</v>
      </c>
      <c r="B12" s="4" t="s">
        <v>239</v>
      </c>
      <c r="C12" s="2" t="s">
        <v>9</v>
      </c>
      <c r="D12" s="2"/>
      <c r="E12" s="5">
        <v>0</v>
      </c>
      <c r="F12" s="7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0</v>
      </c>
      <c r="L12" s="6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0</v>
      </c>
      <c r="F13" s="7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0</v>
      </c>
      <c r="L13" s="6">
        <f t="shared" si="0"/>
        <v>0</v>
      </c>
    </row>
    <row r="14" spans="1:12" ht="13.15" customHeight="1">
      <c r="A14" s="2">
        <v>3</v>
      </c>
      <c r="B14" s="4" t="s">
        <v>30</v>
      </c>
      <c r="C14" s="2" t="s">
        <v>9</v>
      </c>
      <c r="D14" s="2"/>
      <c r="E14" s="5">
        <v>0</v>
      </c>
      <c r="F14" s="7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0</v>
      </c>
      <c r="L14" s="6">
        <f t="shared" si="0"/>
        <v>0</v>
      </c>
    </row>
    <row r="15" spans="1:12" ht="13.15" customHeight="1">
      <c r="A15" s="2">
        <v>11</v>
      </c>
      <c r="B15" s="9" t="s">
        <v>32</v>
      </c>
      <c r="C15" s="8" t="s">
        <v>9</v>
      </c>
      <c r="D15" s="8"/>
      <c r="E15" s="26">
        <v>6.5</v>
      </c>
      <c r="F15" s="27">
        <f t="shared" si="1"/>
        <v>0</v>
      </c>
      <c r="G15" s="2">
        <v>49</v>
      </c>
      <c r="H15" s="4" t="s">
        <v>240</v>
      </c>
      <c r="I15" s="2" t="s">
        <v>9</v>
      </c>
      <c r="J15" s="2"/>
      <c r="K15" s="5">
        <v>9.1</v>
      </c>
      <c r="L15" s="6">
        <f t="shared" si="0"/>
        <v>0</v>
      </c>
    </row>
    <row r="16" spans="1:12" ht="13.15" customHeight="1">
      <c r="A16" s="2">
        <v>12</v>
      </c>
      <c r="B16" s="9" t="s">
        <v>241</v>
      </c>
      <c r="C16" s="8" t="s">
        <v>9</v>
      </c>
      <c r="D16" s="8"/>
      <c r="E16" s="26">
        <v>6.5</v>
      </c>
      <c r="F16" s="27">
        <f t="shared" si="1"/>
        <v>0</v>
      </c>
      <c r="G16" s="2">
        <v>50</v>
      </c>
      <c r="H16" s="4" t="s">
        <v>92</v>
      </c>
      <c r="I16" s="2" t="s">
        <v>9</v>
      </c>
      <c r="J16" s="2"/>
      <c r="K16" s="5">
        <v>7.45</v>
      </c>
      <c r="L16" s="6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0</v>
      </c>
      <c r="F17" s="7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0</v>
      </c>
      <c r="L17" s="6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0</v>
      </c>
      <c r="F18" s="7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3.2</v>
      </c>
      <c r="L18" s="6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6.2</v>
      </c>
      <c r="F19" s="7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0</v>
      </c>
      <c r="L19" s="6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0</v>
      </c>
      <c r="F20" s="7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0</v>
      </c>
      <c r="L20" s="6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0</v>
      </c>
      <c r="F21" s="7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0</v>
      </c>
      <c r="L21" s="6">
        <f t="shared" si="0"/>
        <v>0</v>
      </c>
    </row>
    <row r="22" spans="1:12" ht="13.15" customHeight="1">
      <c r="A22" s="2">
        <v>18</v>
      </c>
      <c r="B22" s="9" t="s">
        <v>46</v>
      </c>
      <c r="C22" s="8" t="s">
        <v>9</v>
      </c>
      <c r="D22" s="8"/>
      <c r="E22" s="26">
        <v>7</v>
      </c>
      <c r="F22" s="27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20.65</v>
      </c>
      <c r="L22" s="6">
        <f t="shared" si="0"/>
        <v>0</v>
      </c>
    </row>
    <row r="23" spans="1:12" ht="13.15" customHeight="1">
      <c r="A23" s="2">
        <v>19</v>
      </c>
      <c r="B23" s="9" t="s">
        <v>48</v>
      </c>
      <c r="C23" s="8" t="s">
        <v>9</v>
      </c>
      <c r="D23" s="8"/>
      <c r="E23" s="26">
        <v>7.75</v>
      </c>
      <c r="F23" s="27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14</v>
      </c>
      <c r="L23" s="6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0</v>
      </c>
      <c r="F24" s="7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0</v>
      </c>
      <c r="L24" s="6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7.9</v>
      </c>
      <c r="F25" s="7">
        <f t="shared" si="1"/>
        <v>0</v>
      </c>
      <c r="G25" s="2">
        <v>59</v>
      </c>
      <c r="H25" s="4" t="s">
        <v>243</v>
      </c>
      <c r="I25" s="2" t="s">
        <v>9</v>
      </c>
      <c r="J25" s="4"/>
      <c r="K25" s="2">
        <v>0</v>
      </c>
      <c r="L25" s="6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0</v>
      </c>
      <c r="F26" s="7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0</v>
      </c>
      <c r="L26" s="6">
        <f t="shared" si="0"/>
        <v>0</v>
      </c>
    </row>
    <row r="27" spans="1:12" ht="13.15" customHeight="1">
      <c r="A27" s="2">
        <v>23</v>
      </c>
      <c r="B27" s="9" t="s">
        <v>56</v>
      </c>
      <c r="C27" s="8" t="s">
        <v>9</v>
      </c>
      <c r="D27" s="8"/>
      <c r="E27" s="26">
        <v>5.75</v>
      </c>
      <c r="F27" s="27">
        <f t="shared" si="1"/>
        <v>0</v>
      </c>
      <c r="G27" s="2">
        <v>61</v>
      </c>
      <c r="H27" s="4" t="s">
        <v>244</v>
      </c>
      <c r="I27" s="2" t="s">
        <v>9</v>
      </c>
      <c r="J27" s="4"/>
      <c r="K27" s="2">
        <v>3.7</v>
      </c>
      <c r="L27" s="6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0</v>
      </c>
      <c r="F28" s="7">
        <f t="shared" si="1"/>
        <v>0</v>
      </c>
      <c r="G28" s="2">
        <v>62</v>
      </c>
      <c r="H28" s="4" t="s">
        <v>245</v>
      </c>
      <c r="I28" s="2" t="s">
        <v>9</v>
      </c>
      <c r="J28" s="4"/>
      <c r="K28" s="2">
        <v>7.35</v>
      </c>
      <c r="L28" s="6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6.7</v>
      </c>
      <c r="F29" s="7">
        <f t="shared" si="1"/>
        <v>0</v>
      </c>
      <c r="G29" s="2">
        <v>63</v>
      </c>
      <c r="H29" s="4" t="s">
        <v>63</v>
      </c>
      <c r="I29" s="2" t="s">
        <v>9</v>
      </c>
      <c r="J29" s="4"/>
      <c r="K29" s="2">
        <v>7.65</v>
      </c>
      <c r="L29" s="6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0</v>
      </c>
      <c r="F30" s="6">
        <f t="shared" si="1"/>
        <v>0</v>
      </c>
      <c r="G30" s="2">
        <v>64</v>
      </c>
      <c r="H30" s="4" t="s">
        <v>25</v>
      </c>
      <c r="I30" s="2" t="s">
        <v>9</v>
      </c>
      <c r="J30" s="4"/>
      <c r="K30" s="2">
        <v>4.2</v>
      </c>
      <c r="L30" s="6">
        <f t="shared" si="0"/>
        <v>0</v>
      </c>
    </row>
    <row r="31" spans="1:12" ht="13.15" customHeight="1">
      <c r="A31" s="2">
        <v>27</v>
      </c>
      <c r="B31" s="9" t="s">
        <v>102</v>
      </c>
      <c r="C31" s="8" t="s">
        <v>9</v>
      </c>
      <c r="D31" s="8"/>
      <c r="E31" s="26">
        <v>7</v>
      </c>
      <c r="F31" s="28">
        <f t="shared" si="1"/>
        <v>0</v>
      </c>
      <c r="G31" s="2">
        <v>65</v>
      </c>
      <c r="H31" s="4" t="s">
        <v>261</v>
      </c>
      <c r="I31" s="2" t="s">
        <v>9</v>
      </c>
      <c r="J31" s="4"/>
      <c r="K31" s="2">
        <v>2.4</v>
      </c>
      <c r="L31" s="6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8.25</v>
      </c>
      <c r="F32" s="7">
        <f t="shared" si="1"/>
        <v>0</v>
      </c>
      <c r="G32" s="2">
        <v>66</v>
      </c>
      <c r="H32" s="4"/>
      <c r="I32" s="2" t="s">
        <v>9</v>
      </c>
      <c r="J32" s="4"/>
      <c r="K32" s="2"/>
      <c r="L32" s="6">
        <f t="shared" si="0"/>
        <v>0</v>
      </c>
    </row>
    <row r="33" spans="1:13" ht="13.15" customHeight="1">
      <c r="A33" s="2">
        <v>29</v>
      </c>
      <c r="B33" s="4" t="s">
        <v>68</v>
      </c>
      <c r="C33" s="2" t="s">
        <v>9</v>
      </c>
      <c r="D33" s="2"/>
      <c r="E33" s="5">
        <v>6.4</v>
      </c>
      <c r="F33" s="6">
        <f t="shared" si="1"/>
        <v>0</v>
      </c>
      <c r="G33" s="2">
        <v>67</v>
      </c>
      <c r="H33" s="4"/>
      <c r="I33" s="2" t="s">
        <v>9</v>
      </c>
      <c r="J33" s="4"/>
      <c r="K33" s="2"/>
      <c r="L33" s="6">
        <f t="shared" si="0"/>
        <v>0</v>
      </c>
    </row>
    <row r="34" spans="1:13" ht="13.15" customHeight="1">
      <c r="A34" s="2">
        <v>30</v>
      </c>
      <c r="B34" s="4" t="s">
        <v>70</v>
      </c>
      <c r="C34" s="2" t="s">
        <v>9</v>
      </c>
      <c r="D34" s="2"/>
      <c r="E34" s="5">
        <v>0</v>
      </c>
      <c r="F34" s="6">
        <f t="shared" si="1"/>
        <v>0</v>
      </c>
      <c r="G34" s="2">
        <v>68</v>
      </c>
      <c r="H34" s="4"/>
      <c r="I34" s="2" t="s">
        <v>9</v>
      </c>
      <c r="J34" s="4"/>
      <c r="K34" s="2"/>
      <c r="L34" s="6">
        <f t="shared" si="0"/>
        <v>0</v>
      </c>
      <c r="M34" s="10"/>
    </row>
    <row r="35" spans="1:13" ht="13.15" customHeight="1">
      <c r="A35" s="2">
        <v>31</v>
      </c>
      <c r="B35" s="4" t="s">
        <v>72</v>
      </c>
      <c r="C35" s="2" t="s">
        <v>9</v>
      </c>
      <c r="D35" s="2"/>
      <c r="E35" s="5">
        <v>6.5</v>
      </c>
      <c r="F35" s="7">
        <f t="shared" si="1"/>
        <v>0</v>
      </c>
      <c r="G35" s="2">
        <v>69</v>
      </c>
      <c r="H35" s="4"/>
      <c r="I35" s="2" t="s">
        <v>9</v>
      </c>
      <c r="J35" s="4"/>
      <c r="K35" s="2"/>
      <c r="L35" s="6">
        <f t="shared" si="0"/>
        <v>0</v>
      </c>
    </row>
    <row r="36" spans="1:13" ht="13.15" customHeight="1">
      <c r="A36" s="2">
        <v>32</v>
      </c>
      <c r="B36" s="4" t="s">
        <v>74</v>
      </c>
      <c r="C36" s="2" t="s">
        <v>9</v>
      </c>
      <c r="D36" s="2"/>
      <c r="E36" s="2">
        <v>0</v>
      </c>
      <c r="F36" s="7">
        <f t="shared" si="1"/>
        <v>0</v>
      </c>
      <c r="G36" s="2">
        <v>70</v>
      </c>
      <c r="H36" s="4"/>
      <c r="I36" s="2" t="s">
        <v>9</v>
      </c>
      <c r="J36" s="4"/>
      <c r="K36" s="2"/>
      <c r="L36" s="6">
        <f t="shared" si="0"/>
        <v>0</v>
      </c>
    </row>
    <row r="37" spans="1:13" ht="13.15" customHeight="1">
      <c r="A37" s="2">
        <v>33</v>
      </c>
      <c r="B37" s="4" t="s">
        <v>76</v>
      </c>
      <c r="C37" s="2" t="s">
        <v>9</v>
      </c>
      <c r="D37" s="2"/>
      <c r="E37" s="2">
        <v>0</v>
      </c>
      <c r="F37" s="7">
        <f t="shared" si="1"/>
        <v>0</v>
      </c>
      <c r="G37" s="2">
        <v>71</v>
      </c>
      <c r="H37" s="4"/>
      <c r="I37" s="2" t="s">
        <v>9</v>
      </c>
      <c r="J37" s="4"/>
      <c r="K37" s="2"/>
      <c r="L37" s="6">
        <f t="shared" si="0"/>
        <v>0</v>
      </c>
      <c r="M37" s="11"/>
    </row>
    <row r="38" spans="1:13" ht="13.15" customHeight="1">
      <c r="A38" s="2">
        <v>34</v>
      </c>
      <c r="B38" s="4" t="s">
        <v>78</v>
      </c>
      <c r="C38" s="2" t="s">
        <v>9</v>
      </c>
      <c r="D38" s="2"/>
      <c r="E38" s="2">
        <v>0</v>
      </c>
      <c r="F38" s="7">
        <f t="shared" si="1"/>
        <v>0</v>
      </c>
      <c r="G38" s="2">
        <v>72</v>
      </c>
      <c r="H38" s="4"/>
      <c r="I38" s="2" t="s">
        <v>9</v>
      </c>
      <c r="J38" s="4"/>
      <c r="K38" s="2"/>
      <c r="L38" s="6">
        <f t="shared" si="0"/>
        <v>0</v>
      </c>
    </row>
    <row r="39" spans="1:13" ht="13.15" customHeight="1">
      <c r="A39" s="2">
        <v>35</v>
      </c>
      <c r="B39" s="4" t="s">
        <v>80</v>
      </c>
      <c r="C39" s="2" t="s">
        <v>9</v>
      </c>
      <c r="D39" s="2"/>
      <c r="E39" s="2">
        <v>0</v>
      </c>
      <c r="F39" s="7">
        <f t="shared" si="1"/>
        <v>0</v>
      </c>
      <c r="G39" s="2">
        <v>73</v>
      </c>
      <c r="H39" s="4"/>
      <c r="I39" s="2" t="s">
        <v>9</v>
      </c>
      <c r="J39" s="4"/>
      <c r="K39" s="2"/>
      <c r="L39" s="6">
        <f t="shared" si="0"/>
        <v>0</v>
      </c>
    </row>
    <row r="40" spans="1:13" ht="13.15" customHeight="1">
      <c r="I40" s="33" t="s">
        <v>82</v>
      </c>
      <c r="J40" s="34"/>
      <c r="K40" s="34"/>
      <c r="L40" s="23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69</v>
      </c>
    </row>
    <row r="42" spans="1:13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>
  <dimension ref="A1:M42"/>
  <sheetViews>
    <sheetView workbookViewId="0">
      <selection activeCell="D10" sqref="D10"/>
    </sheetView>
  </sheetViews>
  <sheetFormatPr defaultRowHeight="13.15" customHeight="1"/>
  <cols>
    <col min="1" max="1" width="4.7109375" style="17" customWidth="1"/>
    <col min="2" max="2" width="28.28515625" customWidth="1"/>
    <col min="3" max="3" width="6" bestFit="1" customWidth="1"/>
    <col min="4" max="4" width="5.85546875" bestFit="1" customWidth="1"/>
    <col min="5" max="5" width="8.28515625" customWidth="1"/>
    <col min="7" max="7" width="4.85546875" style="17" customWidth="1"/>
    <col min="8" max="8" width="23.28515625" customWidth="1"/>
    <col min="9" max="9" width="6.85546875" customWidth="1"/>
    <col min="10" max="10" width="6.7109375" customWidth="1"/>
    <col min="11" max="11" width="8.42578125" customWidth="1"/>
  </cols>
  <sheetData>
    <row r="1" spans="1:12" ht="13.15" customHeight="1">
      <c r="A1" s="30"/>
      <c r="B1" s="30"/>
      <c r="C1" s="30"/>
      <c r="D1" s="30" t="s">
        <v>260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 t="s">
        <v>236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1.45</v>
      </c>
      <c r="L2" s="6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0</v>
      </c>
      <c r="L3" s="6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2.5499999999999998</v>
      </c>
      <c r="L4" s="6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0</v>
      </c>
      <c r="F5" s="7">
        <f>D5*E5</f>
        <v>0</v>
      </c>
      <c r="G5" s="2">
        <v>39</v>
      </c>
      <c r="H5" s="4" t="s">
        <v>13</v>
      </c>
      <c r="I5" s="2" t="s">
        <v>9</v>
      </c>
      <c r="J5" s="2"/>
      <c r="K5" s="5">
        <v>2.1</v>
      </c>
      <c r="L5" s="6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</v>
      </c>
      <c r="F6" s="7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8.8000000000000007</v>
      </c>
      <c r="L6" s="6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0</v>
      </c>
      <c r="F7" s="7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0</v>
      </c>
      <c r="L7" s="6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7.85</v>
      </c>
      <c r="F8" s="7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2.5499999999999998</v>
      </c>
      <c r="L8" s="6">
        <f t="shared" si="0"/>
        <v>0</v>
      </c>
    </row>
    <row r="9" spans="1:12" ht="13.15" customHeight="1">
      <c r="A9" s="2">
        <v>5</v>
      </c>
      <c r="B9" s="9" t="s">
        <v>20</v>
      </c>
      <c r="C9" s="8" t="s">
        <v>9</v>
      </c>
      <c r="D9" s="8">
        <v>12</v>
      </c>
      <c r="E9" s="26">
        <v>5.75</v>
      </c>
      <c r="F9" s="27">
        <f t="shared" si="1"/>
        <v>69</v>
      </c>
      <c r="G9" s="2">
        <v>43</v>
      </c>
      <c r="H9" s="4" t="s">
        <v>21</v>
      </c>
      <c r="I9" s="2" t="s">
        <v>9</v>
      </c>
      <c r="J9" s="2"/>
      <c r="K9" s="5">
        <v>0</v>
      </c>
      <c r="L9" s="6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0</v>
      </c>
      <c r="F10" s="7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1.1499999999999999</v>
      </c>
      <c r="L10" s="6">
        <f t="shared" si="0"/>
        <v>0</v>
      </c>
    </row>
    <row r="11" spans="1:12" ht="13.15" customHeight="1">
      <c r="A11" s="2">
        <v>7</v>
      </c>
      <c r="B11" s="4" t="s">
        <v>125</v>
      </c>
      <c r="C11" s="2" t="s">
        <v>9</v>
      </c>
      <c r="D11" s="2"/>
      <c r="E11" s="5">
        <v>6.9</v>
      </c>
      <c r="F11" s="7">
        <f t="shared" si="1"/>
        <v>0</v>
      </c>
      <c r="G11" s="2">
        <v>45</v>
      </c>
      <c r="H11" s="4" t="s">
        <v>238</v>
      </c>
      <c r="I11" s="2" t="s">
        <v>9</v>
      </c>
      <c r="J11" s="2"/>
      <c r="K11" s="5">
        <v>0</v>
      </c>
      <c r="L11" s="6">
        <f t="shared" si="0"/>
        <v>0</v>
      </c>
    </row>
    <row r="12" spans="1:12" ht="13.15" customHeight="1">
      <c r="A12" s="2">
        <v>8</v>
      </c>
      <c r="B12" s="4" t="s">
        <v>239</v>
      </c>
      <c r="C12" s="2" t="s">
        <v>9</v>
      </c>
      <c r="D12" s="2"/>
      <c r="E12" s="5">
        <v>0</v>
      </c>
      <c r="F12" s="7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0</v>
      </c>
      <c r="L12" s="6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0</v>
      </c>
      <c r="F13" s="7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0</v>
      </c>
      <c r="L13" s="6">
        <f t="shared" si="0"/>
        <v>0</v>
      </c>
    </row>
    <row r="14" spans="1:12" ht="13.15" customHeight="1">
      <c r="A14" s="2">
        <v>3</v>
      </c>
      <c r="B14" s="4" t="s">
        <v>30</v>
      </c>
      <c r="C14" s="2" t="s">
        <v>9</v>
      </c>
      <c r="D14" s="2"/>
      <c r="E14" s="5">
        <v>0</v>
      </c>
      <c r="F14" s="7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0</v>
      </c>
      <c r="L14" s="6">
        <f t="shared" si="0"/>
        <v>0</v>
      </c>
    </row>
    <row r="15" spans="1:12" ht="13.15" customHeight="1">
      <c r="A15" s="2">
        <v>11</v>
      </c>
      <c r="B15" s="9" t="s">
        <v>32</v>
      </c>
      <c r="C15" s="8" t="s">
        <v>9</v>
      </c>
      <c r="D15" s="8"/>
      <c r="E15" s="26">
        <v>6.5</v>
      </c>
      <c r="F15" s="27">
        <f t="shared" si="1"/>
        <v>0</v>
      </c>
      <c r="G15" s="2">
        <v>49</v>
      </c>
      <c r="H15" s="4" t="s">
        <v>240</v>
      </c>
      <c r="I15" s="2" t="s">
        <v>9</v>
      </c>
      <c r="J15" s="2"/>
      <c r="K15" s="5">
        <v>9.1</v>
      </c>
      <c r="L15" s="6">
        <f t="shared" si="0"/>
        <v>0</v>
      </c>
    </row>
    <row r="16" spans="1:12" ht="13.15" customHeight="1">
      <c r="A16" s="2">
        <v>12</v>
      </c>
      <c r="B16" s="9" t="s">
        <v>241</v>
      </c>
      <c r="C16" s="8" t="s">
        <v>9</v>
      </c>
      <c r="D16" s="8"/>
      <c r="E16" s="26">
        <v>6.5</v>
      </c>
      <c r="F16" s="27">
        <f t="shared" si="1"/>
        <v>0</v>
      </c>
      <c r="G16" s="2">
        <v>50</v>
      </c>
      <c r="H16" s="4" t="s">
        <v>92</v>
      </c>
      <c r="I16" s="2" t="s">
        <v>9</v>
      </c>
      <c r="J16" s="2"/>
      <c r="K16" s="5">
        <v>7.45</v>
      </c>
      <c r="L16" s="6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0</v>
      </c>
      <c r="F17" s="7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0</v>
      </c>
      <c r="L17" s="6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0</v>
      </c>
      <c r="F18" s="7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3.2</v>
      </c>
      <c r="L18" s="6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6.2</v>
      </c>
      <c r="F19" s="7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0</v>
      </c>
      <c r="L19" s="6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0</v>
      </c>
      <c r="F20" s="7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0</v>
      </c>
      <c r="L20" s="6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0</v>
      </c>
      <c r="F21" s="7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0</v>
      </c>
      <c r="L21" s="6">
        <f t="shared" si="0"/>
        <v>0</v>
      </c>
    </row>
    <row r="22" spans="1:12" ht="13.15" customHeight="1">
      <c r="A22" s="2">
        <v>18</v>
      </c>
      <c r="B22" s="9" t="s">
        <v>46</v>
      </c>
      <c r="C22" s="8" t="s">
        <v>9</v>
      </c>
      <c r="D22" s="8"/>
      <c r="E22" s="26">
        <v>7</v>
      </c>
      <c r="F22" s="27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20.65</v>
      </c>
      <c r="L22" s="6">
        <f t="shared" si="0"/>
        <v>0</v>
      </c>
    </row>
    <row r="23" spans="1:12" ht="13.15" customHeight="1">
      <c r="A23" s="2">
        <v>19</v>
      </c>
      <c r="B23" s="9" t="s">
        <v>48</v>
      </c>
      <c r="C23" s="8" t="s">
        <v>9</v>
      </c>
      <c r="D23" s="8"/>
      <c r="E23" s="26">
        <v>7.75</v>
      </c>
      <c r="F23" s="27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14</v>
      </c>
      <c r="L23" s="6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0</v>
      </c>
      <c r="F24" s="7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0</v>
      </c>
      <c r="L24" s="6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7.9</v>
      </c>
      <c r="F25" s="7">
        <f t="shared" si="1"/>
        <v>0</v>
      </c>
      <c r="G25" s="2">
        <v>59</v>
      </c>
      <c r="H25" s="4" t="s">
        <v>243</v>
      </c>
      <c r="I25" s="2" t="s">
        <v>9</v>
      </c>
      <c r="J25" s="4"/>
      <c r="K25" s="2">
        <v>0</v>
      </c>
      <c r="L25" s="6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0</v>
      </c>
      <c r="F26" s="7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0</v>
      </c>
      <c r="L26" s="6">
        <f t="shared" si="0"/>
        <v>0</v>
      </c>
    </row>
    <row r="27" spans="1:12" ht="13.15" customHeight="1">
      <c r="A27" s="2">
        <v>23</v>
      </c>
      <c r="B27" s="9" t="s">
        <v>56</v>
      </c>
      <c r="C27" s="8" t="s">
        <v>9</v>
      </c>
      <c r="D27" s="8"/>
      <c r="E27" s="26">
        <v>5.75</v>
      </c>
      <c r="F27" s="27">
        <f t="shared" si="1"/>
        <v>0</v>
      </c>
      <c r="G27" s="2">
        <v>61</v>
      </c>
      <c r="H27" s="4" t="s">
        <v>244</v>
      </c>
      <c r="I27" s="2" t="s">
        <v>9</v>
      </c>
      <c r="J27" s="4"/>
      <c r="K27" s="2">
        <v>3.7</v>
      </c>
      <c r="L27" s="6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0</v>
      </c>
      <c r="F28" s="7">
        <f t="shared" si="1"/>
        <v>0</v>
      </c>
      <c r="G28" s="2">
        <v>62</v>
      </c>
      <c r="H28" s="4" t="s">
        <v>245</v>
      </c>
      <c r="I28" s="2" t="s">
        <v>9</v>
      </c>
      <c r="J28" s="4"/>
      <c r="K28" s="2">
        <v>7.35</v>
      </c>
      <c r="L28" s="6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6.7</v>
      </c>
      <c r="F29" s="7">
        <f t="shared" si="1"/>
        <v>0</v>
      </c>
      <c r="G29" s="2">
        <v>63</v>
      </c>
      <c r="H29" s="4" t="s">
        <v>63</v>
      </c>
      <c r="I29" s="2" t="s">
        <v>9</v>
      </c>
      <c r="J29" s="4"/>
      <c r="K29" s="2">
        <v>7.65</v>
      </c>
      <c r="L29" s="6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0</v>
      </c>
      <c r="F30" s="6">
        <f t="shared" si="1"/>
        <v>0</v>
      </c>
      <c r="G30" s="2">
        <v>64</v>
      </c>
      <c r="H30" s="4" t="s">
        <v>25</v>
      </c>
      <c r="I30" s="2" t="s">
        <v>9</v>
      </c>
      <c r="J30" s="4"/>
      <c r="K30" s="2">
        <v>4.2</v>
      </c>
      <c r="L30" s="6">
        <f t="shared" si="0"/>
        <v>0</v>
      </c>
    </row>
    <row r="31" spans="1:12" ht="13.15" customHeight="1">
      <c r="A31" s="2">
        <v>27</v>
      </c>
      <c r="B31" s="9" t="s">
        <v>102</v>
      </c>
      <c r="C31" s="8" t="s">
        <v>9</v>
      </c>
      <c r="D31" s="8"/>
      <c r="E31" s="26">
        <v>7</v>
      </c>
      <c r="F31" s="28">
        <f t="shared" si="1"/>
        <v>0</v>
      </c>
      <c r="G31" s="2">
        <v>65</v>
      </c>
      <c r="H31" s="4" t="s">
        <v>261</v>
      </c>
      <c r="I31" s="2" t="s">
        <v>9</v>
      </c>
      <c r="J31" s="4"/>
      <c r="K31" s="2">
        <v>2.4</v>
      </c>
      <c r="L31" s="6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8.25</v>
      </c>
      <c r="F32" s="7">
        <f t="shared" si="1"/>
        <v>0</v>
      </c>
      <c r="G32" s="2">
        <v>66</v>
      </c>
      <c r="H32" s="4"/>
      <c r="I32" s="2" t="s">
        <v>9</v>
      </c>
      <c r="J32" s="4"/>
      <c r="K32" s="2"/>
      <c r="L32" s="6">
        <f t="shared" si="0"/>
        <v>0</v>
      </c>
    </row>
    <row r="33" spans="1:13" ht="13.15" customHeight="1">
      <c r="A33" s="2">
        <v>29</v>
      </c>
      <c r="B33" s="4" t="s">
        <v>68</v>
      </c>
      <c r="C33" s="2" t="s">
        <v>9</v>
      </c>
      <c r="D33" s="2"/>
      <c r="E33" s="5">
        <v>6.4</v>
      </c>
      <c r="F33" s="6">
        <f t="shared" si="1"/>
        <v>0</v>
      </c>
      <c r="G33" s="2">
        <v>67</v>
      </c>
      <c r="H33" s="4"/>
      <c r="I33" s="2" t="s">
        <v>9</v>
      </c>
      <c r="J33" s="4"/>
      <c r="K33" s="2"/>
      <c r="L33" s="6">
        <f t="shared" si="0"/>
        <v>0</v>
      </c>
    </row>
    <row r="34" spans="1:13" ht="13.15" customHeight="1">
      <c r="A34" s="2">
        <v>30</v>
      </c>
      <c r="B34" s="4" t="s">
        <v>70</v>
      </c>
      <c r="C34" s="2" t="s">
        <v>9</v>
      </c>
      <c r="D34" s="2"/>
      <c r="E34" s="5">
        <v>0</v>
      </c>
      <c r="F34" s="6">
        <f t="shared" si="1"/>
        <v>0</v>
      </c>
      <c r="G34" s="2">
        <v>68</v>
      </c>
      <c r="H34" s="4"/>
      <c r="I34" s="2" t="s">
        <v>9</v>
      </c>
      <c r="J34" s="4"/>
      <c r="K34" s="2"/>
      <c r="L34" s="6">
        <f t="shared" si="0"/>
        <v>0</v>
      </c>
      <c r="M34" s="10"/>
    </row>
    <row r="35" spans="1:13" ht="13.15" customHeight="1">
      <c r="A35" s="2">
        <v>31</v>
      </c>
      <c r="B35" s="4" t="s">
        <v>72</v>
      </c>
      <c r="C35" s="2" t="s">
        <v>9</v>
      </c>
      <c r="D35" s="2"/>
      <c r="E35" s="5">
        <v>6.5</v>
      </c>
      <c r="F35" s="7">
        <f t="shared" si="1"/>
        <v>0</v>
      </c>
      <c r="G35" s="2">
        <v>69</v>
      </c>
      <c r="H35" s="4"/>
      <c r="I35" s="2" t="s">
        <v>9</v>
      </c>
      <c r="J35" s="4"/>
      <c r="K35" s="2"/>
      <c r="L35" s="6">
        <f t="shared" si="0"/>
        <v>0</v>
      </c>
    </row>
    <row r="36" spans="1:13" ht="13.15" customHeight="1">
      <c r="A36" s="2">
        <v>32</v>
      </c>
      <c r="B36" s="4" t="s">
        <v>74</v>
      </c>
      <c r="C36" s="2" t="s">
        <v>9</v>
      </c>
      <c r="D36" s="2"/>
      <c r="E36" s="2">
        <v>0</v>
      </c>
      <c r="F36" s="7">
        <f t="shared" si="1"/>
        <v>0</v>
      </c>
      <c r="G36" s="2">
        <v>70</v>
      </c>
      <c r="H36" s="4"/>
      <c r="I36" s="2" t="s">
        <v>9</v>
      </c>
      <c r="J36" s="4"/>
      <c r="K36" s="2"/>
      <c r="L36" s="6">
        <f t="shared" si="0"/>
        <v>0</v>
      </c>
    </row>
    <row r="37" spans="1:13" ht="13.15" customHeight="1">
      <c r="A37" s="2">
        <v>33</v>
      </c>
      <c r="B37" s="4" t="s">
        <v>76</v>
      </c>
      <c r="C37" s="2" t="s">
        <v>9</v>
      </c>
      <c r="D37" s="2"/>
      <c r="E37" s="2">
        <v>0</v>
      </c>
      <c r="F37" s="7">
        <f t="shared" si="1"/>
        <v>0</v>
      </c>
      <c r="G37" s="2">
        <v>71</v>
      </c>
      <c r="H37" s="4"/>
      <c r="I37" s="2" t="s">
        <v>9</v>
      </c>
      <c r="J37" s="4"/>
      <c r="K37" s="2"/>
      <c r="L37" s="6">
        <f t="shared" si="0"/>
        <v>0</v>
      </c>
      <c r="M37" s="11"/>
    </row>
    <row r="38" spans="1:13" ht="13.15" customHeight="1">
      <c r="A38" s="2">
        <v>34</v>
      </c>
      <c r="B38" s="4" t="s">
        <v>78</v>
      </c>
      <c r="C38" s="2" t="s">
        <v>9</v>
      </c>
      <c r="D38" s="2"/>
      <c r="E38" s="2">
        <v>0</v>
      </c>
      <c r="F38" s="7">
        <f t="shared" si="1"/>
        <v>0</v>
      </c>
      <c r="G38" s="2">
        <v>72</v>
      </c>
      <c r="H38" s="4"/>
      <c r="I38" s="2" t="s">
        <v>9</v>
      </c>
      <c r="J38" s="4"/>
      <c r="K38" s="2"/>
      <c r="L38" s="6">
        <f t="shared" si="0"/>
        <v>0</v>
      </c>
    </row>
    <row r="39" spans="1:13" ht="13.15" customHeight="1">
      <c r="A39" s="2">
        <v>35</v>
      </c>
      <c r="B39" s="4" t="s">
        <v>80</v>
      </c>
      <c r="C39" s="2" t="s">
        <v>9</v>
      </c>
      <c r="D39" s="2"/>
      <c r="E39" s="2">
        <v>0</v>
      </c>
      <c r="F39" s="7">
        <f t="shared" si="1"/>
        <v>0</v>
      </c>
      <c r="G39" s="2">
        <v>73</v>
      </c>
      <c r="H39" s="4"/>
      <c r="I39" s="2" t="s">
        <v>9</v>
      </c>
      <c r="J39" s="4"/>
      <c r="K39" s="2"/>
      <c r="L39" s="6">
        <f t="shared" si="0"/>
        <v>0</v>
      </c>
    </row>
    <row r="40" spans="1:13" ht="13.15" customHeight="1">
      <c r="I40" s="33" t="s">
        <v>82</v>
      </c>
      <c r="J40" s="34"/>
      <c r="K40" s="34"/>
      <c r="L40" s="23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69</v>
      </c>
    </row>
    <row r="42" spans="1:13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>
  <dimension ref="A1:M42"/>
  <sheetViews>
    <sheetView workbookViewId="0">
      <selection activeCell="D10" sqref="D10"/>
    </sheetView>
  </sheetViews>
  <sheetFormatPr defaultRowHeight="13.15" customHeight="1"/>
  <cols>
    <col min="1" max="1" width="4.7109375" style="17" customWidth="1"/>
    <col min="2" max="2" width="28.28515625" customWidth="1"/>
    <col min="3" max="3" width="6" bestFit="1" customWidth="1"/>
    <col min="4" max="4" width="5.85546875" bestFit="1" customWidth="1"/>
    <col min="5" max="5" width="8.28515625" customWidth="1"/>
    <col min="7" max="7" width="4.85546875" style="17" customWidth="1"/>
    <col min="8" max="8" width="23.28515625" customWidth="1"/>
    <col min="9" max="9" width="6.85546875" customWidth="1"/>
    <col min="10" max="10" width="6.7109375" customWidth="1"/>
    <col min="11" max="11" width="8.42578125" customWidth="1"/>
  </cols>
  <sheetData>
    <row r="1" spans="1:12" ht="13.15" customHeight="1">
      <c r="A1" s="30"/>
      <c r="B1" s="30"/>
      <c r="C1" s="30"/>
      <c r="D1" s="30" t="s">
        <v>260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 t="s">
        <v>236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1.45</v>
      </c>
      <c r="L2" s="6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0</v>
      </c>
      <c r="L3" s="6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2.5499999999999998</v>
      </c>
      <c r="L4" s="6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0</v>
      </c>
      <c r="F5" s="7">
        <f>D5*E5</f>
        <v>0</v>
      </c>
      <c r="G5" s="2">
        <v>39</v>
      </c>
      <c r="H5" s="4" t="s">
        <v>13</v>
      </c>
      <c r="I5" s="2" t="s">
        <v>9</v>
      </c>
      <c r="J5" s="2"/>
      <c r="K5" s="5">
        <v>2.1</v>
      </c>
      <c r="L5" s="6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</v>
      </c>
      <c r="F6" s="7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8.8000000000000007</v>
      </c>
      <c r="L6" s="6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0</v>
      </c>
      <c r="F7" s="7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0</v>
      </c>
      <c r="L7" s="6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7.85</v>
      </c>
      <c r="F8" s="7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2.5499999999999998</v>
      </c>
      <c r="L8" s="6">
        <f t="shared" si="0"/>
        <v>0</v>
      </c>
    </row>
    <row r="9" spans="1:12" ht="13.15" customHeight="1">
      <c r="A9" s="2">
        <v>5</v>
      </c>
      <c r="B9" s="9" t="s">
        <v>20</v>
      </c>
      <c r="C9" s="8" t="s">
        <v>9</v>
      </c>
      <c r="D9" s="8">
        <v>12</v>
      </c>
      <c r="E9" s="26">
        <v>5.75</v>
      </c>
      <c r="F9" s="27">
        <f t="shared" si="1"/>
        <v>69</v>
      </c>
      <c r="G9" s="2">
        <v>43</v>
      </c>
      <c r="H9" s="4" t="s">
        <v>21</v>
      </c>
      <c r="I9" s="2" t="s">
        <v>9</v>
      </c>
      <c r="J9" s="2"/>
      <c r="K9" s="5">
        <v>0</v>
      </c>
      <c r="L9" s="6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0</v>
      </c>
      <c r="F10" s="7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1.1499999999999999</v>
      </c>
      <c r="L10" s="6">
        <f t="shared" si="0"/>
        <v>0</v>
      </c>
    </row>
    <row r="11" spans="1:12" ht="13.15" customHeight="1">
      <c r="A11" s="2">
        <v>7</v>
      </c>
      <c r="B11" s="4" t="s">
        <v>125</v>
      </c>
      <c r="C11" s="2" t="s">
        <v>9</v>
      </c>
      <c r="D11" s="2"/>
      <c r="E11" s="5">
        <v>6.9</v>
      </c>
      <c r="F11" s="7">
        <f t="shared" si="1"/>
        <v>0</v>
      </c>
      <c r="G11" s="2">
        <v>45</v>
      </c>
      <c r="H11" s="4" t="s">
        <v>238</v>
      </c>
      <c r="I11" s="2" t="s">
        <v>9</v>
      </c>
      <c r="J11" s="2"/>
      <c r="K11" s="5">
        <v>0</v>
      </c>
      <c r="L11" s="6">
        <f t="shared" si="0"/>
        <v>0</v>
      </c>
    </row>
    <row r="12" spans="1:12" ht="13.15" customHeight="1">
      <c r="A12" s="2">
        <v>8</v>
      </c>
      <c r="B12" s="4" t="s">
        <v>239</v>
      </c>
      <c r="C12" s="2" t="s">
        <v>9</v>
      </c>
      <c r="D12" s="2"/>
      <c r="E12" s="5">
        <v>0</v>
      </c>
      <c r="F12" s="7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0</v>
      </c>
      <c r="L12" s="6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0</v>
      </c>
      <c r="F13" s="7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0</v>
      </c>
      <c r="L13" s="6">
        <f t="shared" si="0"/>
        <v>0</v>
      </c>
    </row>
    <row r="14" spans="1:12" ht="13.15" customHeight="1">
      <c r="A14" s="2">
        <v>3</v>
      </c>
      <c r="B14" s="4" t="s">
        <v>30</v>
      </c>
      <c r="C14" s="2" t="s">
        <v>9</v>
      </c>
      <c r="D14" s="2"/>
      <c r="E14" s="5">
        <v>0</v>
      </c>
      <c r="F14" s="7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0</v>
      </c>
      <c r="L14" s="6">
        <f t="shared" si="0"/>
        <v>0</v>
      </c>
    </row>
    <row r="15" spans="1:12" ht="13.15" customHeight="1">
      <c r="A15" s="2">
        <v>11</v>
      </c>
      <c r="B15" s="9" t="s">
        <v>32</v>
      </c>
      <c r="C15" s="8" t="s">
        <v>9</v>
      </c>
      <c r="D15" s="8"/>
      <c r="E15" s="26">
        <v>6.5</v>
      </c>
      <c r="F15" s="27">
        <f t="shared" si="1"/>
        <v>0</v>
      </c>
      <c r="G15" s="2">
        <v>49</v>
      </c>
      <c r="H15" s="4" t="s">
        <v>240</v>
      </c>
      <c r="I15" s="2" t="s">
        <v>9</v>
      </c>
      <c r="J15" s="2"/>
      <c r="K15" s="5">
        <v>9.1</v>
      </c>
      <c r="L15" s="6">
        <f t="shared" si="0"/>
        <v>0</v>
      </c>
    </row>
    <row r="16" spans="1:12" ht="13.15" customHeight="1">
      <c r="A16" s="2">
        <v>12</v>
      </c>
      <c r="B16" s="9" t="s">
        <v>241</v>
      </c>
      <c r="C16" s="8" t="s">
        <v>9</v>
      </c>
      <c r="D16" s="8"/>
      <c r="E16" s="26">
        <v>6.5</v>
      </c>
      <c r="F16" s="27">
        <f t="shared" si="1"/>
        <v>0</v>
      </c>
      <c r="G16" s="2">
        <v>50</v>
      </c>
      <c r="H16" s="4" t="s">
        <v>92</v>
      </c>
      <c r="I16" s="2" t="s">
        <v>9</v>
      </c>
      <c r="J16" s="2"/>
      <c r="K16" s="5">
        <v>7.45</v>
      </c>
      <c r="L16" s="6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0</v>
      </c>
      <c r="F17" s="7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0</v>
      </c>
      <c r="L17" s="6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0</v>
      </c>
      <c r="F18" s="7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3.2</v>
      </c>
      <c r="L18" s="6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6.2</v>
      </c>
      <c r="F19" s="7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0</v>
      </c>
      <c r="L19" s="6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0</v>
      </c>
      <c r="F20" s="7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0</v>
      </c>
      <c r="L20" s="6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0</v>
      </c>
      <c r="F21" s="7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0</v>
      </c>
      <c r="L21" s="6">
        <f t="shared" si="0"/>
        <v>0</v>
      </c>
    </row>
    <row r="22" spans="1:12" ht="13.15" customHeight="1">
      <c r="A22" s="2">
        <v>18</v>
      </c>
      <c r="B22" s="9" t="s">
        <v>46</v>
      </c>
      <c r="C22" s="8" t="s">
        <v>9</v>
      </c>
      <c r="D22" s="8"/>
      <c r="E22" s="26">
        <v>7</v>
      </c>
      <c r="F22" s="27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20.65</v>
      </c>
      <c r="L22" s="6">
        <f t="shared" si="0"/>
        <v>0</v>
      </c>
    </row>
    <row r="23" spans="1:12" ht="13.15" customHeight="1">
      <c r="A23" s="2">
        <v>19</v>
      </c>
      <c r="B23" s="9" t="s">
        <v>48</v>
      </c>
      <c r="C23" s="8" t="s">
        <v>9</v>
      </c>
      <c r="D23" s="8"/>
      <c r="E23" s="26">
        <v>7.75</v>
      </c>
      <c r="F23" s="27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14</v>
      </c>
      <c r="L23" s="6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0</v>
      </c>
      <c r="F24" s="7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0</v>
      </c>
      <c r="L24" s="6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7.9</v>
      </c>
      <c r="F25" s="7">
        <f t="shared" si="1"/>
        <v>0</v>
      </c>
      <c r="G25" s="2">
        <v>59</v>
      </c>
      <c r="H25" s="4" t="s">
        <v>243</v>
      </c>
      <c r="I25" s="2" t="s">
        <v>9</v>
      </c>
      <c r="J25" s="4"/>
      <c r="K25" s="2">
        <v>0</v>
      </c>
      <c r="L25" s="6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0</v>
      </c>
      <c r="F26" s="7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0</v>
      </c>
      <c r="L26" s="6">
        <f t="shared" si="0"/>
        <v>0</v>
      </c>
    </row>
    <row r="27" spans="1:12" ht="13.15" customHeight="1">
      <c r="A27" s="2">
        <v>23</v>
      </c>
      <c r="B27" s="9" t="s">
        <v>56</v>
      </c>
      <c r="C27" s="8" t="s">
        <v>9</v>
      </c>
      <c r="D27" s="8"/>
      <c r="E27" s="26">
        <v>5.75</v>
      </c>
      <c r="F27" s="27">
        <f t="shared" si="1"/>
        <v>0</v>
      </c>
      <c r="G27" s="2">
        <v>61</v>
      </c>
      <c r="H27" s="4" t="s">
        <v>244</v>
      </c>
      <c r="I27" s="2" t="s">
        <v>9</v>
      </c>
      <c r="J27" s="4"/>
      <c r="K27" s="2">
        <v>3.7</v>
      </c>
      <c r="L27" s="6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0</v>
      </c>
      <c r="F28" s="7">
        <f t="shared" si="1"/>
        <v>0</v>
      </c>
      <c r="G28" s="2">
        <v>62</v>
      </c>
      <c r="H28" s="4" t="s">
        <v>245</v>
      </c>
      <c r="I28" s="2" t="s">
        <v>9</v>
      </c>
      <c r="J28" s="4"/>
      <c r="K28" s="2">
        <v>7.35</v>
      </c>
      <c r="L28" s="6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6.7</v>
      </c>
      <c r="F29" s="7">
        <f t="shared" si="1"/>
        <v>0</v>
      </c>
      <c r="G29" s="2">
        <v>63</v>
      </c>
      <c r="H29" s="4" t="s">
        <v>63</v>
      </c>
      <c r="I29" s="2" t="s">
        <v>9</v>
      </c>
      <c r="J29" s="4"/>
      <c r="K29" s="2">
        <v>7.65</v>
      </c>
      <c r="L29" s="6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0</v>
      </c>
      <c r="F30" s="6">
        <f t="shared" si="1"/>
        <v>0</v>
      </c>
      <c r="G30" s="2">
        <v>64</v>
      </c>
      <c r="H30" s="4" t="s">
        <v>25</v>
      </c>
      <c r="I30" s="2" t="s">
        <v>9</v>
      </c>
      <c r="J30" s="4"/>
      <c r="K30" s="2">
        <v>4.2</v>
      </c>
      <c r="L30" s="6">
        <f t="shared" si="0"/>
        <v>0</v>
      </c>
    </row>
    <row r="31" spans="1:12" ht="13.15" customHeight="1">
      <c r="A31" s="2">
        <v>27</v>
      </c>
      <c r="B31" s="9" t="s">
        <v>102</v>
      </c>
      <c r="C31" s="8" t="s">
        <v>9</v>
      </c>
      <c r="D31" s="8"/>
      <c r="E31" s="26">
        <v>7</v>
      </c>
      <c r="F31" s="28">
        <f t="shared" si="1"/>
        <v>0</v>
      </c>
      <c r="G31" s="2">
        <v>65</v>
      </c>
      <c r="H31" s="4" t="s">
        <v>261</v>
      </c>
      <c r="I31" s="2" t="s">
        <v>9</v>
      </c>
      <c r="J31" s="4"/>
      <c r="K31" s="2">
        <v>2.4</v>
      </c>
      <c r="L31" s="6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8.25</v>
      </c>
      <c r="F32" s="7">
        <f t="shared" si="1"/>
        <v>0</v>
      </c>
      <c r="G32" s="2">
        <v>66</v>
      </c>
      <c r="H32" s="4"/>
      <c r="I32" s="2" t="s">
        <v>9</v>
      </c>
      <c r="J32" s="4"/>
      <c r="K32" s="2"/>
      <c r="L32" s="6">
        <f t="shared" si="0"/>
        <v>0</v>
      </c>
    </row>
    <row r="33" spans="1:13" ht="13.15" customHeight="1">
      <c r="A33" s="2">
        <v>29</v>
      </c>
      <c r="B33" s="4" t="s">
        <v>68</v>
      </c>
      <c r="C33" s="2" t="s">
        <v>9</v>
      </c>
      <c r="D33" s="2"/>
      <c r="E33" s="5">
        <v>6.4</v>
      </c>
      <c r="F33" s="6">
        <f t="shared" si="1"/>
        <v>0</v>
      </c>
      <c r="G33" s="2">
        <v>67</v>
      </c>
      <c r="H33" s="4"/>
      <c r="I33" s="2" t="s">
        <v>9</v>
      </c>
      <c r="J33" s="4"/>
      <c r="K33" s="2"/>
      <c r="L33" s="6">
        <f t="shared" si="0"/>
        <v>0</v>
      </c>
    </row>
    <row r="34" spans="1:13" ht="13.15" customHeight="1">
      <c r="A34" s="2">
        <v>30</v>
      </c>
      <c r="B34" s="4" t="s">
        <v>70</v>
      </c>
      <c r="C34" s="2" t="s">
        <v>9</v>
      </c>
      <c r="D34" s="2"/>
      <c r="E34" s="5">
        <v>0</v>
      </c>
      <c r="F34" s="6">
        <f t="shared" si="1"/>
        <v>0</v>
      </c>
      <c r="G34" s="2">
        <v>68</v>
      </c>
      <c r="H34" s="4"/>
      <c r="I34" s="2" t="s">
        <v>9</v>
      </c>
      <c r="J34" s="4"/>
      <c r="K34" s="2"/>
      <c r="L34" s="6">
        <f t="shared" si="0"/>
        <v>0</v>
      </c>
      <c r="M34" s="10"/>
    </row>
    <row r="35" spans="1:13" ht="13.15" customHeight="1">
      <c r="A35" s="2">
        <v>31</v>
      </c>
      <c r="B35" s="4" t="s">
        <v>72</v>
      </c>
      <c r="C35" s="2" t="s">
        <v>9</v>
      </c>
      <c r="D35" s="2"/>
      <c r="E35" s="5">
        <v>6.5</v>
      </c>
      <c r="F35" s="7">
        <f t="shared" si="1"/>
        <v>0</v>
      </c>
      <c r="G35" s="2">
        <v>69</v>
      </c>
      <c r="H35" s="4"/>
      <c r="I35" s="2" t="s">
        <v>9</v>
      </c>
      <c r="J35" s="4"/>
      <c r="K35" s="2"/>
      <c r="L35" s="6">
        <f t="shared" si="0"/>
        <v>0</v>
      </c>
    </row>
    <row r="36" spans="1:13" ht="13.15" customHeight="1">
      <c r="A36" s="2">
        <v>32</v>
      </c>
      <c r="B36" s="4" t="s">
        <v>74</v>
      </c>
      <c r="C36" s="2" t="s">
        <v>9</v>
      </c>
      <c r="D36" s="2"/>
      <c r="E36" s="2">
        <v>0</v>
      </c>
      <c r="F36" s="7">
        <f t="shared" si="1"/>
        <v>0</v>
      </c>
      <c r="G36" s="2">
        <v>70</v>
      </c>
      <c r="H36" s="4"/>
      <c r="I36" s="2" t="s">
        <v>9</v>
      </c>
      <c r="J36" s="4"/>
      <c r="K36" s="2"/>
      <c r="L36" s="6">
        <f t="shared" si="0"/>
        <v>0</v>
      </c>
    </row>
    <row r="37" spans="1:13" ht="13.15" customHeight="1">
      <c r="A37" s="2">
        <v>33</v>
      </c>
      <c r="B37" s="4" t="s">
        <v>76</v>
      </c>
      <c r="C37" s="2" t="s">
        <v>9</v>
      </c>
      <c r="D37" s="2"/>
      <c r="E37" s="2">
        <v>0</v>
      </c>
      <c r="F37" s="7">
        <f t="shared" si="1"/>
        <v>0</v>
      </c>
      <c r="G37" s="2">
        <v>71</v>
      </c>
      <c r="H37" s="4"/>
      <c r="I37" s="2" t="s">
        <v>9</v>
      </c>
      <c r="J37" s="4"/>
      <c r="K37" s="2"/>
      <c r="L37" s="6">
        <f t="shared" si="0"/>
        <v>0</v>
      </c>
      <c r="M37" s="11"/>
    </row>
    <row r="38" spans="1:13" ht="13.15" customHeight="1">
      <c r="A38" s="2">
        <v>34</v>
      </c>
      <c r="B38" s="4" t="s">
        <v>78</v>
      </c>
      <c r="C38" s="2" t="s">
        <v>9</v>
      </c>
      <c r="D38" s="2"/>
      <c r="E38" s="2">
        <v>0</v>
      </c>
      <c r="F38" s="7">
        <f t="shared" si="1"/>
        <v>0</v>
      </c>
      <c r="G38" s="2">
        <v>72</v>
      </c>
      <c r="H38" s="4"/>
      <c r="I38" s="2" t="s">
        <v>9</v>
      </c>
      <c r="J38" s="4"/>
      <c r="K38" s="2"/>
      <c r="L38" s="6">
        <f t="shared" si="0"/>
        <v>0</v>
      </c>
    </row>
    <row r="39" spans="1:13" ht="13.15" customHeight="1">
      <c r="A39" s="2">
        <v>35</v>
      </c>
      <c r="B39" s="4" t="s">
        <v>80</v>
      </c>
      <c r="C39" s="2" t="s">
        <v>9</v>
      </c>
      <c r="D39" s="2"/>
      <c r="E39" s="2">
        <v>0</v>
      </c>
      <c r="F39" s="7">
        <f t="shared" si="1"/>
        <v>0</v>
      </c>
      <c r="G39" s="2">
        <v>73</v>
      </c>
      <c r="H39" s="4"/>
      <c r="I39" s="2" t="s">
        <v>9</v>
      </c>
      <c r="J39" s="4"/>
      <c r="K39" s="2"/>
      <c r="L39" s="6">
        <f t="shared" si="0"/>
        <v>0</v>
      </c>
    </row>
    <row r="40" spans="1:13" ht="13.15" customHeight="1">
      <c r="I40" s="33" t="s">
        <v>82</v>
      </c>
      <c r="J40" s="34"/>
      <c r="K40" s="34"/>
      <c r="L40" s="23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69</v>
      </c>
    </row>
    <row r="42" spans="1:13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>
  <dimension ref="A1:M42"/>
  <sheetViews>
    <sheetView workbookViewId="0">
      <selection activeCell="D10" sqref="D10"/>
    </sheetView>
  </sheetViews>
  <sheetFormatPr defaultRowHeight="13.15" customHeight="1"/>
  <cols>
    <col min="1" max="1" width="4.7109375" style="17" customWidth="1"/>
    <col min="2" max="2" width="28.28515625" customWidth="1"/>
    <col min="3" max="3" width="6" bestFit="1" customWidth="1"/>
    <col min="4" max="4" width="5.85546875" bestFit="1" customWidth="1"/>
    <col min="5" max="5" width="8.28515625" customWidth="1"/>
    <col min="7" max="7" width="4.85546875" style="17" customWidth="1"/>
    <col min="8" max="8" width="23.28515625" customWidth="1"/>
    <col min="9" max="9" width="6.85546875" customWidth="1"/>
    <col min="10" max="10" width="6.7109375" customWidth="1"/>
    <col min="11" max="11" width="8.42578125" customWidth="1"/>
  </cols>
  <sheetData>
    <row r="1" spans="1:12" ht="13.15" customHeight="1">
      <c r="A1" s="30"/>
      <c r="B1" s="30"/>
      <c r="C1" s="30"/>
      <c r="D1" s="30" t="s">
        <v>260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 t="s">
        <v>236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1.45</v>
      </c>
      <c r="L2" s="6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0</v>
      </c>
      <c r="L3" s="6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2.5499999999999998</v>
      </c>
      <c r="L4" s="6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0</v>
      </c>
      <c r="F5" s="7">
        <f>D5*E5</f>
        <v>0</v>
      </c>
      <c r="G5" s="2">
        <v>39</v>
      </c>
      <c r="H5" s="4" t="s">
        <v>13</v>
      </c>
      <c r="I5" s="2" t="s">
        <v>9</v>
      </c>
      <c r="J5" s="2"/>
      <c r="K5" s="5">
        <v>2.1</v>
      </c>
      <c r="L5" s="6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</v>
      </c>
      <c r="F6" s="7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8.8000000000000007</v>
      </c>
      <c r="L6" s="6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0</v>
      </c>
      <c r="F7" s="7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0</v>
      </c>
      <c r="L7" s="6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7.85</v>
      </c>
      <c r="F8" s="7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2.5499999999999998</v>
      </c>
      <c r="L8" s="6">
        <f t="shared" si="0"/>
        <v>0</v>
      </c>
    </row>
    <row r="9" spans="1:12" ht="13.15" customHeight="1">
      <c r="A9" s="2">
        <v>5</v>
      </c>
      <c r="B9" s="9" t="s">
        <v>20</v>
      </c>
      <c r="C9" s="8" t="s">
        <v>9</v>
      </c>
      <c r="D9" s="8">
        <v>12</v>
      </c>
      <c r="E9" s="26">
        <v>5.75</v>
      </c>
      <c r="F9" s="27">
        <f t="shared" si="1"/>
        <v>69</v>
      </c>
      <c r="G9" s="2">
        <v>43</v>
      </c>
      <c r="H9" s="4" t="s">
        <v>21</v>
      </c>
      <c r="I9" s="2" t="s">
        <v>9</v>
      </c>
      <c r="J9" s="2"/>
      <c r="K9" s="5">
        <v>0</v>
      </c>
      <c r="L9" s="6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0</v>
      </c>
      <c r="F10" s="7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1.1499999999999999</v>
      </c>
      <c r="L10" s="6">
        <f t="shared" si="0"/>
        <v>0</v>
      </c>
    </row>
    <row r="11" spans="1:12" ht="13.15" customHeight="1">
      <c r="A11" s="2">
        <v>7</v>
      </c>
      <c r="B11" s="4" t="s">
        <v>125</v>
      </c>
      <c r="C11" s="2" t="s">
        <v>9</v>
      </c>
      <c r="D11" s="2"/>
      <c r="E11" s="5">
        <v>6.9</v>
      </c>
      <c r="F11" s="7">
        <f t="shared" si="1"/>
        <v>0</v>
      </c>
      <c r="G11" s="2">
        <v>45</v>
      </c>
      <c r="H11" s="4" t="s">
        <v>238</v>
      </c>
      <c r="I11" s="2" t="s">
        <v>9</v>
      </c>
      <c r="J11" s="2"/>
      <c r="K11" s="5">
        <v>0</v>
      </c>
      <c r="L11" s="6">
        <f t="shared" si="0"/>
        <v>0</v>
      </c>
    </row>
    <row r="12" spans="1:12" ht="13.15" customHeight="1">
      <c r="A12" s="2">
        <v>8</v>
      </c>
      <c r="B12" s="4" t="s">
        <v>239</v>
      </c>
      <c r="C12" s="2" t="s">
        <v>9</v>
      </c>
      <c r="D12" s="2"/>
      <c r="E12" s="5">
        <v>0</v>
      </c>
      <c r="F12" s="7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0</v>
      </c>
      <c r="L12" s="6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0</v>
      </c>
      <c r="F13" s="7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0</v>
      </c>
      <c r="L13" s="6">
        <f t="shared" si="0"/>
        <v>0</v>
      </c>
    </row>
    <row r="14" spans="1:12" ht="13.15" customHeight="1">
      <c r="A14" s="2">
        <v>3</v>
      </c>
      <c r="B14" s="4" t="s">
        <v>30</v>
      </c>
      <c r="C14" s="2" t="s">
        <v>9</v>
      </c>
      <c r="D14" s="2"/>
      <c r="E14" s="5">
        <v>0</v>
      </c>
      <c r="F14" s="7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0</v>
      </c>
      <c r="L14" s="6">
        <f t="shared" si="0"/>
        <v>0</v>
      </c>
    </row>
    <row r="15" spans="1:12" ht="13.15" customHeight="1">
      <c r="A15" s="2">
        <v>11</v>
      </c>
      <c r="B15" s="9" t="s">
        <v>32</v>
      </c>
      <c r="C15" s="8" t="s">
        <v>9</v>
      </c>
      <c r="D15" s="8"/>
      <c r="E15" s="26">
        <v>6.5</v>
      </c>
      <c r="F15" s="27">
        <f t="shared" si="1"/>
        <v>0</v>
      </c>
      <c r="G15" s="2">
        <v>49</v>
      </c>
      <c r="H15" s="4" t="s">
        <v>240</v>
      </c>
      <c r="I15" s="2" t="s">
        <v>9</v>
      </c>
      <c r="J15" s="2"/>
      <c r="K15" s="5">
        <v>9.1</v>
      </c>
      <c r="L15" s="6">
        <f t="shared" si="0"/>
        <v>0</v>
      </c>
    </row>
    <row r="16" spans="1:12" ht="13.15" customHeight="1">
      <c r="A16" s="2">
        <v>12</v>
      </c>
      <c r="B16" s="9" t="s">
        <v>241</v>
      </c>
      <c r="C16" s="8" t="s">
        <v>9</v>
      </c>
      <c r="D16" s="8"/>
      <c r="E16" s="26">
        <v>6.5</v>
      </c>
      <c r="F16" s="27">
        <f t="shared" si="1"/>
        <v>0</v>
      </c>
      <c r="G16" s="2">
        <v>50</v>
      </c>
      <c r="H16" s="4" t="s">
        <v>92</v>
      </c>
      <c r="I16" s="2" t="s">
        <v>9</v>
      </c>
      <c r="J16" s="2"/>
      <c r="K16" s="5">
        <v>7.45</v>
      </c>
      <c r="L16" s="6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0</v>
      </c>
      <c r="F17" s="7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0</v>
      </c>
      <c r="L17" s="6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0</v>
      </c>
      <c r="F18" s="7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3.2</v>
      </c>
      <c r="L18" s="6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6.2</v>
      </c>
      <c r="F19" s="7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0</v>
      </c>
      <c r="L19" s="6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0</v>
      </c>
      <c r="F20" s="7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0</v>
      </c>
      <c r="L20" s="6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0</v>
      </c>
      <c r="F21" s="7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0</v>
      </c>
      <c r="L21" s="6">
        <f t="shared" si="0"/>
        <v>0</v>
      </c>
    </row>
    <row r="22" spans="1:12" ht="13.15" customHeight="1">
      <c r="A22" s="2">
        <v>18</v>
      </c>
      <c r="B22" s="9" t="s">
        <v>46</v>
      </c>
      <c r="C22" s="8" t="s">
        <v>9</v>
      </c>
      <c r="D22" s="8"/>
      <c r="E22" s="26">
        <v>7</v>
      </c>
      <c r="F22" s="27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20.65</v>
      </c>
      <c r="L22" s="6">
        <f t="shared" si="0"/>
        <v>0</v>
      </c>
    </row>
    <row r="23" spans="1:12" ht="13.15" customHeight="1">
      <c r="A23" s="2">
        <v>19</v>
      </c>
      <c r="B23" s="9" t="s">
        <v>48</v>
      </c>
      <c r="C23" s="8" t="s">
        <v>9</v>
      </c>
      <c r="D23" s="8"/>
      <c r="E23" s="26">
        <v>7.75</v>
      </c>
      <c r="F23" s="27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14</v>
      </c>
      <c r="L23" s="6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0</v>
      </c>
      <c r="F24" s="7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0</v>
      </c>
      <c r="L24" s="6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7.9</v>
      </c>
      <c r="F25" s="7">
        <f t="shared" si="1"/>
        <v>0</v>
      </c>
      <c r="G25" s="2">
        <v>59</v>
      </c>
      <c r="H25" s="4" t="s">
        <v>243</v>
      </c>
      <c r="I25" s="2" t="s">
        <v>9</v>
      </c>
      <c r="J25" s="4"/>
      <c r="K25" s="2">
        <v>0</v>
      </c>
      <c r="L25" s="6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0</v>
      </c>
      <c r="F26" s="7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0</v>
      </c>
      <c r="L26" s="6">
        <f t="shared" si="0"/>
        <v>0</v>
      </c>
    </row>
    <row r="27" spans="1:12" ht="13.15" customHeight="1">
      <c r="A27" s="2">
        <v>23</v>
      </c>
      <c r="B27" s="9" t="s">
        <v>56</v>
      </c>
      <c r="C27" s="8" t="s">
        <v>9</v>
      </c>
      <c r="D27" s="8"/>
      <c r="E27" s="26">
        <v>5.75</v>
      </c>
      <c r="F27" s="27">
        <f t="shared" si="1"/>
        <v>0</v>
      </c>
      <c r="G27" s="2">
        <v>61</v>
      </c>
      <c r="H27" s="4" t="s">
        <v>244</v>
      </c>
      <c r="I27" s="2" t="s">
        <v>9</v>
      </c>
      <c r="J27" s="4"/>
      <c r="K27" s="2">
        <v>3.7</v>
      </c>
      <c r="L27" s="6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0</v>
      </c>
      <c r="F28" s="7">
        <f t="shared" si="1"/>
        <v>0</v>
      </c>
      <c r="G28" s="2">
        <v>62</v>
      </c>
      <c r="H28" s="4" t="s">
        <v>245</v>
      </c>
      <c r="I28" s="2" t="s">
        <v>9</v>
      </c>
      <c r="J28" s="4"/>
      <c r="K28" s="2">
        <v>7.35</v>
      </c>
      <c r="L28" s="6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6.7</v>
      </c>
      <c r="F29" s="7">
        <f t="shared" si="1"/>
        <v>0</v>
      </c>
      <c r="G29" s="2">
        <v>63</v>
      </c>
      <c r="H29" s="4" t="s">
        <v>63</v>
      </c>
      <c r="I29" s="2" t="s">
        <v>9</v>
      </c>
      <c r="J29" s="4"/>
      <c r="K29" s="2">
        <v>7.65</v>
      </c>
      <c r="L29" s="6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0</v>
      </c>
      <c r="F30" s="6">
        <f t="shared" si="1"/>
        <v>0</v>
      </c>
      <c r="G30" s="2">
        <v>64</v>
      </c>
      <c r="H30" s="4" t="s">
        <v>25</v>
      </c>
      <c r="I30" s="2" t="s">
        <v>9</v>
      </c>
      <c r="J30" s="4"/>
      <c r="K30" s="2">
        <v>4.2</v>
      </c>
      <c r="L30" s="6">
        <f t="shared" si="0"/>
        <v>0</v>
      </c>
    </row>
    <row r="31" spans="1:12" ht="13.15" customHeight="1">
      <c r="A31" s="2">
        <v>27</v>
      </c>
      <c r="B31" s="9" t="s">
        <v>102</v>
      </c>
      <c r="C31" s="8" t="s">
        <v>9</v>
      </c>
      <c r="D31" s="8"/>
      <c r="E31" s="26">
        <v>7</v>
      </c>
      <c r="F31" s="28">
        <f t="shared" si="1"/>
        <v>0</v>
      </c>
      <c r="G31" s="2">
        <v>65</v>
      </c>
      <c r="H31" s="4" t="s">
        <v>261</v>
      </c>
      <c r="I31" s="2" t="s">
        <v>9</v>
      </c>
      <c r="J31" s="4"/>
      <c r="K31" s="2">
        <v>2.4</v>
      </c>
      <c r="L31" s="6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8.25</v>
      </c>
      <c r="F32" s="7">
        <f t="shared" si="1"/>
        <v>0</v>
      </c>
      <c r="G32" s="2">
        <v>66</v>
      </c>
      <c r="H32" s="4"/>
      <c r="I32" s="2" t="s">
        <v>9</v>
      </c>
      <c r="J32" s="4"/>
      <c r="K32" s="2"/>
      <c r="L32" s="6">
        <f t="shared" si="0"/>
        <v>0</v>
      </c>
    </row>
    <row r="33" spans="1:13" ht="13.15" customHeight="1">
      <c r="A33" s="2">
        <v>29</v>
      </c>
      <c r="B33" s="4" t="s">
        <v>68</v>
      </c>
      <c r="C33" s="2" t="s">
        <v>9</v>
      </c>
      <c r="D33" s="2"/>
      <c r="E33" s="5">
        <v>6.4</v>
      </c>
      <c r="F33" s="6">
        <f t="shared" si="1"/>
        <v>0</v>
      </c>
      <c r="G33" s="2">
        <v>67</v>
      </c>
      <c r="H33" s="4"/>
      <c r="I33" s="2" t="s">
        <v>9</v>
      </c>
      <c r="J33" s="4"/>
      <c r="K33" s="2"/>
      <c r="L33" s="6">
        <f t="shared" si="0"/>
        <v>0</v>
      </c>
    </row>
    <row r="34" spans="1:13" ht="13.15" customHeight="1">
      <c r="A34" s="2">
        <v>30</v>
      </c>
      <c r="B34" s="4" t="s">
        <v>70</v>
      </c>
      <c r="C34" s="2" t="s">
        <v>9</v>
      </c>
      <c r="D34" s="2"/>
      <c r="E34" s="5">
        <v>0</v>
      </c>
      <c r="F34" s="6">
        <f t="shared" si="1"/>
        <v>0</v>
      </c>
      <c r="G34" s="2">
        <v>68</v>
      </c>
      <c r="H34" s="4"/>
      <c r="I34" s="2" t="s">
        <v>9</v>
      </c>
      <c r="J34" s="4"/>
      <c r="K34" s="2"/>
      <c r="L34" s="6">
        <f t="shared" si="0"/>
        <v>0</v>
      </c>
      <c r="M34" s="10"/>
    </row>
    <row r="35" spans="1:13" ht="13.15" customHeight="1">
      <c r="A35" s="2">
        <v>31</v>
      </c>
      <c r="B35" s="4" t="s">
        <v>72</v>
      </c>
      <c r="C35" s="2" t="s">
        <v>9</v>
      </c>
      <c r="D35" s="2"/>
      <c r="E35" s="5">
        <v>6.5</v>
      </c>
      <c r="F35" s="7">
        <f t="shared" si="1"/>
        <v>0</v>
      </c>
      <c r="G35" s="2">
        <v>69</v>
      </c>
      <c r="H35" s="4"/>
      <c r="I35" s="2" t="s">
        <v>9</v>
      </c>
      <c r="J35" s="4"/>
      <c r="K35" s="2"/>
      <c r="L35" s="6">
        <f t="shared" si="0"/>
        <v>0</v>
      </c>
    </row>
    <row r="36" spans="1:13" ht="13.15" customHeight="1">
      <c r="A36" s="2">
        <v>32</v>
      </c>
      <c r="B36" s="4" t="s">
        <v>74</v>
      </c>
      <c r="C36" s="2" t="s">
        <v>9</v>
      </c>
      <c r="D36" s="2"/>
      <c r="E36" s="2">
        <v>0</v>
      </c>
      <c r="F36" s="7">
        <f t="shared" si="1"/>
        <v>0</v>
      </c>
      <c r="G36" s="2">
        <v>70</v>
      </c>
      <c r="H36" s="4"/>
      <c r="I36" s="2" t="s">
        <v>9</v>
      </c>
      <c r="J36" s="4"/>
      <c r="K36" s="2"/>
      <c r="L36" s="6">
        <f t="shared" si="0"/>
        <v>0</v>
      </c>
    </row>
    <row r="37" spans="1:13" ht="13.15" customHeight="1">
      <c r="A37" s="2">
        <v>33</v>
      </c>
      <c r="B37" s="4" t="s">
        <v>76</v>
      </c>
      <c r="C37" s="2" t="s">
        <v>9</v>
      </c>
      <c r="D37" s="2"/>
      <c r="E37" s="2">
        <v>0</v>
      </c>
      <c r="F37" s="7">
        <f t="shared" si="1"/>
        <v>0</v>
      </c>
      <c r="G37" s="2">
        <v>71</v>
      </c>
      <c r="H37" s="4"/>
      <c r="I37" s="2" t="s">
        <v>9</v>
      </c>
      <c r="J37" s="4"/>
      <c r="K37" s="2"/>
      <c r="L37" s="6">
        <f t="shared" si="0"/>
        <v>0</v>
      </c>
      <c r="M37" s="11"/>
    </row>
    <row r="38" spans="1:13" ht="13.15" customHeight="1">
      <c r="A38" s="2">
        <v>34</v>
      </c>
      <c r="B38" s="4" t="s">
        <v>78</v>
      </c>
      <c r="C38" s="2" t="s">
        <v>9</v>
      </c>
      <c r="D38" s="2"/>
      <c r="E38" s="2">
        <v>0</v>
      </c>
      <c r="F38" s="7">
        <f t="shared" si="1"/>
        <v>0</v>
      </c>
      <c r="G38" s="2">
        <v>72</v>
      </c>
      <c r="H38" s="4"/>
      <c r="I38" s="2" t="s">
        <v>9</v>
      </c>
      <c r="J38" s="4"/>
      <c r="K38" s="2"/>
      <c r="L38" s="6">
        <f t="shared" si="0"/>
        <v>0</v>
      </c>
    </row>
    <row r="39" spans="1:13" ht="13.15" customHeight="1">
      <c r="A39" s="2">
        <v>35</v>
      </c>
      <c r="B39" s="4" t="s">
        <v>80</v>
      </c>
      <c r="C39" s="2" t="s">
        <v>9</v>
      </c>
      <c r="D39" s="2"/>
      <c r="E39" s="2">
        <v>0</v>
      </c>
      <c r="F39" s="7">
        <f t="shared" si="1"/>
        <v>0</v>
      </c>
      <c r="G39" s="2">
        <v>73</v>
      </c>
      <c r="H39" s="4"/>
      <c r="I39" s="2" t="s">
        <v>9</v>
      </c>
      <c r="J39" s="4"/>
      <c r="K39" s="2"/>
      <c r="L39" s="6">
        <f t="shared" si="0"/>
        <v>0</v>
      </c>
    </row>
    <row r="40" spans="1:13" ht="13.15" customHeight="1">
      <c r="I40" s="33" t="s">
        <v>82</v>
      </c>
      <c r="J40" s="34"/>
      <c r="K40" s="34"/>
      <c r="L40" s="23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69</v>
      </c>
    </row>
    <row r="42" spans="1:13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>
  <dimension ref="A1:M42"/>
  <sheetViews>
    <sheetView workbookViewId="0">
      <selection activeCell="D10" sqref="D10"/>
    </sheetView>
  </sheetViews>
  <sheetFormatPr defaultRowHeight="13.15" customHeight="1"/>
  <cols>
    <col min="1" max="1" width="4.7109375" style="17" customWidth="1"/>
    <col min="2" max="2" width="28.28515625" customWidth="1"/>
    <col min="3" max="3" width="6" bestFit="1" customWidth="1"/>
    <col min="4" max="4" width="5.85546875" bestFit="1" customWidth="1"/>
    <col min="5" max="5" width="8.28515625" customWidth="1"/>
    <col min="7" max="7" width="4.85546875" style="17" customWidth="1"/>
    <col min="8" max="8" width="23.28515625" customWidth="1"/>
    <col min="9" max="9" width="6.85546875" customWidth="1"/>
    <col min="10" max="10" width="6.7109375" customWidth="1"/>
    <col min="11" max="11" width="8.42578125" customWidth="1"/>
  </cols>
  <sheetData>
    <row r="1" spans="1:12" ht="13.15" customHeight="1">
      <c r="A1" s="30"/>
      <c r="B1" s="30"/>
      <c r="C1" s="30"/>
      <c r="D1" s="30" t="s">
        <v>260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 t="s">
        <v>236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1.45</v>
      </c>
      <c r="L2" s="6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0</v>
      </c>
      <c r="L3" s="6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2.5499999999999998</v>
      </c>
      <c r="L4" s="6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0</v>
      </c>
      <c r="F5" s="7">
        <f>D5*E5</f>
        <v>0</v>
      </c>
      <c r="G5" s="2">
        <v>39</v>
      </c>
      <c r="H5" s="4" t="s">
        <v>13</v>
      </c>
      <c r="I5" s="2" t="s">
        <v>9</v>
      </c>
      <c r="J5" s="2"/>
      <c r="K5" s="5">
        <v>2.1</v>
      </c>
      <c r="L5" s="6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</v>
      </c>
      <c r="F6" s="7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8.8000000000000007</v>
      </c>
      <c r="L6" s="6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0</v>
      </c>
      <c r="F7" s="7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0</v>
      </c>
      <c r="L7" s="6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7.85</v>
      </c>
      <c r="F8" s="7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2.5499999999999998</v>
      </c>
      <c r="L8" s="6">
        <f t="shared" si="0"/>
        <v>0</v>
      </c>
    </row>
    <row r="9" spans="1:12" ht="13.15" customHeight="1">
      <c r="A9" s="2">
        <v>5</v>
      </c>
      <c r="B9" s="9" t="s">
        <v>20</v>
      </c>
      <c r="C9" s="8" t="s">
        <v>9</v>
      </c>
      <c r="D9" s="8">
        <v>12</v>
      </c>
      <c r="E9" s="26">
        <v>5.75</v>
      </c>
      <c r="F9" s="27">
        <f t="shared" si="1"/>
        <v>69</v>
      </c>
      <c r="G9" s="2">
        <v>43</v>
      </c>
      <c r="H9" s="4" t="s">
        <v>21</v>
      </c>
      <c r="I9" s="2" t="s">
        <v>9</v>
      </c>
      <c r="J9" s="2"/>
      <c r="K9" s="5">
        <v>0</v>
      </c>
      <c r="L9" s="6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0</v>
      </c>
      <c r="F10" s="7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1.1499999999999999</v>
      </c>
      <c r="L10" s="6">
        <f t="shared" si="0"/>
        <v>0</v>
      </c>
    </row>
    <row r="11" spans="1:12" ht="13.15" customHeight="1">
      <c r="A11" s="2">
        <v>7</v>
      </c>
      <c r="B11" s="4" t="s">
        <v>125</v>
      </c>
      <c r="C11" s="2" t="s">
        <v>9</v>
      </c>
      <c r="D11" s="2"/>
      <c r="E11" s="5">
        <v>6.9</v>
      </c>
      <c r="F11" s="7">
        <f t="shared" si="1"/>
        <v>0</v>
      </c>
      <c r="G11" s="2">
        <v>45</v>
      </c>
      <c r="H11" s="4" t="s">
        <v>238</v>
      </c>
      <c r="I11" s="2" t="s">
        <v>9</v>
      </c>
      <c r="J11" s="2"/>
      <c r="K11" s="5">
        <v>0</v>
      </c>
      <c r="L11" s="6">
        <f t="shared" si="0"/>
        <v>0</v>
      </c>
    </row>
    <row r="12" spans="1:12" ht="13.15" customHeight="1">
      <c r="A12" s="2">
        <v>8</v>
      </c>
      <c r="B12" s="4" t="s">
        <v>239</v>
      </c>
      <c r="C12" s="2" t="s">
        <v>9</v>
      </c>
      <c r="D12" s="2"/>
      <c r="E12" s="5">
        <v>0</v>
      </c>
      <c r="F12" s="7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0</v>
      </c>
      <c r="L12" s="6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0</v>
      </c>
      <c r="F13" s="7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0</v>
      </c>
      <c r="L13" s="6">
        <f t="shared" si="0"/>
        <v>0</v>
      </c>
    </row>
    <row r="14" spans="1:12" ht="13.15" customHeight="1">
      <c r="A14" s="2">
        <v>3</v>
      </c>
      <c r="B14" s="4" t="s">
        <v>30</v>
      </c>
      <c r="C14" s="2" t="s">
        <v>9</v>
      </c>
      <c r="D14" s="2"/>
      <c r="E14" s="5">
        <v>0</v>
      </c>
      <c r="F14" s="7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0</v>
      </c>
      <c r="L14" s="6">
        <f t="shared" si="0"/>
        <v>0</v>
      </c>
    </row>
    <row r="15" spans="1:12" ht="13.15" customHeight="1">
      <c r="A15" s="2">
        <v>11</v>
      </c>
      <c r="B15" s="9" t="s">
        <v>32</v>
      </c>
      <c r="C15" s="8" t="s">
        <v>9</v>
      </c>
      <c r="D15" s="8"/>
      <c r="E15" s="26">
        <v>6.5</v>
      </c>
      <c r="F15" s="27">
        <f t="shared" si="1"/>
        <v>0</v>
      </c>
      <c r="G15" s="2">
        <v>49</v>
      </c>
      <c r="H15" s="4" t="s">
        <v>240</v>
      </c>
      <c r="I15" s="2" t="s">
        <v>9</v>
      </c>
      <c r="J15" s="2"/>
      <c r="K15" s="5">
        <v>9.1</v>
      </c>
      <c r="L15" s="6">
        <f t="shared" si="0"/>
        <v>0</v>
      </c>
    </row>
    <row r="16" spans="1:12" ht="13.15" customHeight="1">
      <c r="A16" s="2">
        <v>12</v>
      </c>
      <c r="B16" s="9" t="s">
        <v>241</v>
      </c>
      <c r="C16" s="8" t="s">
        <v>9</v>
      </c>
      <c r="D16" s="8"/>
      <c r="E16" s="26">
        <v>6.5</v>
      </c>
      <c r="F16" s="27">
        <f t="shared" si="1"/>
        <v>0</v>
      </c>
      <c r="G16" s="2">
        <v>50</v>
      </c>
      <c r="H16" s="4" t="s">
        <v>92</v>
      </c>
      <c r="I16" s="2" t="s">
        <v>9</v>
      </c>
      <c r="J16" s="2"/>
      <c r="K16" s="5">
        <v>7.45</v>
      </c>
      <c r="L16" s="6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0</v>
      </c>
      <c r="F17" s="7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0</v>
      </c>
      <c r="L17" s="6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0</v>
      </c>
      <c r="F18" s="7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3.2</v>
      </c>
      <c r="L18" s="6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6.2</v>
      </c>
      <c r="F19" s="7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0</v>
      </c>
      <c r="L19" s="6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0</v>
      </c>
      <c r="F20" s="7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0</v>
      </c>
      <c r="L20" s="6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0</v>
      </c>
      <c r="F21" s="7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0</v>
      </c>
      <c r="L21" s="6">
        <f t="shared" si="0"/>
        <v>0</v>
      </c>
    </row>
    <row r="22" spans="1:12" ht="13.15" customHeight="1">
      <c r="A22" s="2">
        <v>18</v>
      </c>
      <c r="B22" s="9" t="s">
        <v>46</v>
      </c>
      <c r="C22" s="8" t="s">
        <v>9</v>
      </c>
      <c r="D22" s="8"/>
      <c r="E22" s="26">
        <v>7</v>
      </c>
      <c r="F22" s="27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20.65</v>
      </c>
      <c r="L22" s="6">
        <f t="shared" si="0"/>
        <v>0</v>
      </c>
    </row>
    <row r="23" spans="1:12" ht="13.15" customHeight="1">
      <c r="A23" s="2">
        <v>19</v>
      </c>
      <c r="B23" s="9" t="s">
        <v>48</v>
      </c>
      <c r="C23" s="8" t="s">
        <v>9</v>
      </c>
      <c r="D23" s="8"/>
      <c r="E23" s="26">
        <v>7.75</v>
      </c>
      <c r="F23" s="27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14</v>
      </c>
      <c r="L23" s="6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0</v>
      </c>
      <c r="F24" s="7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0</v>
      </c>
      <c r="L24" s="6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7.9</v>
      </c>
      <c r="F25" s="7">
        <f t="shared" si="1"/>
        <v>0</v>
      </c>
      <c r="G25" s="2">
        <v>59</v>
      </c>
      <c r="H25" s="4" t="s">
        <v>243</v>
      </c>
      <c r="I25" s="2" t="s">
        <v>9</v>
      </c>
      <c r="J25" s="4"/>
      <c r="K25" s="2">
        <v>0</v>
      </c>
      <c r="L25" s="6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0</v>
      </c>
      <c r="F26" s="7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0</v>
      </c>
      <c r="L26" s="6">
        <f t="shared" si="0"/>
        <v>0</v>
      </c>
    </row>
    <row r="27" spans="1:12" ht="13.15" customHeight="1">
      <c r="A27" s="2">
        <v>23</v>
      </c>
      <c r="B27" s="9" t="s">
        <v>56</v>
      </c>
      <c r="C27" s="8" t="s">
        <v>9</v>
      </c>
      <c r="D27" s="8"/>
      <c r="E27" s="26">
        <v>5.75</v>
      </c>
      <c r="F27" s="27">
        <f t="shared" si="1"/>
        <v>0</v>
      </c>
      <c r="G27" s="2">
        <v>61</v>
      </c>
      <c r="H27" s="4" t="s">
        <v>244</v>
      </c>
      <c r="I27" s="2" t="s">
        <v>9</v>
      </c>
      <c r="J27" s="4"/>
      <c r="K27" s="2">
        <v>3.7</v>
      </c>
      <c r="L27" s="6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0</v>
      </c>
      <c r="F28" s="7">
        <f t="shared" si="1"/>
        <v>0</v>
      </c>
      <c r="G28" s="2">
        <v>62</v>
      </c>
      <c r="H28" s="4" t="s">
        <v>245</v>
      </c>
      <c r="I28" s="2" t="s">
        <v>9</v>
      </c>
      <c r="J28" s="4"/>
      <c r="K28" s="2">
        <v>7.35</v>
      </c>
      <c r="L28" s="6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6.7</v>
      </c>
      <c r="F29" s="7">
        <f t="shared" si="1"/>
        <v>0</v>
      </c>
      <c r="G29" s="2">
        <v>63</v>
      </c>
      <c r="H29" s="4" t="s">
        <v>63</v>
      </c>
      <c r="I29" s="2" t="s">
        <v>9</v>
      </c>
      <c r="J29" s="4"/>
      <c r="K29" s="2">
        <v>7.65</v>
      </c>
      <c r="L29" s="6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0</v>
      </c>
      <c r="F30" s="6">
        <f t="shared" si="1"/>
        <v>0</v>
      </c>
      <c r="G30" s="2">
        <v>64</v>
      </c>
      <c r="H30" s="4" t="s">
        <v>25</v>
      </c>
      <c r="I30" s="2" t="s">
        <v>9</v>
      </c>
      <c r="J30" s="4"/>
      <c r="K30" s="2">
        <v>4.2</v>
      </c>
      <c r="L30" s="6">
        <f t="shared" si="0"/>
        <v>0</v>
      </c>
    </row>
    <row r="31" spans="1:12" ht="13.15" customHeight="1">
      <c r="A31" s="2">
        <v>27</v>
      </c>
      <c r="B31" s="9" t="s">
        <v>102</v>
      </c>
      <c r="C31" s="8" t="s">
        <v>9</v>
      </c>
      <c r="D31" s="8"/>
      <c r="E31" s="26">
        <v>7</v>
      </c>
      <c r="F31" s="28">
        <f t="shared" si="1"/>
        <v>0</v>
      </c>
      <c r="G31" s="2">
        <v>65</v>
      </c>
      <c r="H31" s="4" t="s">
        <v>261</v>
      </c>
      <c r="I31" s="2" t="s">
        <v>9</v>
      </c>
      <c r="J31" s="4"/>
      <c r="K31" s="2">
        <v>2.4</v>
      </c>
      <c r="L31" s="6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8.25</v>
      </c>
      <c r="F32" s="7">
        <f t="shared" si="1"/>
        <v>0</v>
      </c>
      <c r="G32" s="2">
        <v>66</v>
      </c>
      <c r="H32" s="4"/>
      <c r="I32" s="2" t="s">
        <v>9</v>
      </c>
      <c r="J32" s="4"/>
      <c r="K32" s="2"/>
      <c r="L32" s="6">
        <f t="shared" si="0"/>
        <v>0</v>
      </c>
    </row>
    <row r="33" spans="1:13" ht="13.15" customHeight="1">
      <c r="A33" s="2">
        <v>29</v>
      </c>
      <c r="B33" s="4" t="s">
        <v>68</v>
      </c>
      <c r="C33" s="2" t="s">
        <v>9</v>
      </c>
      <c r="D33" s="2"/>
      <c r="E33" s="5">
        <v>6.4</v>
      </c>
      <c r="F33" s="6">
        <f t="shared" si="1"/>
        <v>0</v>
      </c>
      <c r="G33" s="2">
        <v>67</v>
      </c>
      <c r="H33" s="4"/>
      <c r="I33" s="2" t="s">
        <v>9</v>
      </c>
      <c r="J33" s="4"/>
      <c r="K33" s="2"/>
      <c r="L33" s="6">
        <f t="shared" si="0"/>
        <v>0</v>
      </c>
    </row>
    <row r="34" spans="1:13" ht="13.15" customHeight="1">
      <c r="A34" s="2">
        <v>30</v>
      </c>
      <c r="B34" s="4" t="s">
        <v>70</v>
      </c>
      <c r="C34" s="2" t="s">
        <v>9</v>
      </c>
      <c r="D34" s="2"/>
      <c r="E34" s="5">
        <v>0</v>
      </c>
      <c r="F34" s="6">
        <f t="shared" si="1"/>
        <v>0</v>
      </c>
      <c r="G34" s="2">
        <v>68</v>
      </c>
      <c r="H34" s="4"/>
      <c r="I34" s="2" t="s">
        <v>9</v>
      </c>
      <c r="J34" s="4"/>
      <c r="K34" s="2"/>
      <c r="L34" s="6">
        <f t="shared" si="0"/>
        <v>0</v>
      </c>
      <c r="M34" s="10"/>
    </row>
    <row r="35" spans="1:13" ht="13.15" customHeight="1">
      <c r="A35" s="2">
        <v>31</v>
      </c>
      <c r="B35" s="4" t="s">
        <v>72</v>
      </c>
      <c r="C35" s="2" t="s">
        <v>9</v>
      </c>
      <c r="D35" s="2"/>
      <c r="E35" s="5">
        <v>6.5</v>
      </c>
      <c r="F35" s="7">
        <f t="shared" si="1"/>
        <v>0</v>
      </c>
      <c r="G35" s="2">
        <v>69</v>
      </c>
      <c r="H35" s="4"/>
      <c r="I35" s="2" t="s">
        <v>9</v>
      </c>
      <c r="J35" s="4"/>
      <c r="K35" s="2"/>
      <c r="L35" s="6">
        <f t="shared" si="0"/>
        <v>0</v>
      </c>
    </row>
    <row r="36" spans="1:13" ht="13.15" customHeight="1">
      <c r="A36" s="2">
        <v>32</v>
      </c>
      <c r="B36" s="4" t="s">
        <v>74</v>
      </c>
      <c r="C36" s="2" t="s">
        <v>9</v>
      </c>
      <c r="D36" s="2"/>
      <c r="E36" s="2">
        <v>0</v>
      </c>
      <c r="F36" s="7">
        <f t="shared" si="1"/>
        <v>0</v>
      </c>
      <c r="G36" s="2">
        <v>70</v>
      </c>
      <c r="H36" s="4"/>
      <c r="I36" s="2" t="s">
        <v>9</v>
      </c>
      <c r="J36" s="4"/>
      <c r="K36" s="2"/>
      <c r="L36" s="6">
        <f t="shared" si="0"/>
        <v>0</v>
      </c>
    </row>
    <row r="37" spans="1:13" ht="13.15" customHeight="1">
      <c r="A37" s="2">
        <v>33</v>
      </c>
      <c r="B37" s="4" t="s">
        <v>76</v>
      </c>
      <c r="C37" s="2" t="s">
        <v>9</v>
      </c>
      <c r="D37" s="2"/>
      <c r="E37" s="2">
        <v>0</v>
      </c>
      <c r="F37" s="7">
        <f t="shared" si="1"/>
        <v>0</v>
      </c>
      <c r="G37" s="2">
        <v>71</v>
      </c>
      <c r="H37" s="4"/>
      <c r="I37" s="2" t="s">
        <v>9</v>
      </c>
      <c r="J37" s="4"/>
      <c r="K37" s="2"/>
      <c r="L37" s="6">
        <f t="shared" si="0"/>
        <v>0</v>
      </c>
      <c r="M37" s="11"/>
    </row>
    <row r="38" spans="1:13" ht="13.15" customHeight="1">
      <c r="A38" s="2">
        <v>34</v>
      </c>
      <c r="B38" s="4" t="s">
        <v>78</v>
      </c>
      <c r="C38" s="2" t="s">
        <v>9</v>
      </c>
      <c r="D38" s="2"/>
      <c r="E38" s="2">
        <v>0</v>
      </c>
      <c r="F38" s="7">
        <f t="shared" si="1"/>
        <v>0</v>
      </c>
      <c r="G38" s="2">
        <v>72</v>
      </c>
      <c r="H38" s="4"/>
      <c r="I38" s="2" t="s">
        <v>9</v>
      </c>
      <c r="J38" s="4"/>
      <c r="K38" s="2"/>
      <c r="L38" s="6">
        <f t="shared" si="0"/>
        <v>0</v>
      </c>
    </row>
    <row r="39" spans="1:13" ht="13.15" customHeight="1">
      <c r="A39" s="2">
        <v>35</v>
      </c>
      <c r="B39" s="4" t="s">
        <v>80</v>
      </c>
      <c r="C39" s="2" t="s">
        <v>9</v>
      </c>
      <c r="D39" s="2"/>
      <c r="E39" s="2">
        <v>0</v>
      </c>
      <c r="F39" s="7">
        <f t="shared" si="1"/>
        <v>0</v>
      </c>
      <c r="G39" s="2">
        <v>73</v>
      </c>
      <c r="H39" s="4"/>
      <c r="I39" s="2" t="s">
        <v>9</v>
      </c>
      <c r="J39" s="4"/>
      <c r="K39" s="2"/>
      <c r="L39" s="6">
        <f t="shared" si="0"/>
        <v>0</v>
      </c>
    </row>
    <row r="40" spans="1:13" ht="13.15" customHeight="1">
      <c r="I40" s="33" t="s">
        <v>82</v>
      </c>
      <c r="J40" s="34"/>
      <c r="K40" s="34"/>
      <c r="L40" s="23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69</v>
      </c>
    </row>
    <row r="42" spans="1:13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>
  <dimension ref="A1:M42"/>
  <sheetViews>
    <sheetView workbookViewId="0">
      <selection activeCell="D10" sqref="D10"/>
    </sheetView>
  </sheetViews>
  <sheetFormatPr defaultRowHeight="13.15" customHeight="1"/>
  <cols>
    <col min="1" max="1" width="4.7109375" style="17" customWidth="1"/>
    <col min="2" max="2" width="28.28515625" customWidth="1"/>
    <col min="3" max="3" width="6" bestFit="1" customWidth="1"/>
    <col min="4" max="4" width="5.85546875" bestFit="1" customWidth="1"/>
    <col min="5" max="5" width="8.28515625" customWidth="1"/>
    <col min="7" max="7" width="4.85546875" style="17" customWidth="1"/>
    <col min="8" max="8" width="23.28515625" customWidth="1"/>
    <col min="9" max="9" width="6.85546875" customWidth="1"/>
    <col min="10" max="10" width="6.7109375" customWidth="1"/>
    <col min="11" max="11" width="8.42578125" customWidth="1"/>
  </cols>
  <sheetData>
    <row r="1" spans="1:12" ht="13.15" customHeight="1">
      <c r="A1" s="30"/>
      <c r="B1" s="30"/>
      <c r="C1" s="30"/>
      <c r="D1" s="30" t="s">
        <v>260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 t="s">
        <v>236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1.45</v>
      </c>
      <c r="L2" s="6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0</v>
      </c>
      <c r="L3" s="6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2.5499999999999998</v>
      </c>
      <c r="L4" s="6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0</v>
      </c>
      <c r="F5" s="7">
        <f>D5*E5</f>
        <v>0</v>
      </c>
      <c r="G5" s="2">
        <v>39</v>
      </c>
      <c r="H5" s="4" t="s">
        <v>13</v>
      </c>
      <c r="I5" s="2" t="s">
        <v>9</v>
      </c>
      <c r="J5" s="2"/>
      <c r="K5" s="5">
        <v>2.1</v>
      </c>
      <c r="L5" s="6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5</v>
      </c>
      <c r="F6" s="7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8.8000000000000007</v>
      </c>
      <c r="L6" s="6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/>
      <c r="E7" s="5">
        <v>0</v>
      </c>
      <c r="F7" s="7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0</v>
      </c>
      <c r="L7" s="6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7.85</v>
      </c>
      <c r="F8" s="7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2.5499999999999998</v>
      </c>
      <c r="L8" s="6">
        <f t="shared" si="0"/>
        <v>0</v>
      </c>
    </row>
    <row r="9" spans="1:12" ht="13.15" customHeight="1">
      <c r="A9" s="2">
        <v>5</v>
      </c>
      <c r="B9" s="9" t="s">
        <v>20</v>
      </c>
      <c r="C9" s="8" t="s">
        <v>9</v>
      </c>
      <c r="D9" s="8">
        <v>12</v>
      </c>
      <c r="E9" s="26">
        <v>5.75</v>
      </c>
      <c r="F9" s="27">
        <f t="shared" si="1"/>
        <v>69</v>
      </c>
      <c r="G9" s="2">
        <v>43</v>
      </c>
      <c r="H9" s="4" t="s">
        <v>21</v>
      </c>
      <c r="I9" s="2" t="s">
        <v>9</v>
      </c>
      <c r="J9" s="2"/>
      <c r="K9" s="5">
        <v>0</v>
      </c>
      <c r="L9" s="6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0</v>
      </c>
      <c r="F10" s="7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1.1499999999999999</v>
      </c>
      <c r="L10" s="6">
        <f t="shared" si="0"/>
        <v>0</v>
      </c>
    </row>
    <row r="11" spans="1:12" ht="13.15" customHeight="1">
      <c r="A11" s="2">
        <v>7</v>
      </c>
      <c r="B11" s="4" t="s">
        <v>125</v>
      </c>
      <c r="C11" s="2" t="s">
        <v>9</v>
      </c>
      <c r="D11" s="2"/>
      <c r="E11" s="5">
        <v>6.9</v>
      </c>
      <c r="F11" s="7">
        <f t="shared" si="1"/>
        <v>0</v>
      </c>
      <c r="G11" s="2">
        <v>45</v>
      </c>
      <c r="H11" s="4" t="s">
        <v>238</v>
      </c>
      <c r="I11" s="2" t="s">
        <v>9</v>
      </c>
      <c r="J11" s="2"/>
      <c r="K11" s="5">
        <v>0</v>
      </c>
      <c r="L11" s="6">
        <f t="shared" si="0"/>
        <v>0</v>
      </c>
    </row>
    <row r="12" spans="1:12" ht="13.15" customHeight="1">
      <c r="A12" s="2">
        <v>8</v>
      </c>
      <c r="B12" s="4" t="s">
        <v>239</v>
      </c>
      <c r="C12" s="2" t="s">
        <v>9</v>
      </c>
      <c r="D12" s="2"/>
      <c r="E12" s="5">
        <v>0</v>
      </c>
      <c r="F12" s="7">
        <f t="shared" si="1"/>
        <v>0</v>
      </c>
      <c r="G12" s="2">
        <v>46</v>
      </c>
      <c r="H12" s="4" t="s">
        <v>126</v>
      </c>
      <c r="I12" s="2" t="s">
        <v>9</v>
      </c>
      <c r="J12" s="2"/>
      <c r="K12" s="5">
        <v>0</v>
      </c>
      <c r="L12" s="6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/>
      <c r="E13" s="5">
        <v>0</v>
      </c>
      <c r="F13" s="7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0</v>
      </c>
      <c r="L13" s="6">
        <f t="shared" si="0"/>
        <v>0</v>
      </c>
    </row>
    <row r="14" spans="1:12" ht="13.15" customHeight="1">
      <c r="A14" s="2">
        <v>3</v>
      </c>
      <c r="B14" s="4" t="s">
        <v>30</v>
      </c>
      <c r="C14" s="2" t="s">
        <v>9</v>
      </c>
      <c r="D14" s="2"/>
      <c r="E14" s="5">
        <v>0</v>
      </c>
      <c r="F14" s="7">
        <f t="shared" si="1"/>
        <v>0</v>
      </c>
      <c r="G14" s="2">
        <v>48</v>
      </c>
      <c r="H14" s="4" t="s">
        <v>31</v>
      </c>
      <c r="I14" s="2" t="s">
        <v>9</v>
      </c>
      <c r="J14" s="2"/>
      <c r="K14" s="5">
        <v>0</v>
      </c>
      <c r="L14" s="6">
        <f t="shared" si="0"/>
        <v>0</v>
      </c>
    </row>
    <row r="15" spans="1:12" ht="13.15" customHeight="1">
      <c r="A15" s="2">
        <v>11</v>
      </c>
      <c r="B15" s="9" t="s">
        <v>32</v>
      </c>
      <c r="C15" s="8" t="s">
        <v>9</v>
      </c>
      <c r="D15" s="8"/>
      <c r="E15" s="26">
        <v>6.5</v>
      </c>
      <c r="F15" s="27">
        <f t="shared" si="1"/>
        <v>0</v>
      </c>
      <c r="G15" s="2">
        <v>49</v>
      </c>
      <c r="H15" s="4" t="s">
        <v>240</v>
      </c>
      <c r="I15" s="2" t="s">
        <v>9</v>
      </c>
      <c r="J15" s="2"/>
      <c r="K15" s="5">
        <v>9.1</v>
      </c>
      <c r="L15" s="6">
        <f t="shared" si="0"/>
        <v>0</v>
      </c>
    </row>
    <row r="16" spans="1:12" ht="13.15" customHeight="1">
      <c r="A16" s="2">
        <v>12</v>
      </c>
      <c r="B16" s="9" t="s">
        <v>241</v>
      </c>
      <c r="C16" s="8" t="s">
        <v>9</v>
      </c>
      <c r="D16" s="8"/>
      <c r="E16" s="26">
        <v>6.5</v>
      </c>
      <c r="F16" s="27">
        <f t="shared" si="1"/>
        <v>0</v>
      </c>
      <c r="G16" s="2">
        <v>50</v>
      </c>
      <c r="H16" s="4" t="s">
        <v>92</v>
      </c>
      <c r="I16" s="2" t="s">
        <v>9</v>
      </c>
      <c r="J16" s="2"/>
      <c r="K16" s="5">
        <v>7.45</v>
      </c>
      <c r="L16" s="6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/>
      <c r="E17" s="5">
        <v>0</v>
      </c>
      <c r="F17" s="7">
        <f t="shared" si="1"/>
        <v>0</v>
      </c>
      <c r="G17" s="2">
        <v>51</v>
      </c>
      <c r="H17" s="4" t="s">
        <v>130</v>
      </c>
      <c r="I17" s="2" t="s">
        <v>9</v>
      </c>
      <c r="J17" s="2"/>
      <c r="K17" s="5">
        <v>0</v>
      </c>
      <c r="L17" s="6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0</v>
      </c>
      <c r="F18" s="7">
        <f t="shared" si="1"/>
        <v>0</v>
      </c>
      <c r="G18" s="2">
        <v>52</v>
      </c>
      <c r="H18" s="4" t="s">
        <v>131</v>
      </c>
      <c r="I18" s="2" t="s">
        <v>9</v>
      </c>
      <c r="J18" s="2"/>
      <c r="K18" s="5">
        <v>3.2</v>
      </c>
      <c r="L18" s="6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6.2</v>
      </c>
      <c r="F19" s="7">
        <f t="shared" si="1"/>
        <v>0</v>
      </c>
      <c r="G19" s="2">
        <v>53</v>
      </c>
      <c r="H19" s="4" t="s">
        <v>94</v>
      </c>
      <c r="I19" s="2" t="s">
        <v>9</v>
      </c>
      <c r="J19" s="2"/>
      <c r="K19" s="5">
        <v>0</v>
      </c>
      <c r="L19" s="6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0</v>
      </c>
      <c r="F20" s="7">
        <f t="shared" si="1"/>
        <v>0</v>
      </c>
      <c r="G20" s="2">
        <v>54</v>
      </c>
      <c r="H20" s="4" t="s">
        <v>95</v>
      </c>
      <c r="I20" s="2" t="s">
        <v>9</v>
      </c>
      <c r="J20" s="2"/>
      <c r="K20" s="5">
        <v>0</v>
      </c>
      <c r="L20" s="6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0</v>
      </c>
      <c r="F21" s="7">
        <f t="shared" si="1"/>
        <v>0</v>
      </c>
      <c r="G21" s="2">
        <v>55</v>
      </c>
      <c r="H21" s="4" t="s">
        <v>45</v>
      </c>
      <c r="I21" s="2" t="s">
        <v>9</v>
      </c>
      <c r="J21" s="2"/>
      <c r="K21" s="5">
        <v>0</v>
      </c>
      <c r="L21" s="6">
        <f t="shared" si="0"/>
        <v>0</v>
      </c>
    </row>
    <row r="22" spans="1:12" ht="13.15" customHeight="1">
      <c r="A22" s="2">
        <v>18</v>
      </c>
      <c r="B22" s="9" t="s">
        <v>46</v>
      </c>
      <c r="C22" s="8" t="s">
        <v>9</v>
      </c>
      <c r="D22" s="8"/>
      <c r="E22" s="26">
        <v>7</v>
      </c>
      <c r="F22" s="27">
        <f t="shared" si="1"/>
        <v>0</v>
      </c>
      <c r="G22" s="2">
        <v>56</v>
      </c>
      <c r="H22" s="4" t="s">
        <v>47</v>
      </c>
      <c r="I22" s="2" t="s">
        <v>9</v>
      </c>
      <c r="J22" s="2"/>
      <c r="K22" s="5">
        <v>20.65</v>
      </c>
      <c r="L22" s="6">
        <f t="shared" si="0"/>
        <v>0</v>
      </c>
    </row>
    <row r="23" spans="1:12" ht="13.15" customHeight="1">
      <c r="A23" s="2">
        <v>19</v>
      </c>
      <c r="B23" s="9" t="s">
        <v>48</v>
      </c>
      <c r="C23" s="8" t="s">
        <v>9</v>
      </c>
      <c r="D23" s="8"/>
      <c r="E23" s="26">
        <v>7.75</v>
      </c>
      <c r="F23" s="27">
        <f t="shared" si="1"/>
        <v>0</v>
      </c>
      <c r="G23" s="2">
        <v>57</v>
      </c>
      <c r="H23" s="4" t="s">
        <v>132</v>
      </c>
      <c r="I23" s="2" t="s">
        <v>9</v>
      </c>
      <c r="J23" s="4"/>
      <c r="K23" s="2">
        <v>14</v>
      </c>
      <c r="L23" s="6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0</v>
      </c>
      <c r="F24" s="7">
        <f t="shared" si="1"/>
        <v>0</v>
      </c>
      <c r="G24" s="2">
        <v>58</v>
      </c>
      <c r="H24" s="4" t="s">
        <v>242</v>
      </c>
      <c r="I24" s="2" t="s">
        <v>9</v>
      </c>
      <c r="J24" s="4"/>
      <c r="K24" s="2">
        <v>0</v>
      </c>
      <c r="L24" s="6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/>
      <c r="E25" s="5">
        <v>7.9</v>
      </c>
      <c r="F25" s="7">
        <f t="shared" si="1"/>
        <v>0</v>
      </c>
      <c r="G25" s="2">
        <v>59</v>
      </c>
      <c r="H25" s="4" t="s">
        <v>243</v>
      </c>
      <c r="I25" s="2" t="s">
        <v>9</v>
      </c>
      <c r="J25" s="4"/>
      <c r="K25" s="2">
        <v>0</v>
      </c>
      <c r="L25" s="6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0</v>
      </c>
      <c r="F26" s="7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0</v>
      </c>
      <c r="L26" s="6">
        <f t="shared" si="0"/>
        <v>0</v>
      </c>
    </row>
    <row r="27" spans="1:12" ht="13.15" customHeight="1">
      <c r="A27" s="2">
        <v>23</v>
      </c>
      <c r="B27" s="9" t="s">
        <v>56</v>
      </c>
      <c r="C27" s="8" t="s">
        <v>9</v>
      </c>
      <c r="D27" s="8"/>
      <c r="E27" s="26">
        <v>5.75</v>
      </c>
      <c r="F27" s="27">
        <f t="shared" si="1"/>
        <v>0</v>
      </c>
      <c r="G27" s="2">
        <v>61</v>
      </c>
      <c r="H27" s="4" t="s">
        <v>244</v>
      </c>
      <c r="I27" s="2" t="s">
        <v>9</v>
      </c>
      <c r="J27" s="4"/>
      <c r="K27" s="2">
        <v>3.7</v>
      </c>
      <c r="L27" s="6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0</v>
      </c>
      <c r="F28" s="7">
        <f t="shared" si="1"/>
        <v>0</v>
      </c>
      <c r="G28" s="2">
        <v>62</v>
      </c>
      <c r="H28" s="4" t="s">
        <v>245</v>
      </c>
      <c r="I28" s="2" t="s">
        <v>9</v>
      </c>
      <c r="J28" s="4"/>
      <c r="K28" s="2">
        <v>7.35</v>
      </c>
      <c r="L28" s="6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6.7</v>
      </c>
      <c r="F29" s="7">
        <f t="shared" si="1"/>
        <v>0</v>
      </c>
      <c r="G29" s="2">
        <v>63</v>
      </c>
      <c r="H29" s="4" t="s">
        <v>63</v>
      </c>
      <c r="I29" s="2" t="s">
        <v>9</v>
      </c>
      <c r="J29" s="4"/>
      <c r="K29" s="2">
        <v>7.65</v>
      </c>
      <c r="L29" s="6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0</v>
      </c>
      <c r="F30" s="6">
        <f t="shared" si="1"/>
        <v>0</v>
      </c>
      <c r="G30" s="2">
        <v>64</v>
      </c>
      <c r="H30" s="4" t="s">
        <v>25</v>
      </c>
      <c r="I30" s="2" t="s">
        <v>9</v>
      </c>
      <c r="J30" s="4"/>
      <c r="K30" s="2">
        <v>4.2</v>
      </c>
      <c r="L30" s="6">
        <f t="shared" si="0"/>
        <v>0</v>
      </c>
    </row>
    <row r="31" spans="1:12" ht="13.15" customHeight="1">
      <c r="A31" s="2">
        <v>27</v>
      </c>
      <c r="B31" s="9" t="s">
        <v>102</v>
      </c>
      <c r="C31" s="8" t="s">
        <v>9</v>
      </c>
      <c r="D31" s="8"/>
      <c r="E31" s="26">
        <v>7</v>
      </c>
      <c r="F31" s="28">
        <f t="shared" si="1"/>
        <v>0</v>
      </c>
      <c r="G31" s="2">
        <v>65</v>
      </c>
      <c r="H31" s="4" t="s">
        <v>261</v>
      </c>
      <c r="I31" s="2" t="s">
        <v>9</v>
      </c>
      <c r="J31" s="4"/>
      <c r="K31" s="2">
        <v>2.4</v>
      </c>
      <c r="L31" s="6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/>
      <c r="E32" s="5">
        <v>8.25</v>
      </c>
      <c r="F32" s="7">
        <f t="shared" si="1"/>
        <v>0</v>
      </c>
      <c r="G32" s="2">
        <v>66</v>
      </c>
      <c r="H32" s="4"/>
      <c r="I32" s="2" t="s">
        <v>9</v>
      </c>
      <c r="J32" s="4"/>
      <c r="K32" s="2"/>
      <c r="L32" s="6">
        <f t="shared" si="0"/>
        <v>0</v>
      </c>
    </row>
    <row r="33" spans="1:13" ht="13.15" customHeight="1">
      <c r="A33" s="2">
        <v>29</v>
      </c>
      <c r="B33" s="4" t="s">
        <v>68</v>
      </c>
      <c r="C33" s="2" t="s">
        <v>9</v>
      </c>
      <c r="D33" s="2"/>
      <c r="E33" s="5">
        <v>6.4</v>
      </c>
      <c r="F33" s="6">
        <f t="shared" si="1"/>
        <v>0</v>
      </c>
      <c r="G33" s="2">
        <v>67</v>
      </c>
      <c r="H33" s="4"/>
      <c r="I33" s="2" t="s">
        <v>9</v>
      </c>
      <c r="J33" s="4"/>
      <c r="K33" s="2"/>
      <c r="L33" s="6">
        <f t="shared" si="0"/>
        <v>0</v>
      </c>
    </row>
    <row r="34" spans="1:13" ht="13.15" customHeight="1">
      <c r="A34" s="2">
        <v>30</v>
      </c>
      <c r="B34" s="4" t="s">
        <v>70</v>
      </c>
      <c r="C34" s="2" t="s">
        <v>9</v>
      </c>
      <c r="D34" s="2"/>
      <c r="E34" s="5">
        <v>0</v>
      </c>
      <c r="F34" s="6">
        <f t="shared" si="1"/>
        <v>0</v>
      </c>
      <c r="G34" s="2">
        <v>68</v>
      </c>
      <c r="H34" s="4"/>
      <c r="I34" s="2" t="s">
        <v>9</v>
      </c>
      <c r="J34" s="4"/>
      <c r="K34" s="2"/>
      <c r="L34" s="6">
        <f t="shared" si="0"/>
        <v>0</v>
      </c>
      <c r="M34" s="10"/>
    </row>
    <row r="35" spans="1:13" ht="13.15" customHeight="1">
      <c r="A35" s="2">
        <v>31</v>
      </c>
      <c r="B35" s="4" t="s">
        <v>72</v>
      </c>
      <c r="C35" s="2" t="s">
        <v>9</v>
      </c>
      <c r="D35" s="2"/>
      <c r="E35" s="5">
        <v>6.5</v>
      </c>
      <c r="F35" s="7">
        <f t="shared" si="1"/>
        <v>0</v>
      </c>
      <c r="G35" s="2">
        <v>69</v>
      </c>
      <c r="H35" s="4"/>
      <c r="I35" s="2" t="s">
        <v>9</v>
      </c>
      <c r="J35" s="4"/>
      <c r="K35" s="2"/>
      <c r="L35" s="6">
        <f t="shared" si="0"/>
        <v>0</v>
      </c>
    </row>
    <row r="36" spans="1:13" ht="13.15" customHeight="1">
      <c r="A36" s="2">
        <v>32</v>
      </c>
      <c r="B36" s="4" t="s">
        <v>74</v>
      </c>
      <c r="C36" s="2" t="s">
        <v>9</v>
      </c>
      <c r="D36" s="2"/>
      <c r="E36" s="2">
        <v>0</v>
      </c>
      <c r="F36" s="7">
        <f t="shared" si="1"/>
        <v>0</v>
      </c>
      <c r="G36" s="2">
        <v>70</v>
      </c>
      <c r="H36" s="4"/>
      <c r="I36" s="2" t="s">
        <v>9</v>
      </c>
      <c r="J36" s="4"/>
      <c r="K36" s="2"/>
      <c r="L36" s="6">
        <f t="shared" si="0"/>
        <v>0</v>
      </c>
    </row>
    <row r="37" spans="1:13" ht="13.15" customHeight="1">
      <c r="A37" s="2">
        <v>33</v>
      </c>
      <c r="B37" s="4" t="s">
        <v>76</v>
      </c>
      <c r="C37" s="2" t="s">
        <v>9</v>
      </c>
      <c r="D37" s="2"/>
      <c r="E37" s="2">
        <v>0</v>
      </c>
      <c r="F37" s="7">
        <f t="shared" si="1"/>
        <v>0</v>
      </c>
      <c r="G37" s="2">
        <v>71</v>
      </c>
      <c r="H37" s="4"/>
      <c r="I37" s="2" t="s">
        <v>9</v>
      </c>
      <c r="J37" s="4"/>
      <c r="K37" s="2"/>
      <c r="L37" s="6">
        <f t="shared" si="0"/>
        <v>0</v>
      </c>
      <c r="M37" s="11"/>
    </row>
    <row r="38" spans="1:13" ht="13.15" customHeight="1">
      <c r="A38" s="2">
        <v>34</v>
      </c>
      <c r="B38" s="4" t="s">
        <v>78</v>
      </c>
      <c r="C38" s="2" t="s">
        <v>9</v>
      </c>
      <c r="D38" s="2"/>
      <c r="E38" s="2">
        <v>0</v>
      </c>
      <c r="F38" s="7">
        <f t="shared" si="1"/>
        <v>0</v>
      </c>
      <c r="G38" s="2">
        <v>72</v>
      </c>
      <c r="H38" s="4"/>
      <c r="I38" s="2" t="s">
        <v>9</v>
      </c>
      <c r="J38" s="4"/>
      <c r="K38" s="2"/>
      <c r="L38" s="6">
        <f t="shared" si="0"/>
        <v>0</v>
      </c>
    </row>
    <row r="39" spans="1:13" ht="13.15" customHeight="1">
      <c r="A39" s="2">
        <v>35</v>
      </c>
      <c r="B39" s="4" t="s">
        <v>80</v>
      </c>
      <c r="C39" s="2" t="s">
        <v>9</v>
      </c>
      <c r="D39" s="2"/>
      <c r="E39" s="2">
        <v>0</v>
      </c>
      <c r="F39" s="7">
        <f t="shared" si="1"/>
        <v>0</v>
      </c>
      <c r="G39" s="2">
        <v>73</v>
      </c>
      <c r="H39" s="4"/>
      <c r="I39" s="2" t="s">
        <v>9</v>
      </c>
      <c r="J39" s="4"/>
      <c r="K39" s="2"/>
      <c r="L39" s="6">
        <f t="shared" si="0"/>
        <v>0</v>
      </c>
    </row>
    <row r="40" spans="1:13" ht="13.15" customHeight="1">
      <c r="I40" s="33" t="s">
        <v>82</v>
      </c>
      <c r="J40" s="34"/>
      <c r="K40" s="34"/>
      <c r="L40" s="23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69</v>
      </c>
    </row>
    <row r="42" spans="1:13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>
  <sheetPr>
    <tabColor rgb="FFFF0000"/>
  </sheetPr>
  <dimension ref="A1:M42"/>
  <sheetViews>
    <sheetView topLeftCell="A19" workbookViewId="0">
      <selection activeCell="O9" sqref="O9"/>
    </sheetView>
  </sheetViews>
  <sheetFormatPr defaultRowHeight="13.15" customHeight="1"/>
  <cols>
    <col min="1" max="1" width="4.7109375" style="17" customWidth="1"/>
    <col min="2" max="2" width="28.28515625" customWidth="1"/>
    <col min="3" max="3" width="6" bestFit="1" customWidth="1"/>
    <col min="4" max="4" width="9.85546875" bestFit="1" customWidth="1"/>
    <col min="5" max="5" width="8.28515625" customWidth="1"/>
    <col min="6" max="6" width="8.85546875" style="17"/>
    <col min="7" max="7" width="4.85546875" style="17" customWidth="1"/>
    <col min="8" max="8" width="23.28515625" customWidth="1"/>
    <col min="9" max="9" width="6.85546875" customWidth="1"/>
    <col min="10" max="10" width="6.7109375" customWidth="1"/>
    <col min="11" max="11" width="8.42578125" customWidth="1"/>
    <col min="12" max="12" width="8.85546875" style="17"/>
  </cols>
  <sheetData>
    <row r="1" spans="1:12" ht="13.15" customHeight="1">
      <c r="A1" s="30"/>
      <c r="B1" s="30"/>
      <c r="C1" s="30"/>
      <c r="D1" s="30" t="s">
        <v>260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 t="s">
        <v>236</v>
      </c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>
        <f>'q1'!J2+'q2'!J2+'q3'!J2+'q4'!J2+'q5'!J2+'q6'!J2+'q7'!J2+'q8'!J2+'q9'!J2+'q10'!J2+'q11'!J2+'q12'!J2+'q13'!J2+'q14'!J2+'q15'!J2</f>
        <v>0</v>
      </c>
      <c r="K2" s="5">
        <v>1.45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>
        <f>'q1'!J3+'q2'!J3+'q3'!J3+'q4'!J3+'q5'!J3+'q6'!J3+'q7'!J3+'q8'!J3+'q9'!J3+'q10'!J3+'q11'!J3+'q12'!J3+'q13'!J3+'q14'!J3+'q15'!J3</f>
        <v>0</v>
      </c>
      <c r="K3" s="5">
        <v>0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>
        <f>'q1'!J4+'q2'!J4+'q3'!J4+'q4'!J4+'q5'!J4+'q6'!J4+'q7'!J4+'q8'!J4+'q9'!J4+'q10'!J4+'q11'!J4+'q12'!J4+'q13'!J4+'q14'!J4+'q15'!J4</f>
        <v>0</v>
      </c>
      <c r="K4" s="5">
        <v>2.5499999999999998</v>
      </c>
      <c r="L4" s="5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>
        <f>'q1'!D5+'q2'!D5+'q3'!D5+'q4'!D5+'q5'!D5+'q6'!D5+'q7'!D5+'q8'!D5+'q9'!D5+'q10'!D5+'q11'!D5+'q12'!D5+'q13'!D5+'q14'!D5+'q15'!D5</f>
        <v>0</v>
      </c>
      <c r="E5" s="5">
        <v>0</v>
      </c>
      <c r="F5" s="20">
        <f>D5*E5</f>
        <v>0</v>
      </c>
      <c r="G5" s="2">
        <v>39</v>
      </c>
      <c r="H5" s="4" t="s">
        <v>13</v>
      </c>
      <c r="I5" s="2" t="s">
        <v>9</v>
      </c>
      <c r="J5" s="2">
        <f>'q1'!J5+'q2'!J5+'q3'!J5+'q4'!J5+'q5'!J5+'q6'!J5+'q7'!J5+'q8'!J5+'q9'!J5+'q10'!J5+'q11'!J5+'q12'!J5+'q13'!J5+'q14'!J5+'q15'!J5</f>
        <v>0</v>
      </c>
      <c r="K5" s="5">
        <v>2.1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>
        <f>'q1'!D6+'q2'!D6+'q3'!D6+'q4'!D6+'q5'!D6+'q6'!D6+'q7'!D6+'q8'!D6+'q9'!D6+'q10'!D6+'q11'!D6+'q12'!D6+'q13'!D6+'q14'!D6+'q15'!D6</f>
        <v>0</v>
      </c>
      <c r="E6" s="5">
        <v>5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>
        <f>'q1'!J6+'q2'!J6+'q3'!J6+'q4'!J6+'q5'!J6+'q6'!J6+'q7'!J6+'q8'!J6+'q9'!J6+'q10'!J6+'q11'!J6+'q12'!J6+'q13'!J6+'q14'!J6+'q15'!J6</f>
        <v>0</v>
      </c>
      <c r="K6" s="5">
        <v>8.8000000000000007</v>
      </c>
      <c r="L6" s="5">
        <f t="shared" si="0"/>
        <v>0</v>
      </c>
    </row>
    <row r="7" spans="1:12" ht="13.15" customHeight="1">
      <c r="A7" s="2">
        <v>3</v>
      </c>
      <c r="B7" s="4" t="s">
        <v>156</v>
      </c>
      <c r="C7" s="2" t="s">
        <v>9</v>
      </c>
      <c r="D7" s="2">
        <f>'q1'!D7+'q2'!D7+'q3'!D7+'q4'!D7+'q5'!D7+'q6'!D7+'q7'!D7+'q8'!D7+'q9'!D7+'q10'!D7+'q11'!D7+'q12'!D7+'q13'!D7+'q14'!D7+'q15'!D7</f>
        <v>0</v>
      </c>
      <c r="E7" s="5">
        <v>0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>
        <f>'q1'!J7+'q2'!J7+'q3'!J7+'q4'!J7+'q5'!J7+'q6'!J7+'q7'!J7+'q8'!J7+'q9'!J7+'q10'!J7+'q11'!J7+'q12'!J7+'q13'!J7+'q14'!J7+'q15'!J7</f>
        <v>0</v>
      </c>
      <c r="K7" s="5">
        <v>0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>
        <f>'q1'!D8+'q2'!D8+'q3'!D8+'q4'!D8+'q5'!D8+'q6'!D8+'q7'!D8+'q8'!D8+'q9'!D8+'q10'!D8+'q11'!D8+'q12'!D8+'q13'!D8+'q14'!D8+'q15'!D8</f>
        <v>0</v>
      </c>
      <c r="E8" s="5">
        <v>7.85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>
        <f>'q1'!J8+'q2'!J8+'q3'!J8+'q4'!J8+'q5'!J8+'q6'!J8+'q7'!J8+'q8'!J8+'q9'!J8+'q10'!J8+'q11'!J8+'q12'!J8+'q13'!J8+'q14'!J8+'q15'!J8</f>
        <v>0</v>
      </c>
      <c r="K8" s="5">
        <v>2.5499999999999998</v>
      </c>
      <c r="L8" s="5">
        <f t="shared" si="0"/>
        <v>0</v>
      </c>
    </row>
    <row r="9" spans="1:12" ht="13.15" customHeight="1">
      <c r="A9" s="2">
        <v>5</v>
      </c>
      <c r="B9" s="9" t="s">
        <v>20</v>
      </c>
      <c r="C9" s="8" t="s">
        <v>9</v>
      </c>
      <c r="D9" s="8">
        <f>'q1'!D9+'q2'!D9+'q3'!D9+'q4'!D9+'q5'!D9+'q6'!D9+'q7'!D9+'q8'!D9+'q9'!D9+'q10'!D9+'q11'!D9+'q12'!D9+'q13'!D9+'q14'!D9+'q15'!D9</f>
        <v>180</v>
      </c>
      <c r="E9" s="26">
        <v>5.75</v>
      </c>
      <c r="F9" s="29">
        <f t="shared" si="1"/>
        <v>1035</v>
      </c>
      <c r="G9" s="2">
        <v>43</v>
      </c>
      <c r="H9" s="4" t="s">
        <v>21</v>
      </c>
      <c r="I9" s="2" t="s">
        <v>9</v>
      </c>
      <c r="J9" s="2">
        <f>'q1'!J9+'q2'!J9+'q3'!J9+'q4'!J9+'q5'!J9+'q6'!J9+'q7'!J9+'q8'!J9+'q9'!J9+'q10'!J9+'q11'!J9+'q12'!J9+'q13'!J9+'q14'!J9+'q15'!J9</f>
        <v>0</v>
      </c>
      <c r="K9" s="5">
        <v>0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>
        <f>'q1'!D10+'q2'!D10+'q3'!D10+'q4'!D10+'q5'!D10+'q6'!D10+'q7'!D10+'q8'!D10+'q9'!D10+'q10'!D10+'q11'!D10+'q12'!D10+'q13'!D10+'q14'!D10+'q15'!D10</f>
        <v>0</v>
      </c>
      <c r="E10" s="5">
        <v>0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>
        <f>'q1'!J10+'q2'!J10+'q3'!J10+'q4'!J10+'q5'!J10+'q6'!J10+'q7'!J10+'q8'!J10+'q9'!J10+'q10'!J10+'q11'!J10+'q12'!J10+'q13'!J10+'q14'!J10+'q15'!J10</f>
        <v>0</v>
      </c>
      <c r="K10" s="5">
        <v>1.1499999999999999</v>
      </c>
      <c r="L10" s="5">
        <f t="shared" si="0"/>
        <v>0</v>
      </c>
    </row>
    <row r="11" spans="1:12" ht="13.15" customHeight="1">
      <c r="A11" s="2">
        <v>7</v>
      </c>
      <c r="B11" s="4" t="s">
        <v>125</v>
      </c>
      <c r="C11" s="2" t="s">
        <v>9</v>
      </c>
      <c r="D11" s="2">
        <f>'q1'!D11+'q2'!D11+'q3'!D11+'q4'!D11+'q5'!D11+'q6'!D11+'q7'!D11+'q8'!D11+'q9'!D11+'q10'!D11+'q11'!D11+'q12'!D11+'q13'!D11+'q14'!D11+'q15'!D11</f>
        <v>0</v>
      </c>
      <c r="E11" s="5">
        <v>6.9</v>
      </c>
      <c r="F11" s="20">
        <f t="shared" si="1"/>
        <v>0</v>
      </c>
      <c r="G11" s="2">
        <v>45</v>
      </c>
      <c r="H11" s="4" t="s">
        <v>238</v>
      </c>
      <c r="I11" s="2" t="s">
        <v>9</v>
      </c>
      <c r="J11" s="2">
        <f>'q1'!J11+'q2'!J11+'q3'!J11+'q4'!J11+'q5'!J11+'q6'!J11+'q7'!J11+'q8'!J11+'q9'!J11+'q10'!J11+'q11'!J11+'q12'!J11+'q13'!J11+'q14'!J11+'q15'!J11</f>
        <v>0</v>
      </c>
      <c r="K11" s="5">
        <v>0</v>
      </c>
      <c r="L11" s="5">
        <f t="shared" si="0"/>
        <v>0</v>
      </c>
    </row>
    <row r="12" spans="1:12" ht="13.15" customHeight="1">
      <c r="A12" s="2">
        <v>8</v>
      </c>
      <c r="B12" s="4" t="s">
        <v>239</v>
      </c>
      <c r="C12" s="2" t="s">
        <v>9</v>
      </c>
      <c r="D12" s="2">
        <f>'q1'!D12+'q2'!D12+'q3'!D12+'q4'!D12+'q5'!D12+'q6'!D12+'q7'!D12+'q8'!D12+'q9'!D12+'q10'!D12+'q11'!D12+'q12'!D12+'q13'!D12+'q14'!D12+'q15'!D12</f>
        <v>0</v>
      </c>
      <c r="E12" s="5">
        <v>0</v>
      </c>
      <c r="F12" s="20">
        <f t="shared" si="1"/>
        <v>0</v>
      </c>
      <c r="G12" s="2">
        <v>46</v>
      </c>
      <c r="H12" s="4" t="s">
        <v>126</v>
      </c>
      <c r="I12" s="2" t="s">
        <v>9</v>
      </c>
      <c r="J12" s="2">
        <f>'q1'!J12+'q2'!J12+'q3'!J12+'q4'!J12+'q5'!J12+'q6'!J12+'q7'!J12+'q8'!J12+'q9'!J12+'q10'!J12+'q11'!J12+'q12'!J12+'q13'!J12+'q14'!J12+'q15'!J12</f>
        <v>0</v>
      </c>
      <c r="K12" s="5">
        <v>0</v>
      </c>
      <c r="L12" s="5">
        <f t="shared" si="0"/>
        <v>0</v>
      </c>
    </row>
    <row r="13" spans="1:12" ht="13.15" customHeight="1">
      <c r="A13" s="2">
        <v>9</v>
      </c>
      <c r="B13" s="4" t="s">
        <v>162</v>
      </c>
      <c r="C13" s="2" t="s">
        <v>9</v>
      </c>
      <c r="D13" s="2">
        <f>'q1'!D13+'q2'!D13+'q3'!D13+'q4'!D13+'q5'!D13+'q6'!D13+'q7'!D13+'q8'!D13+'q9'!D13+'q10'!D13+'q11'!D13+'q12'!D13+'q13'!D13+'q14'!D13+'q15'!D13</f>
        <v>0</v>
      </c>
      <c r="E13" s="5">
        <v>0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>
        <f>'q1'!J13+'q2'!J13+'q3'!J13+'q4'!J13+'q5'!J13+'q6'!J13+'q7'!J13+'q8'!J13+'q9'!J13+'q10'!J13+'q11'!J13+'q12'!J13+'q13'!J13+'q14'!J13+'q15'!J13</f>
        <v>0</v>
      </c>
      <c r="K13" s="5">
        <v>0</v>
      </c>
      <c r="L13" s="5">
        <f t="shared" si="0"/>
        <v>0</v>
      </c>
    </row>
    <row r="14" spans="1:12" ht="13.15" customHeight="1">
      <c r="A14" s="2">
        <v>3</v>
      </c>
      <c r="B14" s="4" t="s">
        <v>30</v>
      </c>
      <c r="C14" s="2" t="s">
        <v>9</v>
      </c>
      <c r="D14" s="2">
        <f>'q1'!D14+'q2'!D14+'q3'!D14+'q4'!D14+'q5'!D14+'q6'!D14+'q7'!D14+'q8'!D14+'q9'!D14+'q10'!D14+'q11'!D14+'q12'!D14+'q13'!D14+'q14'!D14+'q15'!D14</f>
        <v>0</v>
      </c>
      <c r="E14" s="5">
        <v>0</v>
      </c>
      <c r="F14" s="20">
        <f t="shared" si="1"/>
        <v>0</v>
      </c>
      <c r="G14" s="2">
        <v>48</v>
      </c>
      <c r="H14" s="4" t="s">
        <v>31</v>
      </c>
      <c r="I14" s="2" t="s">
        <v>9</v>
      </c>
      <c r="J14" s="2">
        <f>'q1'!J14+'q2'!J14+'q3'!J14+'q4'!J14+'q5'!J14+'q6'!J14+'q7'!J14+'q8'!J14+'q9'!J14+'q10'!J14+'q11'!J14+'q12'!J14+'q13'!J14+'q14'!J14+'q15'!J14</f>
        <v>0</v>
      </c>
      <c r="K14" s="5">
        <v>0</v>
      </c>
      <c r="L14" s="5">
        <f t="shared" si="0"/>
        <v>0</v>
      </c>
    </row>
    <row r="15" spans="1:12" ht="13.15" customHeight="1">
      <c r="A15" s="2">
        <v>11</v>
      </c>
      <c r="B15" s="9" t="s">
        <v>32</v>
      </c>
      <c r="C15" s="8" t="s">
        <v>9</v>
      </c>
      <c r="D15" s="8">
        <f>'q1'!D15+'q2'!D15+'q3'!D15+'q4'!D15+'q5'!D15+'q6'!D15+'q7'!D15+'q8'!D15+'q9'!D15+'q10'!D15+'q11'!D15+'q12'!D15+'q13'!D15+'q14'!D15+'q15'!D15</f>
        <v>0</v>
      </c>
      <c r="E15" s="26">
        <v>6.5</v>
      </c>
      <c r="F15" s="29">
        <f t="shared" si="1"/>
        <v>0</v>
      </c>
      <c r="G15" s="2">
        <v>49</v>
      </c>
      <c r="H15" s="4" t="s">
        <v>240</v>
      </c>
      <c r="I15" s="2" t="s">
        <v>9</v>
      </c>
      <c r="J15" s="2">
        <f>'q1'!J15+'q2'!J15+'q3'!J15+'q4'!J15+'q5'!J15+'q6'!J15+'q7'!J15+'q8'!J15+'q9'!J15+'q10'!J15+'q11'!J15+'q12'!J15+'q13'!J15+'q14'!J15+'q15'!J15</f>
        <v>0</v>
      </c>
      <c r="K15" s="5">
        <v>9.1</v>
      </c>
      <c r="L15" s="5">
        <f t="shared" si="0"/>
        <v>0</v>
      </c>
    </row>
    <row r="16" spans="1:12" ht="13.15" customHeight="1">
      <c r="A16" s="2">
        <v>12</v>
      </c>
      <c r="B16" s="9" t="s">
        <v>241</v>
      </c>
      <c r="C16" s="8" t="s">
        <v>9</v>
      </c>
      <c r="D16" s="8">
        <f>'q1'!D16+'q2'!D16+'q3'!D16+'q4'!D16+'q5'!D16+'q6'!D16+'q7'!D16+'q8'!D16+'q9'!D16+'q10'!D16+'q11'!D16+'q12'!D16+'q13'!D16+'q14'!D16+'q15'!D16</f>
        <v>0</v>
      </c>
      <c r="E16" s="26">
        <v>6.5</v>
      </c>
      <c r="F16" s="29">
        <f t="shared" si="1"/>
        <v>0</v>
      </c>
      <c r="G16" s="2">
        <v>50</v>
      </c>
      <c r="H16" s="4" t="s">
        <v>92</v>
      </c>
      <c r="I16" s="2" t="s">
        <v>9</v>
      </c>
      <c r="J16" s="2">
        <f>'q1'!J16+'q2'!J16+'q3'!J16+'q4'!J16+'q5'!J16+'q6'!J16+'q7'!J16+'q8'!J16+'q9'!J16+'q10'!J16+'q11'!J16+'q12'!J16+'q13'!J16+'q14'!J16+'q15'!J16</f>
        <v>0</v>
      </c>
      <c r="K16" s="5">
        <v>7.45</v>
      </c>
      <c r="L16" s="5">
        <f t="shared" si="0"/>
        <v>0</v>
      </c>
    </row>
    <row r="17" spans="1:12" ht="13.15" customHeight="1">
      <c r="A17" s="2">
        <v>13</v>
      </c>
      <c r="B17" s="4" t="s">
        <v>36</v>
      </c>
      <c r="C17" s="2" t="s">
        <v>9</v>
      </c>
      <c r="D17" s="2">
        <f>'q1'!D17+'q2'!D17+'q3'!D17+'q4'!D17+'q5'!D17+'q6'!D17+'q7'!D17+'q8'!D17+'q9'!D17+'q10'!D17+'q11'!D17+'q12'!D17+'q13'!D17+'q14'!D17+'q15'!D17</f>
        <v>0</v>
      </c>
      <c r="E17" s="5">
        <v>0</v>
      </c>
      <c r="F17" s="20">
        <f t="shared" si="1"/>
        <v>0</v>
      </c>
      <c r="G17" s="2">
        <v>51</v>
      </c>
      <c r="H17" s="4" t="s">
        <v>130</v>
      </c>
      <c r="I17" s="2" t="s">
        <v>9</v>
      </c>
      <c r="J17" s="2">
        <f>'q1'!J17+'q2'!J17+'q3'!J17+'q4'!J17+'q5'!J17+'q6'!J17+'q7'!J17+'q8'!J17+'q9'!J17+'q10'!J17+'q11'!J17+'q12'!J17+'q13'!J17+'q14'!J17+'q15'!J17</f>
        <v>0</v>
      </c>
      <c r="K17" s="5">
        <v>0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>
        <f>'q1'!D18+'q2'!D18+'q3'!D18+'q4'!D18+'q5'!D18+'q6'!D18+'q7'!D18+'q8'!D18+'q9'!D18+'q10'!D18+'q11'!D18+'q12'!D18+'q13'!D18+'q14'!D18+'q15'!D18</f>
        <v>0</v>
      </c>
      <c r="E18" s="5">
        <v>0</v>
      </c>
      <c r="F18" s="20">
        <f t="shared" si="1"/>
        <v>0</v>
      </c>
      <c r="G18" s="2">
        <v>52</v>
      </c>
      <c r="H18" s="4" t="s">
        <v>131</v>
      </c>
      <c r="I18" s="2" t="s">
        <v>9</v>
      </c>
      <c r="J18" s="2">
        <f>'q1'!J18+'q2'!J18+'q3'!J18+'q4'!J18+'q5'!J18+'q6'!J18+'q7'!J18+'q8'!J18+'q9'!J18+'q10'!J18+'q11'!J18+'q12'!J18+'q13'!J18+'q14'!J18+'q15'!J18</f>
        <v>0</v>
      </c>
      <c r="K18" s="5">
        <v>3.2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>
        <f>'q1'!D19+'q2'!D19+'q3'!D19+'q4'!D19+'q5'!D19+'q6'!D19+'q7'!D19+'q8'!D19+'q9'!D19+'q10'!D19+'q11'!D19+'q12'!D19+'q13'!D19+'q14'!D19+'q15'!D19</f>
        <v>0</v>
      </c>
      <c r="E19" s="5">
        <v>6.2</v>
      </c>
      <c r="F19" s="20">
        <f t="shared" si="1"/>
        <v>0</v>
      </c>
      <c r="G19" s="2">
        <v>53</v>
      </c>
      <c r="H19" s="4" t="s">
        <v>94</v>
      </c>
      <c r="I19" s="2" t="s">
        <v>9</v>
      </c>
      <c r="J19" s="2">
        <f>'q1'!J19+'q2'!J19+'q3'!J19+'q4'!J19+'q5'!J19+'q6'!J19+'q7'!J19+'q8'!J19+'q9'!J19+'q10'!J19+'q11'!J19+'q12'!J19+'q13'!J19+'q14'!J19+'q15'!J19</f>
        <v>0</v>
      </c>
      <c r="K19" s="5">
        <v>0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>
        <f>'q1'!D20+'q2'!D20+'q3'!D20+'q4'!D20+'q5'!D20+'q6'!D20+'q7'!D20+'q8'!D20+'q9'!D20+'q10'!D20+'q11'!D20+'q12'!D20+'q13'!D20+'q14'!D20+'q15'!D20</f>
        <v>0</v>
      </c>
      <c r="E20" s="5">
        <v>0</v>
      </c>
      <c r="F20" s="20">
        <f t="shared" si="1"/>
        <v>0</v>
      </c>
      <c r="G20" s="2">
        <v>54</v>
      </c>
      <c r="H20" s="4" t="s">
        <v>95</v>
      </c>
      <c r="I20" s="2" t="s">
        <v>9</v>
      </c>
      <c r="J20" s="2">
        <f>'q1'!J20+'q2'!J20+'q3'!J20+'q4'!J20+'q5'!J20+'q6'!J20+'q7'!J20+'q8'!J20+'q9'!J20+'q10'!J20+'q11'!J20+'q12'!J20+'q13'!J20+'q14'!J20+'q15'!J20</f>
        <v>0</v>
      </c>
      <c r="K20" s="5">
        <v>0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>
        <f>'q1'!D21+'q2'!D21+'q3'!D21+'q4'!D21+'q5'!D21+'q6'!D21+'q7'!D21+'q8'!D21+'q9'!D21+'q10'!D21+'q11'!D21+'q12'!D21+'q13'!D21+'q14'!D21+'q15'!D21</f>
        <v>0</v>
      </c>
      <c r="E21" s="5">
        <v>0</v>
      </c>
      <c r="F21" s="20">
        <f t="shared" si="1"/>
        <v>0</v>
      </c>
      <c r="G21" s="2">
        <v>55</v>
      </c>
      <c r="H21" s="4" t="s">
        <v>45</v>
      </c>
      <c r="I21" s="2" t="s">
        <v>9</v>
      </c>
      <c r="J21" s="2">
        <f>'q1'!J21+'q2'!J21+'q3'!J21+'q4'!J21+'q5'!J21+'q6'!J21+'q7'!J21+'q8'!J21+'q9'!J21+'q10'!J21+'q11'!J21+'q12'!J21+'q13'!J21+'q14'!J21+'q15'!J21</f>
        <v>0</v>
      </c>
      <c r="K21" s="5">
        <v>0</v>
      </c>
      <c r="L21" s="5">
        <f t="shared" si="0"/>
        <v>0</v>
      </c>
    </row>
    <row r="22" spans="1:12" ht="13.15" customHeight="1">
      <c r="A22" s="2">
        <v>18</v>
      </c>
      <c r="B22" s="9" t="s">
        <v>46</v>
      </c>
      <c r="C22" s="8" t="s">
        <v>9</v>
      </c>
      <c r="D22" s="8">
        <f>'q1'!D22+'q2'!D22+'q3'!D22+'q4'!D22+'q5'!D22+'q6'!D22+'q7'!D22+'q8'!D22+'q9'!D22+'q10'!D22+'q11'!D22+'q12'!D22+'q13'!D22+'q14'!D22+'q15'!D22</f>
        <v>0</v>
      </c>
      <c r="E22" s="26">
        <v>7</v>
      </c>
      <c r="F22" s="29">
        <f t="shared" si="1"/>
        <v>0</v>
      </c>
      <c r="G22" s="2">
        <v>56</v>
      </c>
      <c r="H22" s="4" t="s">
        <v>47</v>
      </c>
      <c r="I22" s="2" t="s">
        <v>9</v>
      </c>
      <c r="J22" s="2">
        <f>'q1'!J22+'q2'!J22+'q3'!J22+'q4'!J22+'q5'!J22+'q6'!J22+'q7'!J22+'q8'!J22+'q9'!J22+'q10'!J22+'q11'!J22+'q12'!J22+'q13'!J22+'q14'!J22+'q15'!J22</f>
        <v>0</v>
      </c>
      <c r="K22" s="5">
        <v>20.65</v>
      </c>
      <c r="L22" s="5">
        <f t="shared" si="0"/>
        <v>0</v>
      </c>
    </row>
    <row r="23" spans="1:12" ht="13.15" customHeight="1">
      <c r="A23" s="2">
        <v>19</v>
      </c>
      <c r="B23" s="9" t="s">
        <v>48</v>
      </c>
      <c r="C23" s="8" t="s">
        <v>9</v>
      </c>
      <c r="D23" s="8">
        <f>'q1'!D23+'q2'!D23+'q3'!D23+'q4'!D23+'q5'!D23+'q6'!D23+'q7'!D23+'q8'!D23+'q9'!D23+'q10'!D23+'q11'!D23+'q12'!D23+'q13'!D23+'q14'!D23+'q15'!D23</f>
        <v>0</v>
      </c>
      <c r="E23" s="26">
        <v>7.75</v>
      </c>
      <c r="F23" s="29">
        <f t="shared" si="1"/>
        <v>0</v>
      </c>
      <c r="G23" s="2">
        <v>57</v>
      </c>
      <c r="H23" s="4" t="s">
        <v>132</v>
      </c>
      <c r="I23" s="2" t="s">
        <v>9</v>
      </c>
      <c r="J23" s="2">
        <f>'q1'!J23+'q2'!J23+'q3'!J23+'q4'!J23+'q5'!J23+'q6'!J23+'q7'!J23+'q8'!J23+'q9'!J23+'q10'!J23+'q11'!J23+'q12'!J23+'q13'!J23+'q14'!J23+'q15'!J23</f>
        <v>0</v>
      </c>
      <c r="K23" s="2">
        <v>14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>
        <f>'q1'!D24+'q2'!D24+'q3'!D24+'q4'!D24+'q5'!D24+'q6'!D24+'q7'!D24+'q8'!D24+'q9'!D24+'q10'!D24+'q11'!D24+'q12'!D24+'q13'!D24+'q14'!D24+'q15'!D24</f>
        <v>0</v>
      </c>
      <c r="E24" s="5">
        <v>0</v>
      </c>
      <c r="F24" s="20">
        <f t="shared" si="1"/>
        <v>0</v>
      </c>
      <c r="G24" s="2">
        <v>58</v>
      </c>
      <c r="H24" s="4" t="s">
        <v>242</v>
      </c>
      <c r="I24" s="2" t="s">
        <v>9</v>
      </c>
      <c r="J24" s="2">
        <f>'q1'!J24+'q2'!J24+'q3'!J24+'q4'!J24+'q5'!J24+'q6'!J24+'q7'!J24+'q8'!J24+'q9'!J24+'q10'!J24+'q11'!J24+'q12'!J24+'q13'!J24+'q14'!J24+'q15'!J24</f>
        <v>0</v>
      </c>
      <c r="K24" s="2">
        <v>0</v>
      </c>
      <c r="L24" s="5">
        <f t="shared" si="0"/>
        <v>0</v>
      </c>
    </row>
    <row r="25" spans="1:12" ht="13.15" customHeight="1">
      <c r="A25" s="2">
        <v>21</v>
      </c>
      <c r="B25" s="4" t="s">
        <v>52</v>
      </c>
      <c r="C25" s="2" t="s">
        <v>9</v>
      </c>
      <c r="D25" s="2">
        <f>'q1'!D25+'q2'!D25+'q3'!D25+'q4'!D25+'q5'!D25+'q6'!D25+'q7'!D25+'q8'!D25+'q9'!D25+'q10'!D25+'q11'!D25+'q12'!D25+'q13'!D25+'q14'!D25+'q15'!D25</f>
        <v>0</v>
      </c>
      <c r="E25" s="5">
        <v>7.9</v>
      </c>
      <c r="F25" s="20">
        <f t="shared" si="1"/>
        <v>0</v>
      </c>
      <c r="G25" s="2">
        <v>59</v>
      </c>
      <c r="H25" s="4" t="s">
        <v>243</v>
      </c>
      <c r="I25" s="2" t="s">
        <v>9</v>
      </c>
      <c r="J25" s="2">
        <f>'q1'!J25+'q2'!J25+'q3'!J25+'q4'!J25+'q5'!J25+'q6'!J25+'q7'!J25+'q8'!J25+'q9'!J25+'q10'!J25+'q11'!J25+'q12'!J25+'q13'!J25+'q14'!J25+'q15'!J25</f>
        <v>0</v>
      </c>
      <c r="K25" s="2">
        <v>0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>
        <f>'q1'!D26+'q2'!D26+'q3'!D26+'q4'!D26+'q5'!D26+'q6'!D26+'q7'!D26+'q8'!D26+'q9'!D26+'q10'!D26+'q11'!D26+'q12'!D26+'q13'!D26+'q14'!D26+'q15'!D26</f>
        <v>0</v>
      </c>
      <c r="E26" s="5">
        <v>0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2">
        <f>'q1'!J26+'q2'!J26+'q3'!J26+'q4'!J26+'q5'!J26+'q6'!J26+'q7'!J26+'q8'!J26+'q9'!J26+'q10'!J26+'q11'!J26+'q12'!J26+'q13'!J26+'q14'!J26+'q15'!J26</f>
        <v>0</v>
      </c>
      <c r="K26" s="2">
        <v>0</v>
      </c>
      <c r="L26" s="5">
        <f t="shared" si="0"/>
        <v>0</v>
      </c>
    </row>
    <row r="27" spans="1:12" ht="13.15" customHeight="1">
      <c r="A27" s="2">
        <v>23</v>
      </c>
      <c r="B27" s="9" t="s">
        <v>56</v>
      </c>
      <c r="C27" s="8" t="s">
        <v>9</v>
      </c>
      <c r="D27" s="8">
        <f>'q1'!D27+'q2'!D27+'q3'!D27+'q4'!D27+'q5'!D27+'q6'!D27+'q7'!D27+'q8'!D27+'q9'!D27+'q10'!D27+'q11'!D27+'q12'!D27+'q13'!D27+'q14'!D27+'q15'!D27</f>
        <v>0</v>
      </c>
      <c r="E27" s="26">
        <v>5.75</v>
      </c>
      <c r="F27" s="29">
        <f t="shared" si="1"/>
        <v>0</v>
      </c>
      <c r="G27" s="2">
        <v>61</v>
      </c>
      <c r="H27" s="4" t="s">
        <v>244</v>
      </c>
      <c r="I27" s="2" t="s">
        <v>9</v>
      </c>
      <c r="J27" s="2">
        <f>'q1'!J27+'q2'!J27+'q3'!J27+'q4'!J27+'q5'!J27+'q6'!J27+'q7'!J27+'q8'!J27+'q9'!J27+'q10'!J27+'q11'!J27+'q12'!J27+'q13'!J27+'q14'!J27+'q15'!J27</f>
        <v>0</v>
      </c>
      <c r="K27" s="2">
        <v>3.7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>
        <f>'q1'!D28+'q2'!D28+'q3'!D28+'q4'!D28+'q5'!D28+'q6'!D28+'q7'!D28+'q8'!D28+'q9'!D28+'q10'!D28+'q11'!D28+'q12'!D28+'q13'!D28+'q14'!D28+'q15'!D28</f>
        <v>0</v>
      </c>
      <c r="E28" s="5">
        <v>0</v>
      </c>
      <c r="F28" s="20">
        <f t="shared" si="1"/>
        <v>0</v>
      </c>
      <c r="G28" s="2">
        <v>62</v>
      </c>
      <c r="H28" s="4" t="s">
        <v>245</v>
      </c>
      <c r="I28" s="2" t="s">
        <v>9</v>
      </c>
      <c r="J28" s="2">
        <f>'q1'!J28+'q2'!J28+'q3'!J28+'q4'!J28+'q5'!J28+'q6'!J28+'q7'!J28+'q8'!J28+'q9'!J28+'q10'!J28+'q11'!J28+'q12'!J28+'q13'!J28+'q14'!J28+'q15'!J28</f>
        <v>0</v>
      </c>
      <c r="K28" s="2">
        <v>7.35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>
        <f>'q1'!D29+'q2'!D29+'q3'!D29+'q4'!D29+'q5'!D29+'q6'!D29+'q7'!D29+'q8'!D29+'q9'!D29+'q10'!D29+'q11'!D29+'q12'!D29+'q13'!D29+'q14'!D29+'q15'!D29</f>
        <v>0</v>
      </c>
      <c r="E29" s="5">
        <v>6.7</v>
      </c>
      <c r="F29" s="20">
        <f t="shared" si="1"/>
        <v>0</v>
      </c>
      <c r="G29" s="2">
        <v>63</v>
      </c>
      <c r="H29" s="4" t="s">
        <v>63</v>
      </c>
      <c r="I29" s="2" t="s">
        <v>9</v>
      </c>
      <c r="J29" s="2">
        <f>'q1'!J29+'q2'!J29+'q3'!J29+'q4'!J29+'q5'!J29+'q6'!J29+'q7'!J29+'q8'!J29+'q9'!J29+'q10'!J29+'q11'!J29+'q12'!J29+'q13'!J29+'q14'!J29+'q15'!J29</f>
        <v>0</v>
      </c>
      <c r="K29" s="2">
        <v>7.65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>
        <f>'q1'!D30+'q2'!D30+'q3'!D30+'q4'!D30+'q5'!D30+'q6'!D30+'q7'!D30+'q8'!D30+'q9'!D30+'q10'!D30+'q11'!D30+'q12'!D30+'q13'!D30+'q14'!D30+'q15'!D30</f>
        <v>0</v>
      </c>
      <c r="E30" s="5">
        <v>0</v>
      </c>
      <c r="F30" s="5">
        <f t="shared" si="1"/>
        <v>0</v>
      </c>
      <c r="G30" s="2">
        <v>64</v>
      </c>
      <c r="H30" s="4" t="s">
        <v>25</v>
      </c>
      <c r="I30" s="2" t="s">
        <v>9</v>
      </c>
      <c r="J30" s="2">
        <f>'q1'!J30+'q2'!J30+'q3'!J30+'q4'!J30+'q5'!J30+'q6'!J30+'q7'!J30+'q8'!J30+'q9'!J30+'q10'!J30+'q11'!J30+'q12'!J30+'q13'!J30+'q14'!J30+'q15'!J30</f>
        <v>0</v>
      </c>
      <c r="K30" s="2">
        <v>4.2</v>
      </c>
      <c r="L30" s="5">
        <f t="shared" si="0"/>
        <v>0</v>
      </c>
    </row>
    <row r="31" spans="1:12" ht="13.15" customHeight="1">
      <c r="A31" s="2">
        <v>27</v>
      </c>
      <c r="B31" s="9" t="s">
        <v>102</v>
      </c>
      <c r="C31" s="8" t="s">
        <v>9</v>
      </c>
      <c r="D31" s="8">
        <f>'q1'!D31+'q2'!D31+'q3'!D31+'q4'!D31+'q5'!D31+'q6'!D31+'q7'!D31+'q8'!D31+'q9'!D31+'q10'!D31+'q11'!D31+'q12'!D31+'q13'!D31+'q14'!D31+'q15'!D31</f>
        <v>0</v>
      </c>
      <c r="E31" s="26">
        <v>7</v>
      </c>
      <c r="F31" s="26">
        <f t="shared" si="1"/>
        <v>0</v>
      </c>
      <c r="G31" s="2">
        <v>65</v>
      </c>
      <c r="H31" s="4" t="s">
        <v>261</v>
      </c>
      <c r="I31" s="2" t="s">
        <v>9</v>
      </c>
      <c r="J31" s="2">
        <f>'q1'!J31+'q2'!J31+'q3'!J31+'q4'!J31+'q5'!J31+'q6'!J31+'q7'!J31+'q8'!J31+'q9'!J31+'q10'!J31+'q11'!J31+'q12'!J31+'q13'!J31+'q14'!J31+'q15'!J31</f>
        <v>0</v>
      </c>
      <c r="K31" s="2">
        <v>2.4</v>
      </c>
      <c r="L31" s="5">
        <f t="shared" si="0"/>
        <v>0</v>
      </c>
    </row>
    <row r="32" spans="1:12" ht="13.15" customHeight="1">
      <c r="A32" s="2">
        <v>28</v>
      </c>
      <c r="B32" s="4" t="s">
        <v>66</v>
      </c>
      <c r="C32" s="2" t="s">
        <v>9</v>
      </c>
      <c r="D32" s="2">
        <f>'q1'!D32+'q2'!D32+'q3'!D32+'q4'!D32+'q5'!D32+'q6'!D32+'q7'!D32+'q8'!D32+'q9'!D32+'q10'!D32+'q11'!D32+'q12'!D32+'q13'!D32+'q14'!D32+'q15'!D32</f>
        <v>0</v>
      </c>
      <c r="E32" s="5">
        <v>8.25</v>
      </c>
      <c r="F32" s="20">
        <f t="shared" si="1"/>
        <v>0</v>
      </c>
      <c r="G32" s="2">
        <v>66</v>
      </c>
      <c r="H32" s="4"/>
      <c r="I32" s="2" t="s">
        <v>9</v>
      </c>
      <c r="J32" s="2">
        <f>'q1'!J32+'q2'!J32+'q3'!J32+'q4'!J32+'q5'!J32+'q6'!J32+'q7'!J32+'q8'!J32+'q9'!J32+'q10'!J32+'q11'!J32+'q12'!J32+'q13'!J32+'q14'!J32+'q15'!J32</f>
        <v>0</v>
      </c>
      <c r="K32" s="2"/>
      <c r="L32" s="5">
        <f t="shared" si="0"/>
        <v>0</v>
      </c>
    </row>
    <row r="33" spans="1:13" ht="13.15" customHeight="1">
      <c r="A33" s="2">
        <v>29</v>
      </c>
      <c r="B33" s="4" t="s">
        <v>68</v>
      </c>
      <c r="C33" s="2" t="s">
        <v>9</v>
      </c>
      <c r="D33" s="2">
        <f>'q1'!D33+'q2'!D33+'q3'!D33+'q4'!D33+'q5'!D33+'q6'!D33+'q7'!D33+'q8'!D33+'q9'!D33+'q10'!D33+'q11'!D33+'q12'!D33+'q13'!D33+'q14'!D33+'q15'!D33</f>
        <v>0</v>
      </c>
      <c r="E33" s="5">
        <v>6.4</v>
      </c>
      <c r="F33" s="5">
        <f t="shared" si="1"/>
        <v>0</v>
      </c>
      <c r="G33" s="2">
        <v>67</v>
      </c>
      <c r="H33" s="4"/>
      <c r="I33" s="2" t="s">
        <v>9</v>
      </c>
      <c r="J33" s="2">
        <f>'q1'!J33+'q2'!J33+'q3'!J33+'q4'!J33+'q5'!J33+'q6'!J33+'q7'!J33+'q8'!J33+'q9'!J33+'q10'!J33+'q11'!J33+'q12'!J33+'q13'!J33+'q14'!J33+'q15'!J33</f>
        <v>0</v>
      </c>
      <c r="K33" s="2"/>
      <c r="L33" s="5">
        <f t="shared" si="0"/>
        <v>0</v>
      </c>
    </row>
    <row r="34" spans="1:13" ht="13.15" customHeight="1">
      <c r="A34" s="2">
        <v>30</v>
      </c>
      <c r="B34" s="4" t="s">
        <v>70</v>
      </c>
      <c r="C34" s="2" t="s">
        <v>9</v>
      </c>
      <c r="D34" s="2">
        <f>'q1'!D34+'q2'!D34+'q3'!D34+'q4'!D34+'q5'!D34+'q6'!D34+'q7'!D34+'q8'!D34+'q9'!D34+'q10'!D34+'q11'!D34+'q12'!D34+'q13'!D34+'q14'!D34+'q15'!D34</f>
        <v>0</v>
      </c>
      <c r="E34" s="5">
        <v>0</v>
      </c>
      <c r="F34" s="5">
        <f t="shared" si="1"/>
        <v>0</v>
      </c>
      <c r="G34" s="2">
        <v>68</v>
      </c>
      <c r="H34" s="4"/>
      <c r="I34" s="2" t="s">
        <v>9</v>
      </c>
      <c r="J34" s="2">
        <f>'q1'!J34+'q2'!J34+'q3'!J34+'q4'!J34+'q5'!J34+'q6'!J34+'q7'!J34+'q8'!J34+'q9'!J34+'q10'!J34+'q11'!J34+'q12'!J34+'q13'!J34+'q14'!J34+'q15'!J34</f>
        <v>0</v>
      </c>
      <c r="K34" s="2"/>
      <c r="L34" s="5">
        <f t="shared" si="0"/>
        <v>0</v>
      </c>
      <c r="M34" s="10"/>
    </row>
    <row r="35" spans="1:13" ht="13.15" customHeight="1">
      <c r="A35" s="2">
        <v>31</v>
      </c>
      <c r="B35" s="4" t="s">
        <v>72</v>
      </c>
      <c r="C35" s="2" t="s">
        <v>9</v>
      </c>
      <c r="D35" s="2">
        <f>'q1'!D35+'q2'!D35+'q3'!D35+'q4'!D35+'q5'!D35+'q6'!D35+'q7'!D35+'q8'!D35+'q9'!D35+'q10'!D35+'q11'!D35+'q12'!D35+'q13'!D35+'q14'!D35+'q15'!D35</f>
        <v>0</v>
      </c>
      <c r="E35" s="5">
        <v>6.5</v>
      </c>
      <c r="F35" s="20">
        <f t="shared" si="1"/>
        <v>0</v>
      </c>
      <c r="G35" s="2">
        <v>69</v>
      </c>
      <c r="H35" s="4"/>
      <c r="I35" s="2" t="s">
        <v>9</v>
      </c>
      <c r="J35" s="2">
        <f>'q1'!J35+'q2'!J35+'q3'!J35+'q4'!J35+'q5'!J35+'q6'!J35+'q7'!J35+'q8'!J35+'q9'!J35+'q10'!J35+'q11'!J35+'q12'!J35+'q13'!J35+'q14'!J35+'q15'!J35</f>
        <v>0</v>
      </c>
      <c r="K35" s="2"/>
      <c r="L35" s="5">
        <f t="shared" si="0"/>
        <v>0</v>
      </c>
    </row>
    <row r="36" spans="1:13" ht="13.15" customHeight="1">
      <c r="A36" s="2">
        <v>32</v>
      </c>
      <c r="B36" s="4" t="s">
        <v>74</v>
      </c>
      <c r="C36" s="2" t="s">
        <v>9</v>
      </c>
      <c r="D36" s="2">
        <f>'q1'!D36+'q2'!D36+'q3'!D36+'q4'!D36+'q5'!D36+'q6'!D36+'q7'!D36+'q8'!D36+'q9'!D36+'q10'!D36+'q11'!D36+'q12'!D36+'q13'!D36+'q14'!D36+'q15'!D36</f>
        <v>0</v>
      </c>
      <c r="E36" s="2">
        <v>0</v>
      </c>
      <c r="F36" s="20">
        <f t="shared" si="1"/>
        <v>0</v>
      </c>
      <c r="G36" s="2">
        <v>70</v>
      </c>
      <c r="H36" s="4"/>
      <c r="I36" s="2" t="s">
        <v>9</v>
      </c>
      <c r="J36" s="2">
        <f>'q1'!J36+'q2'!J36+'q3'!J36+'q4'!J36+'q5'!J36+'q6'!J36+'q7'!J36+'q8'!J36+'q9'!J36+'q10'!J36+'q11'!J36+'q12'!J36+'q13'!J36+'q14'!J36+'q15'!J36</f>
        <v>0</v>
      </c>
      <c r="K36" s="2"/>
      <c r="L36" s="5">
        <f t="shared" si="0"/>
        <v>0</v>
      </c>
    </row>
    <row r="37" spans="1:13" ht="13.15" customHeight="1">
      <c r="A37" s="2">
        <v>33</v>
      </c>
      <c r="B37" s="4" t="s">
        <v>76</v>
      </c>
      <c r="C37" s="2" t="s">
        <v>9</v>
      </c>
      <c r="D37" s="2">
        <f>'q1'!D37+'q2'!D37+'q3'!D37+'q4'!D37+'q5'!D37+'q6'!D37+'q7'!D37+'q8'!D37+'q9'!D37+'q10'!D37+'q11'!D37+'q12'!D37+'q13'!D37+'q14'!D37+'q15'!D37</f>
        <v>0</v>
      </c>
      <c r="E37" s="2">
        <v>0</v>
      </c>
      <c r="F37" s="20">
        <f t="shared" si="1"/>
        <v>0</v>
      </c>
      <c r="G37" s="2">
        <v>71</v>
      </c>
      <c r="H37" s="4"/>
      <c r="I37" s="2" t="s">
        <v>9</v>
      </c>
      <c r="J37" s="2">
        <f>'q1'!J37+'q2'!J37+'q3'!J37+'q4'!J37+'q5'!J37+'q6'!J37+'q7'!J37+'q8'!J37+'q9'!J37+'q10'!J37+'q11'!J37+'q12'!J37+'q13'!J37+'q14'!J37+'q15'!J37</f>
        <v>0</v>
      </c>
      <c r="K37" s="2"/>
      <c r="L37" s="5">
        <f t="shared" si="0"/>
        <v>0</v>
      </c>
      <c r="M37" s="11"/>
    </row>
    <row r="38" spans="1:13" ht="13.15" customHeight="1">
      <c r="A38" s="2">
        <v>34</v>
      </c>
      <c r="B38" s="4" t="s">
        <v>78</v>
      </c>
      <c r="C38" s="2" t="s">
        <v>9</v>
      </c>
      <c r="D38" s="2">
        <f>'q1'!D38+'q2'!D38+'q3'!D38+'q4'!D38+'q5'!D38+'q6'!D38+'q7'!D38+'q8'!D38+'q9'!D38+'q10'!D38+'q11'!D38+'q12'!D38+'q13'!D38+'q14'!D38+'q15'!D38</f>
        <v>0</v>
      </c>
      <c r="E38" s="2">
        <v>0</v>
      </c>
      <c r="F38" s="20">
        <f t="shared" si="1"/>
        <v>0</v>
      </c>
      <c r="G38" s="2">
        <v>72</v>
      </c>
      <c r="H38" s="4"/>
      <c r="I38" s="2" t="s">
        <v>9</v>
      </c>
      <c r="J38" s="2">
        <f>'q1'!J38+'q2'!J38+'q3'!J38+'q4'!J38+'q5'!J38+'q6'!J38+'q7'!J38+'q8'!J38+'q9'!J38+'q10'!J38+'q11'!J38+'q12'!J38+'q13'!J38+'q14'!J38+'q15'!J38</f>
        <v>0</v>
      </c>
      <c r="K38" s="2"/>
      <c r="L38" s="5">
        <f t="shared" si="0"/>
        <v>0</v>
      </c>
    </row>
    <row r="39" spans="1:13" ht="13.15" customHeight="1">
      <c r="A39" s="2">
        <v>35</v>
      </c>
      <c r="B39" s="4" t="s">
        <v>80</v>
      </c>
      <c r="C39" s="2" t="s">
        <v>9</v>
      </c>
      <c r="D39" s="2">
        <f>'q1'!D39+'q2'!D39+'q3'!D39+'q4'!D39+'q5'!D39+'q6'!D39+'q7'!D39+'q8'!D39+'q9'!D39+'q10'!D39+'q11'!D39+'q12'!D39+'q13'!D39+'q14'!D39+'q15'!D39</f>
        <v>0</v>
      </c>
      <c r="E39" s="2">
        <v>0</v>
      </c>
      <c r="F39" s="20">
        <f t="shared" si="1"/>
        <v>0</v>
      </c>
      <c r="G39" s="2">
        <v>73</v>
      </c>
      <c r="H39" s="4"/>
      <c r="I39" s="2" t="s">
        <v>9</v>
      </c>
      <c r="J39" s="2">
        <f>'q1'!J39+'q2'!J39+'q3'!J39+'q4'!J39+'q5'!J39+'q6'!J39+'q7'!J39+'q8'!J39+'q9'!J39+'q10'!J39+'q11'!J39+'q12'!J39+'q13'!J39+'q14'!J39+'q15'!J39</f>
        <v>0</v>
      </c>
      <c r="K39" s="2"/>
      <c r="L39" s="5">
        <f t="shared" si="0"/>
        <v>0</v>
      </c>
    </row>
    <row r="40" spans="1:13" ht="13.15" customHeight="1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1035</v>
      </c>
    </row>
    <row r="42" spans="1:13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>
  <dimension ref="A1:L42"/>
  <sheetViews>
    <sheetView topLeftCell="A16" workbookViewId="0">
      <selection activeCell="P11" sqref="P11"/>
    </sheetView>
  </sheetViews>
  <sheetFormatPr defaultRowHeight="13.15" customHeight="1"/>
  <cols>
    <col min="1" max="1" width="4.7109375" style="17" customWidth="1"/>
    <col min="2" max="2" width="23.7109375" customWidth="1"/>
    <col min="3" max="3" width="6.42578125" customWidth="1"/>
    <col min="4" max="4" width="8.140625" customWidth="1"/>
    <col min="5" max="5" width="8.42578125" customWidth="1"/>
    <col min="6" max="6" width="8.85546875" style="17"/>
    <col min="7" max="7" width="5.28515625" style="17" customWidth="1"/>
    <col min="8" max="8" width="24.5703125" customWidth="1"/>
    <col min="9" max="9" width="6.42578125" customWidth="1"/>
    <col min="10" max="10" width="7.42578125" customWidth="1"/>
    <col min="11" max="11" width="8.28515625" customWidth="1"/>
    <col min="12" max="12" width="8.28515625" style="17" customWidth="1"/>
  </cols>
  <sheetData>
    <row r="1" spans="1:12" ht="13.15" customHeight="1">
      <c r="A1" s="30" t="s">
        <v>262</v>
      </c>
      <c r="B1" s="30"/>
      <c r="C1" s="30"/>
      <c r="D1" s="36" t="s">
        <v>263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2.0499999999999998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6.35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1.9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4.45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7.5</v>
      </c>
      <c r="L6" s="5">
        <f t="shared" si="0"/>
        <v>0</v>
      </c>
    </row>
    <row r="7" spans="1:12" ht="13.15" customHeight="1">
      <c r="A7" s="2">
        <v>3</v>
      </c>
      <c r="B7" s="4" t="s">
        <v>264</v>
      </c>
      <c r="C7" s="2" t="s">
        <v>9</v>
      </c>
      <c r="D7" s="2"/>
      <c r="E7" s="5">
        <v>5.5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1.9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6.85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4.75</v>
      </c>
      <c r="F9" s="20">
        <f t="shared" si="1"/>
        <v>0</v>
      </c>
      <c r="G9" s="2">
        <v>43</v>
      </c>
      <c r="H9" s="4" t="s">
        <v>265</v>
      </c>
      <c r="I9" s="2" t="s">
        <v>9</v>
      </c>
      <c r="J9" s="2"/>
      <c r="K9" s="5">
        <v>3.4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5.5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266</v>
      </c>
      <c r="C11" s="2" t="s">
        <v>9</v>
      </c>
      <c r="D11" s="2"/>
      <c r="E11" s="5">
        <v>5.5</v>
      </c>
      <c r="F11" s="20">
        <f t="shared" si="1"/>
        <v>0</v>
      </c>
      <c r="G11" s="2">
        <v>45</v>
      </c>
      <c r="H11" s="4" t="s">
        <v>267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5.7</v>
      </c>
      <c r="F12" s="20">
        <f t="shared" si="1"/>
        <v>0</v>
      </c>
      <c r="G12" s="2">
        <v>46</v>
      </c>
      <c r="H12" s="4" t="s">
        <v>268</v>
      </c>
      <c r="I12" s="2" t="s">
        <v>9</v>
      </c>
      <c r="J12" s="2"/>
      <c r="K12" s="5">
        <v>2.35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5.8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5.65</v>
      </c>
      <c r="F14" s="20">
        <f t="shared" si="1"/>
        <v>0</v>
      </c>
      <c r="G14" s="2">
        <v>48</v>
      </c>
      <c r="H14" s="4" t="s">
        <v>269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128</v>
      </c>
      <c r="C15" s="2" t="s">
        <v>9</v>
      </c>
      <c r="D15" s="2"/>
      <c r="E15" s="5">
        <v>6.3</v>
      </c>
      <c r="F15" s="20">
        <f t="shared" si="1"/>
        <v>0</v>
      </c>
      <c r="G15" s="2">
        <v>49</v>
      </c>
      <c r="H15" s="4" t="s">
        <v>270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271</v>
      </c>
      <c r="C16" s="2" t="s">
        <v>9</v>
      </c>
      <c r="D16" s="2"/>
      <c r="E16" s="5">
        <v>5.8</v>
      </c>
      <c r="F16" s="20">
        <f t="shared" si="1"/>
        <v>0</v>
      </c>
      <c r="G16" s="2">
        <v>50</v>
      </c>
      <c r="H16" s="4" t="s">
        <v>272</v>
      </c>
      <c r="I16" s="2" t="s">
        <v>9</v>
      </c>
      <c r="J16" s="2"/>
      <c r="K16" s="5">
        <v>7.75</v>
      </c>
      <c r="L16" s="5">
        <f t="shared" si="0"/>
        <v>0</v>
      </c>
    </row>
    <row r="17" spans="1:12" ht="13.15" customHeight="1">
      <c r="A17" s="2">
        <v>13</v>
      </c>
      <c r="B17" s="4" t="s">
        <v>273</v>
      </c>
      <c r="C17" s="2" t="s">
        <v>9</v>
      </c>
      <c r="D17" s="2"/>
      <c r="E17" s="5">
        <v>6.3</v>
      </c>
      <c r="F17" s="20">
        <f t="shared" si="1"/>
        <v>0</v>
      </c>
      <c r="G17" s="2">
        <v>51</v>
      </c>
      <c r="H17" s="4" t="s">
        <v>274</v>
      </c>
      <c r="I17" s="2" t="s">
        <v>9</v>
      </c>
      <c r="J17" s="2"/>
      <c r="K17" s="5">
        <v>6.25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4.5999999999999996</v>
      </c>
      <c r="F18" s="20">
        <f t="shared" si="1"/>
        <v>0</v>
      </c>
      <c r="G18" s="2">
        <v>52</v>
      </c>
      <c r="H18" s="4" t="s">
        <v>275</v>
      </c>
      <c r="I18" s="2" t="s">
        <v>9</v>
      </c>
      <c r="J18" s="2"/>
      <c r="K18" s="5">
        <v>6.1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5.0999999999999996</v>
      </c>
      <c r="F19" s="20">
        <f t="shared" si="1"/>
        <v>0</v>
      </c>
      <c r="G19" s="2">
        <v>53</v>
      </c>
      <c r="H19" s="4" t="s">
        <v>276</v>
      </c>
      <c r="I19" s="2" t="s">
        <v>9</v>
      </c>
      <c r="J19" s="2"/>
      <c r="K19" s="5">
        <v>7.5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2.2999999999999998</v>
      </c>
      <c r="F20" s="20">
        <f t="shared" si="1"/>
        <v>0</v>
      </c>
      <c r="G20" s="2">
        <v>54</v>
      </c>
      <c r="H20" s="4" t="s">
        <v>277</v>
      </c>
      <c r="I20" s="2" t="s">
        <v>9</v>
      </c>
      <c r="J20" s="2"/>
      <c r="K20" s="5">
        <v>8.5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1.25</v>
      </c>
      <c r="F21" s="20">
        <f t="shared" si="1"/>
        <v>0</v>
      </c>
      <c r="G21" s="2">
        <v>55</v>
      </c>
      <c r="H21" s="4" t="s">
        <v>106</v>
      </c>
      <c r="I21" s="2" t="s">
        <v>9</v>
      </c>
      <c r="J21" s="2"/>
      <c r="K21" s="5">
        <v>7.5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5.5</v>
      </c>
      <c r="F22" s="20">
        <f t="shared" si="1"/>
        <v>0</v>
      </c>
      <c r="G22" s="2">
        <v>56</v>
      </c>
      <c r="H22" s="4" t="s">
        <v>278</v>
      </c>
      <c r="I22" s="2" t="s">
        <v>9</v>
      </c>
      <c r="J22" s="2"/>
      <c r="K22" s="5">
        <v>2.1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6.25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4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5.9</v>
      </c>
      <c r="F24" s="20">
        <f t="shared" si="1"/>
        <v>0</v>
      </c>
      <c r="G24" s="2">
        <v>58</v>
      </c>
      <c r="H24" s="4" t="s">
        <v>279</v>
      </c>
      <c r="I24" s="2" t="s">
        <v>9</v>
      </c>
      <c r="J24" s="4"/>
      <c r="K24" s="2">
        <v>2.1</v>
      </c>
      <c r="L24" s="5">
        <f t="shared" si="0"/>
        <v>0</v>
      </c>
    </row>
    <row r="25" spans="1:12" ht="13.15" customHeight="1">
      <c r="A25" s="2">
        <v>21</v>
      </c>
      <c r="B25" s="4" t="s">
        <v>96</v>
      </c>
      <c r="C25" s="2" t="s">
        <v>9</v>
      </c>
      <c r="D25" s="2"/>
      <c r="E25" s="5">
        <v>6.6</v>
      </c>
      <c r="F25" s="20">
        <f t="shared" si="1"/>
        <v>0</v>
      </c>
      <c r="G25" s="2">
        <v>59</v>
      </c>
      <c r="H25" s="4" t="s">
        <v>280</v>
      </c>
      <c r="I25" s="2" t="s">
        <v>9</v>
      </c>
      <c r="J25" s="4"/>
      <c r="K25" s="2">
        <v>8.75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5.2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5.75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4.25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4"/>
      <c r="K27" s="2">
        <v>3.35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4.75</v>
      </c>
      <c r="F28" s="20">
        <f t="shared" si="1"/>
        <v>0</v>
      </c>
      <c r="G28" s="2">
        <v>62</v>
      </c>
      <c r="H28" s="4" t="s">
        <v>281</v>
      </c>
      <c r="I28" s="2" t="s">
        <v>9</v>
      </c>
      <c r="J28" s="4"/>
      <c r="K28" s="2">
        <v>4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5.5</v>
      </c>
      <c r="F29" s="20">
        <f t="shared" si="1"/>
        <v>0</v>
      </c>
      <c r="G29" s="2">
        <v>63</v>
      </c>
      <c r="H29" s="4" t="s">
        <v>140</v>
      </c>
      <c r="I29" s="2" t="s">
        <v>9</v>
      </c>
      <c r="J29" s="4"/>
      <c r="K29" s="2">
        <v>7.5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4.4000000000000004</v>
      </c>
      <c r="F30" s="5">
        <f t="shared" si="1"/>
        <v>0</v>
      </c>
      <c r="G30" s="2">
        <v>64</v>
      </c>
      <c r="H30" s="4" t="s">
        <v>282</v>
      </c>
      <c r="I30" s="2" t="s">
        <v>9</v>
      </c>
      <c r="J30" s="4"/>
      <c r="K30" s="2">
        <v>4.25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5.75</v>
      </c>
      <c r="F31" s="5">
        <f t="shared" si="1"/>
        <v>0</v>
      </c>
      <c r="G31" s="2">
        <v>65</v>
      </c>
      <c r="H31" s="4" t="s">
        <v>283</v>
      </c>
      <c r="I31" s="2" t="s">
        <v>9</v>
      </c>
      <c r="J31" s="4"/>
      <c r="K31" s="2">
        <v>3.4</v>
      </c>
      <c r="L31" s="5">
        <f t="shared" si="0"/>
        <v>0</v>
      </c>
    </row>
    <row r="32" spans="1:12" ht="13.15" customHeight="1">
      <c r="A32" s="2">
        <v>28</v>
      </c>
      <c r="B32" s="4" t="s">
        <v>104</v>
      </c>
      <c r="C32" s="2" t="s">
        <v>9</v>
      </c>
      <c r="D32" s="2"/>
      <c r="E32" s="5">
        <v>7.5</v>
      </c>
      <c r="F32" s="20">
        <f t="shared" si="1"/>
        <v>0</v>
      </c>
      <c r="G32" s="2">
        <v>66</v>
      </c>
      <c r="H32" s="4" t="s">
        <v>284</v>
      </c>
      <c r="I32" s="2" t="s">
        <v>9</v>
      </c>
      <c r="J32" s="4"/>
      <c r="K32" s="2">
        <v>5.75</v>
      </c>
      <c r="L32" s="5">
        <f t="shared" si="0"/>
        <v>0</v>
      </c>
    </row>
    <row r="33" spans="1:12" ht="13.15" customHeight="1">
      <c r="A33" s="2">
        <v>29</v>
      </c>
      <c r="B33" s="4" t="s">
        <v>285</v>
      </c>
      <c r="C33" s="2" t="s">
        <v>9</v>
      </c>
      <c r="D33" s="2"/>
      <c r="E33" s="5">
        <v>5.3</v>
      </c>
      <c r="F33" s="5">
        <f t="shared" si="1"/>
        <v>0</v>
      </c>
      <c r="G33" s="2">
        <v>67</v>
      </c>
      <c r="H33" s="4" t="s">
        <v>286</v>
      </c>
      <c r="I33" s="2" t="s">
        <v>9</v>
      </c>
      <c r="J33" s="4"/>
      <c r="K33" s="2">
        <v>2.2000000000000002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5.75</v>
      </c>
      <c r="F34" s="5">
        <f t="shared" si="1"/>
        <v>0</v>
      </c>
      <c r="G34" s="2">
        <v>68</v>
      </c>
      <c r="H34" s="4" t="s">
        <v>287</v>
      </c>
      <c r="I34" s="2" t="s">
        <v>9</v>
      </c>
      <c r="J34" s="4"/>
      <c r="K34" s="2">
        <v>3.4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5.3</v>
      </c>
      <c r="F35" s="20">
        <f t="shared" si="1"/>
        <v>0</v>
      </c>
      <c r="G35" s="2">
        <v>69</v>
      </c>
      <c r="H35" s="4" t="s">
        <v>288</v>
      </c>
      <c r="I35" s="2" t="s">
        <v>9</v>
      </c>
      <c r="J35" s="4"/>
      <c r="K35" s="2">
        <v>3.4</v>
      </c>
      <c r="L35" s="5">
        <f t="shared" si="0"/>
        <v>0</v>
      </c>
    </row>
    <row r="36" spans="1:12" ht="13.15" customHeight="1">
      <c r="A36" s="2">
        <v>32</v>
      </c>
      <c r="B36" s="4" t="s">
        <v>74</v>
      </c>
      <c r="C36" s="2" t="s">
        <v>9</v>
      </c>
      <c r="D36" s="2"/>
      <c r="E36" s="2">
        <v>2.2999999999999998</v>
      </c>
      <c r="F36" s="20">
        <f t="shared" si="1"/>
        <v>0</v>
      </c>
      <c r="G36" s="2">
        <v>70</v>
      </c>
      <c r="H36" s="4" t="s">
        <v>289</v>
      </c>
      <c r="I36" s="2" t="s">
        <v>9</v>
      </c>
      <c r="J36" s="4"/>
      <c r="K36" s="2">
        <v>34.25</v>
      </c>
      <c r="L36" s="5">
        <f t="shared" si="0"/>
        <v>0</v>
      </c>
    </row>
    <row r="37" spans="1:12" ht="13.15" customHeight="1">
      <c r="A37" s="2">
        <v>33</v>
      </c>
      <c r="B37" s="4" t="s">
        <v>76</v>
      </c>
      <c r="C37" s="2" t="s">
        <v>9</v>
      </c>
      <c r="D37" s="2"/>
      <c r="E37" s="2">
        <v>3.25</v>
      </c>
      <c r="F37" s="20">
        <f t="shared" si="1"/>
        <v>0</v>
      </c>
      <c r="G37" s="2">
        <v>71</v>
      </c>
      <c r="H37" s="4" t="s">
        <v>290</v>
      </c>
      <c r="I37" s="2" t="s">
        <v>9</v>
      </c>
      <c r="J37" s="4"/>
      <c r="K37" s="2">
        <v>3.75</v>
      </c>
      <c r="L37" s="5">
        <f t="shared" si="0"/>
        <v>0</v>
      </c>
    </row>
    <row r="38" spans="1:12" ht="13.15" customHeight="1">
      <c r="A38" s="2">
        <v>34</v>
      </c>
      <c r="B38" s="4" t="s">
        <v>78</v>
      </c>
      <c r="C38" s="2" t="s">
        <v>9</v>
      </c>
      <c r="D38" s="2"/>
      <c r="E38" s="2">
        <v>6.25</v>
      </c>
      <c r="F38" s="20">
        <f t="shared" si="1"/>
        <v>0</v>
      </c>
      <c r="G38" s="2">
        <v>72</v>
      </c>
      <c r="H38" s="4" t="s">
        <v>291</v>
      </c>
      <c r="I38" s="2" t="s">
        <v>9</v>
      </c>
      <c r="J38" s="4"/>
      <c r="K38" s="2">
        <v>6.25</v>
      </c>
      <c r="L38" s="5">
        <f t="shared" si="0"/>
        <v>0</v>
      </c>
    </row>
    <row r="39" spans="1:12" ht="13.15" customHeight="1">
      <c r="A39" s="2">
        <v>35</v>
      </c>
      <c r="B39" s="4" t="s">
        <v>80</v>
      </c>
      <c r="C39" s="2" t="s">
        <v>9</v>
      </c>
      <c r="D39" s="2"/>
      <c r="E39" s="2">
        <v>3.75</v>
      </c>
      <c r="F39" s="20">
        <f t="shared" si="1"/>
        <v>0</v>
      </c>
      <c r="G39" s="2">
        <v>73</v>
      </c>
      <c r="H39" s="4" t="s">
        <v>111</v>
      </c>
      <c r="I39" s="2" t="s">
        <v>9</v>
      </c>
      <c r="J39" s="4"/>
      <c r="K39" s="2">
        <v>3.2</v>
      </c>
      <c r="L39" s="5">
        <f t="shared" si="0"/>
        <v>0</v>
      </c>
    </row>
    <row r="40" spans="1:12" ht="13.15" customHeight="1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0</v>
      </c>
    </row>
    <row r="42" spans="1:12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>
  <dimension ref="A1:L42"/>
  <sheetViews>
    <sheetView topLeftCell="A22" workbookViewId="0">
      <selection activeCell="P11" sqref="P11"/>
    </sheetView>
  </sheetViews>
  <sheetFormatPr defaultRowHeight="13.15" customHeight="1"/>
  <cols>
    <col min="1" max="1" width="4.7109375" style="17" customWidth="1"/>
    <col min="2" max="2" width="23.7109375" customWidth="1"/>
    <col min="3" max="3" width="6.42578125" customWidth="1"/>
    <col min="4" max="4" width="8.140625" customWidth="1"/>
    <col min="5" max="5" width="8.42578125" customWidth="1"/>
    <col min="6" max="6" width="8.85546875" style="17"/>
    <col min="7" max="7" width="5.28515625" style="17" customWidth="1"/>
    <col min="8" max="8" width="24.5703125" customWidth="1"/>
    <col min="9" max="9" width="6.42578125" customWidth="1"/>
    <col min="10" max="10" width="7.42578125" customWidth="1"/>
    <col min="11" max="11" width="8.28515625" customWidth="1"/>
    <col min="12" max="12" width="8.28515625" style="17" customWidth="1"/>
  </cols>
  <sheetData>
    <row r="1" spans="1:12" ht="13.15" customHeight="1">
      <c r="A1" s="30" t="s">
        <v>262</v>
      </c>
      <c r="B1" s="30"/>
      <c r="C1" s="30"/>
      <c r="D1" s="36" t="s">
        <v>263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2.0499999999999998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6.35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1.9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4.45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7.5</v>
      </c>
      <c r="L6" s="5">
        <f t="shared" si="0"/>
        <v>0</v>
      </c>
    </row>
    <row r="7" spans="1:12" ht="13.15" customHeight="1">
      <c r="A7" s="2">
        <v>3</v>
      </c>
      <c r="B7" s="4" t="s">
        <v>264</v>
      </c>
      <c r="C7" s="2" t="s">
        <v>9</v>
      </c>
      <c r="D7" s="2"/>
      <c r="E7" s="5">
        <v>5.5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1.9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6.85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4.75</v>
      </c>
      <c r="F9" s="20">
        <f t="shared" si="1"/>
        <v>0</v>
      </c>
      <c r="G9" s="2">
        <v>43</v>
      </c>
      <c r="H9" s="4" t="s">
        <v>265</v>
      </c>
      <c r="I9" s="2" t="s">
        <v>9</v>
      </c>
      <c r="J9" s="2"/>
      <c r="K9" s="5">
        <v>3.4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5.5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266</v>
      </c>
      <c r="C11" s="2" t="s">
        <v>9</v>
      </c>
      <c r="D11" s="2"/>
      <c r="E11" s="5">
        <v>5.5</v>
      </c>
      <c r="F11" s="20">
        <f t="shared" si="1"/>
        <v>0</v>
      </c>
      <c r="G11" s="2">
        <v>45</v>
      </c>
      <c r="H11" s="4" t="s">
        <v>267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5.7</v>
      </c>
      <c r="F12" s="20">
        <f t="shared" si="1"/>
        <v>0</v>
      </c>
      <c r="G12" s="2">
        <v>46</v>
      </c>
      <c r="H12" s="4" t="s">
        <v>268</v>
      </c>
      <c r="I12" s="2" t="s">
        <v>9</v>
      </c>
      <c r="J12" s="2"/>
      <c r="K12" s="5">
        <v>2.35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5.8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5.65</v>
      </c>
      <c r="F14" s="20">
        <f t="shared" si="1"/>
        <v>0</v>
      </c>
      <c r="G14" s="2">
        <v>48</v>
      </c>
      <c r="H14" s="4" t="s">
        <v>269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128</v>
      </c>
      <c r="C15" s="2" t="s">
        <v>9</v>
      </c>
      <c r="D15" s="2"/>
      <c r="E15" s="5">
        <v>6.3</v>
      </c>
      <c r="F15" s="20">
        <f t="shared" si="1"/>
        <v>0</v>
      </c>
      <c r="G15" s="2">
        <v>49</v>
      </c>
      <c r="H15" s="4" t="s">
        <v>270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271</v>
      </c>
      <c r="C16" s="2" t="s">
        <v>9</v>
      </c>
      <c r="D16" s="2"/>
      <c r="E16" s="5">
        <v>5.8</v>
      </c>
      <c r="F16" s="20">
        <f t="shared" si="1"/>
        <v>0</v>
      </c>
      <c r="G16" s="2">
        <v>50</v>
      </c>
      <c r="H16" s="4" t="s">
        <v>272</v>
      </c>
      <c r="I16" s="2" t="s">
        <v>9</v>
      </c>
      <c r="J16" s="2"/>
      <c r="K16" s="5">
        <v>7.75</v>
      </c>
      <c r="L16" s="5">
        <f t="shared" si="0"/>
        <v>0</v>
      </c>
    </row>
    <row r="17" spans="1:12" ht="13.15" customHeight="1">
      <c r="A17" s="2">
        <v>13</v>
      </c>
      <c r="B17" s="4" t="s">
        <v>273</v>
      </c>
      <c r="C17" s="2" t="s">
        <v>9</v>
      </c>
      <c r="D17" s="2"/>
      <c r="E17" s="5">
        <v>6.3</v>
      </c>
      <c r="F17" s="20">
        <f t="shared" si="1"/>
        <v>0</v>
      </c>
      <c r="G17" s="2">
        <v>51</v>
      </c>
      <c r="H17" s="4" t="s">
        <v>274</v>
      </c>
      <c r="I17" s="2" t="s">
        <v>9</v>
      </c>
      <c r="J17" s="2"/>
      <c r="K17" s="5">
        <v>6.25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4.5999999999999996</v>
      </c>
      <c r="F18" s="20">
        <f t="shared" si="1"/>
        <v>0</v>
      </c>
      <c r="G18" s="2">
        <v>52</v>
      </c>
      <c r="H18" s="4" t="s">
        <v>275</v>
      </c>
      <c r="I18" s="2" t="s">
        <v>9</v>
      </c>
      <c r="J18" s="2"/>
      <c r="K18" s="5">
        <v>6.1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5.0999999999999996</v>
      </c>
      <c r="F19" s="20">
        <f t="shared" si="1"/>
        <v>0</v>
      </c>
      <c r="G19" s="2">
        <v>53</v>
      </c>
      <c r="H19" s="4" t="s">
        <v>276</v>
      </c>
      <c r="I19" s="2" t="s">
        <v>9</v>
      </c>
      <c r="J19" s="2"/>
      <c r="K19" s="5">
        <v>7.5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2.2999999999999998</v>
      </c>
      <c r="F20" s="20">
        <f t="shared" si="1"/>
        <v>0</v>
      </c>
      <c r="G20" s="2">
        <v>54</v>
      </c>
      <c r="H20" s="4" t="s">
        <v>277</v>
      </c>
      <c r="I20" s="2" t="s">
        <v>9</v>
      </c>
      <c r="J20" s="2"/>
      <c r="K20" s="5">
        <v>8.5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1.25</v>
      </c>
      <c r="F21" s="20">
        <f t="shared" si="1"/>
        <v>0</v>
      </c>
      <c r="G21" s="2">
        <v>55</v>
      </c>
      <c r="H21" s="4" t="s">
        <v>106</v>
      </c>
      <c r="I21" s="2" t="s">
        <v>9</v>
      </c>
      <c r="J21" s="2"/>
      <c r="K21" s="5">
        <v>7.5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5.5</v>
      </c>
      <c r="F22" s="20">
        <f t="shared" si="1"/>
        <v>0</v>
      </c>
      <c r="G22" s="2">
        <v>56</v>
      </c>
      <c r="H22" s="4" t="s">
        <v>278</v>
      </c>
      <c r="I22" s="2" t="s">
        <v>9</v>
      </c>
      <c r="J22" s="2"/>
      <c r="K22" s="5">
        <v>2.1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6.25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4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5.9</v>
      </c>
      <c r="F24" s="20">
        <f t="shared" si="1"/>
        <v>0</v>
      </c>
      <c r="G24" s="2">
        <v>58</v>
      </c>
      <c r="H24" s="4" t="s">
        <v>279</v>
      </c>
      <c r="I24" s="2" t="s">
        <v>9</v>
      </c>
      <c r="J24" s="4"/>
      <c r="K24" s="2">
        <v>2.1</v>
      </c>
      <c r="L24" s="5">
        <f t="shared" si="0"/>
        <v>0</v>
      </c>
    </row>
    <row r="25" spans="1:12" ht="13.15" customHeight="1">
      <c r="A25" s="2">
        <v>21</v>
      </c>
      <c r="B25" s="4" t="s">
        <v>96</v>
      </c>
      <c r="C25" s="2" t="s">
        <v>9</v>
      </c>
      <c r="D25" s="2"/>
      <c r="E25" s="5">
        <v>6.6</v>
      </c>
      <c r="F25" s="20">
        <f t="shared" si="1"/>
        <v>0</v>
      </c>
      <c r="G25" s="2">
        <v>59</v>
      </c>
      <c r="H25" s="4" t="s">
        <v>280</v>
      </c>
      <c r="I25" s="2" t="s">
        <v>9</v>
      </c>
      <c r="J25" s="4"/>
      <c r="K25" s="2">
        <v>8.75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5.2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5.75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4.25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4"/>
      <c r="K27" s="2">
        <v>3.35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4.75</v>
      </c>
      <c r="F28" s="20">
        <f t="shared" si="1"/>
        <v>0</v>
      </c>
      <c r="G28" s="2">
        <v>62</v>
      </c>
      <c r="H28" s="4" t="s">
        <v>281</v>
      </c>
      <c r="I28" s="2" t="s">
        <v>9</v>
      </c>
      <c r="J28" s="4"/>
      <c r="K28" s="2">
        <v>4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5.5</v>
      </c>
      <c r="F29" s="20">
        <f t="shared" si="1"/>
        <v>0</v>
      </c>
      <c r="G29" s="2">
        <v>63</v>
      </c>
      <c r="H29" s="4" t="s">
        <v>140</v>
      </c>
      <c r="I29" s="2" t="s">
        <v>9</v>
      </c>
      <c r="J29" s="4"/>
      <c r="K29" s="2">
        <v>7.5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4.4000000000000004</v>
      </c>
      <c r="F30" s="5">
        <f t="shared" si="1"/>
        <v>0</v>
      </c>
      <c r="G30" s="2">
        <v>64</v>
      </c>
      <c r="H30" s="4" t="s">
        <v>282</v>
      </c>
      <c r="I30" s="2" t="s">
        <v>9</v>
      </c>
      <c r="J30" s="4"/>
      <c r="K30" s="2">
        <v>4.25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5.75</v>
      </c>
      <c r="F31" s="5">
        <f t="shared" si="1"/>
        <v>0</v>
      </c>
      <c r="G31" s="2">
        <v>65</v>
      </c>
      <c r="H31" s="4" t="s">
        <v>283</v>
      </c>
      <c r="I31" s="2" t="s">
        <v>9</v>
      </c>
      <c r="J31" s="4"/>
      <c r="K31" s="2">
        <v>3.4</v>
      </c>
      <c r="L31" s="5">
        <f t="shared" si="0"/>
        <v>0</v>
      </c>
    </row>
    <row r="32" spans="1:12" ht="13.15" customHeight="1">
      <c r="A32" s="2">
        <v>28</v>
      </c>
      <c r="B32" s="4" t="s">
        <v>104</v>
      </c>
      <c r="C32" s="2" t="s">
        <v>9</v>
      </c>
      <c r="D32" s="2"/>
      <c r="E32" s="5">
        <v>7.5</v>
      </c>
      <c r="F32" s="20">
        <f t="shared" si="1"/>
        <v>0</v>
      </c>
      <c r="G32" s="2">
        <v>66</v>
      </c>
      <c r="H32" s="4" t="s">
        <v>284</v>
      </c>
      <c r="I32" s="2" t="s">
        <v>9</v>
      </c>
      <c r="J32" s="4"/>
      <c r="K32" s="2">
        <v>5.75</v>
      </c>
      <c r="L32" s="5">
        <f t="shared" si="0"/>
        <v>0</v>
      </c>
    </row>
    <row r="33" spans="1:12" ht="13.15" customHeight="1">
      <c r="A33" s="2">
        <v>29</v>
      </c>
      <c r="B33" s="4" t="s">
        <v>285</v>
      </c>
      <c r="C33" s="2" t="s">
        <v>9</v>
      </c>
      <c r="D33" s="2"/>
      <c r="E33" s="5">
        <v>5.3</v>
      </c>
      <c r="F33" s="5">
        <f t="shared" si="1"/>
        <v>0</v>
      </c>
      <c r="G33" s="2">
        <v>67</v>
      </c>
      <c r="H33" s="4" t="s">
        <v>286</v>
      </c>
      <c r="I33" s="2" t="s">
        <v>9</v>
      </c>
      <c r="J33" s="4"/>
      <c r="K33" s="2">
        <v>2.2000000000000002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5.75</v>
      </c>
      <c r="F34" s="5">
        <f t="shared" si="1"/>
        <v>0</v>
      </c>
      <c r="G34" s="2">
        <v>68</v>
      </c>
      <c r="H34" s="4" t="s">
        <v>287</v>
      </c>
      <c r="I34" s="2" t="s">
        <v>9</v>
      </c>
      <c r="J34" s="4"/>
      <c r="K34" s="2">
        <v>3.4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5.3</v>
      </c>
      <c r="F35" s="20">
        <f t="shared" si="1"/>
        <v>0</v>
      </c>
      <c r="G35" s="2">
        <v>69</v>
      </c>
      <c r="H35" s="4" t="s">
        <v>288</v>
      </c>
      <c r="I35" s="2" t="s">
        <v>9</v>
      </c>
      <c r="J35" s="4"/>
      <c r="K35" s="2">
        <v>3.4</v>
      </c>
      <c r="L35" s="5">
        <f t="shared" si="0"/>
        <v>0</v>
      </c>
    </row>
    <row r="36" spans="1:12" ht="13.15" customHeight="1">
      <c r="A36" s="2">
        <v>32</v>
      </c>
      <c r="B36" s="4" t="s">
        <v>74</v>
      </c>
      <c r="C36" s="2" t="s">
        <v>9</v>
      </c>
      <c r="D36" s="2"/>
      <c r="E36" s="2">
        <v>2.2999999999999998</v>
      </c>
      <c r="F36" s="20">
        <f t="shared" si="1"/>
        <v>0</v>
      </c>
      <c r="G36" s="2">
        <v>70</v>
      </c>
      <c r="H36" s="4" t="s">
        <v>289</v>
      </c>
      <c r="I36" s="2" t="s">
        <v>9</v>
      </c>
      <c r="J36" s="4"/>
      <c r="K36" s="2">
        <v>34.25</v>
      </c>
      <c r="L36" s="5">
        <f t="shared" si="0"/>
        <v>0</v>
      </c>
    </row>
    <row r="37" spans="1:12" ht="13.15" customHeight="1">
      <c r="A37" s="2">
        <v>33</v>
      </c>
      <c r="B37" s="4" t="s">
        <v>76</v>
      </c>
      <c r="C37" s="2" t="s">
        <v>9</v>
      </c>
      <c r="D37" s="2"/>
      <c r="E37" s="2">
        <v>3.25</v>
      </c>
      <c r="F37" s="20">
        <f t="shared" si="1"/>
        <v>0</v>
      </c>
      <c r="G37" s="2">
        <v>71</v>
      </c>
      <c r="H37" s="4" t="s">
        <v>290</v>
      </c>
      <c r="I37" s="2" t="s">
        <v>9</v>
      </c>
      <c r="J37" s="4"/>
      <c r="K37" s="2">
        <v>3.75</v>
      </c>
      <c r="L37" s="5">
        <f t="shared" si="0"/>
        <v>0</v>
      </c>
    </row>
    <row r="38" spans="1:12" ht="13.15" customHeight="1">
      <c r="A38" s="2">
        <v>34</v>
      </c>
      <c r="B38" s="4" t="s">
        <v>78</v>
      </c>
      <c r="C38" s="2" t="s">
        <v>9</v>
      </c>
      <c r="D38" s="2"/>
      <c r="E38" s="2">
        <v>6.25</v>
      </c>
      <c r="F38" s="20">
        <f t="shared" si="1"/>
        <v>0</v>
      </c>
      <c r="G38" s="2">
        <v>72</v>
      </c>
      <c r="H38" s="4" t="s">
        <v>291</v>
      </c>
      <c r="I38" s="2" t="s">
        <v>9</v>
      </c>
      <c r="J38" s="4"/>
      <c r="K38" s="2">
        <v>6.25</v>
      </c>
      <c r="L38" s="5">
        <f t="shared" si="0"/>
        <v>0</v>
      </c>
    </row>
    <row r="39" spans="1:12" ht="13.15" customHeight="1">
      <c r="A39" s="2">
        <v>35</v>
      </c>
      <c r="B39" s="4" t="s">
        <v>80</v>
      </c>
      <c r="C39" s="2" t="s">
        <v>9</v>
      </c>
      <c r="D39" s="2"/>
      <c r="E39" s="2">
        <v>3.75</v>
      </c>
      <c r="F39" s="20">
        <f t="shared" si="1"/>
        <v>0</v>
      </c>
      <c r="G39" s="2">
        <v>73</v>
      </c>
      <c r="H39" s="4" t="s">
        <v>111</v>
      </c>
      <c r="I39" s="2" t="s">
        <v>9</v>
      </c>
      <c r="J39" s="4"/>
      <c r="K39" s="2">
        <v>3.2</v>
      </c>
      <c r="L39" s="5">
        <f t="shared" si="0"/>
        <v>0</v>
      </c>
    </row>
    <row r="40" spans="1:12" ht="13.15" customHeight="1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0</v>
      </c>
    </row>
    <row r="42" spans="1:12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>
  <dimension ref="A1:L42"/>
  <sheetViews>
    <sheetView workbookViewId="0">
      <selection activeCell="D6" sqref="D6"/>
    </sheetView>
  </sheetViews>
  <sheetFormatPr defaultRowHeight="13.15" customHeight="1"/>
  <cols>
    <col min="1" max="1" width="4.7109375" style="17" customWidth="1"/>
    <col min="2" max="2" width="23.7109375" customWidth="1"/>
    <col min="3" max="3" width="6.42578125" customWidth="1"/>
    <col min="4" max="4" width="8.140625" customWidth="1"/>
    <col min="5" max="5" width="8.42578125" customWidth="1"/>
    <col min="6" max="6" width="8.85546875" style="17"/>
    <col min="7" max="7" width="5.28515625" style="17" customWidth="1"/>
    <col min="8" max="8" width="24.5703125" customWidth="1"/>
    <col min="9" max="9" width="6.42578125" customWidth="1"/>
    <col min="10" max="10" width="7.42578125" customWidth="1"/>
    <col min="11" max="11" width="8.28515625" customWidth="1"/>
    <col min="12" max="12" width="8.28515625" style="17" customWidth="1"/>
  </cols>
  <sheetData>
    <row r="1" spans="1:12" ht="13.15" customHeight="1">
      <c r="A1" s="30" t="s">
        <v>262</v>
      </c>
      <c r="B1" s="30"/>
      <c r="C1" s="30"/>
      <c r="D1" s="36" t="s">
        <v>263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2.0499999999999998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>
        <v>10</v>
      </c>
      <c r="E5" s="5">
        <v>6.35</v>
      </c>
      <c r="F5" s="20">
        <f>D5*E5</f>
        <v>63.5</v>
      </c>
      <c r="G5" s="2">
        <v>39</v>
      </c>
      <c r="H5" s="4" t="s">
        <v>13</v>
      </c>
      <c r="I5" s="2" t="s">
        <v>9</v>
      </c>
      <c r="J5" s="2"/>
      <c r="K5" s="5">
        <v>1.9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4.45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7.5</v>
      </c>
      <c r="L6" s="5">
        <f t="shared" si="0"/>
        <v>0</v>
      </c>
    </row>
    <row r="7" spans="1:12" ht="13.15" customHeight="1">
      <c r="A7" s="2">
        <v>3</v>
      </c>
      <c r="B7" s="4" t="s">
        <v>264</v>
      </c>
      <c r="C7" s="2" t="s">
        <v>9</v>
      </c>
      <c r="D7" s="2"/>
      <c r="E7" s="5">
        <v>5.5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1.9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6.85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4.75</v>
      </c>
      <c r="F9" s="20">
        <f t="shared" si="1"/>
        <v>0</v>
      </c>
      <c r="G9" s="2">
        <v>43</v>
      </c>
      <c r="H9" s="4" t="s">
        <v>265</v>
      </c>
      <c r="I9" s="2" t="s">
        <v>9</v>
      </c>
      <c r="J9" s="2"/>
      <c r="K9" s="5">
        <v>3.4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5.5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266</v>
      </c>
      <c r="C11" s="2" t="s">
        <v>9</v>
      </c>
      <c r="D11" s="2"/>
      <c r="E11" s="5">
        <v>5.5</v>
      </c>
      <c r="F11" s="20">
        <f t="shared" si="1"/>
        <v>0</v>
      </c>
      <c r="G11" s="2">
        <v>45</v>
      </c>
      <c r="H11" s="4" t="s">
        <v>267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5.7</v>
      </c>
      <c r="F12" s="20">
        <f t="shared" si="1"/>
        <v>0</v>
      </c>
      <c r="G12" s="2">
        <v>46</v>
      </c>
      <c r="H12" s="4" t="s">
        <v>268</v>
      </c>
      <c r="I12" s="2" t="s">
        <v>9</v>
      </c>
      <c r="J12" s="2"/>
      <c r="K12" s="5">
        <v>2.35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5.8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5.65</v>
      </c>
      <c r="F14" s="20">
        <f t="shared" si="1"/>
        <v>0</v>
      </c>
      <c r="G14" s="2">
        <v>48</v>
      </c>
      <c r="H14" s="4" t="s">
        <v>269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128</v>
      </c>
      <c r="C15" s="2" t="s">
        <v>9</v>
      </c>
      <c r="D15" s="2"/>
      <c r="E15" s="5">
        <v>6.3</v>
      </c>
      <c r="F15" s="20">
        <f t="shared" si="1"/>
        <v>0</v>
      </c>
      <c r="G15" s="2">
        <v>49</v>
      </c>
      <c r="H15" s="4" t="s">
        <v>270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271</v>
      </c>
      <c r="C16" s="2" t="s">
        <v>9</v>
      </c>
      <c r="D16" s="2"/>
      <c r="E16" s="5">
        <v>5.8</v>
      </c>
      <c r="F16" s="20">
        <f t="shared" si="1"/>
        <v>0</v>
      </c>
      <c r="G16" s="2">
        <v>50</v>
      </c>
      <c r="H16" s="4" t="s">
        <v>272</v>
      </c>
      <c r="I16" s="2" t="s">
        <v>9</v>
      </c>
      <c r="J16" s="2"/>
      <c r="K16" s="5">
        <v>7.75</v>
      </c>
      <c r="L16" s="5">
        <f t="shared" si="0"/>
        <v>0</v>
      </c>
    </row>
    <row r="17" spans="1:12" ht="13.15" customHeight="1">
      <c r="A17" s="2">
        <v>13</v>
      </c>
      <c r="B17" s="4" t="s">
        <v>273</v>
      </c>
      <c r="C17" s="2" t="s">
        <v>9</v>
      </c>
      <c r="D17" s="2"/>
      <c r="E17" s="5">
        <v>6.3</v>
      </c>
      <c r="F17" s="20">
        <f t="shared" si="1"/>
        <v>0</v>
      </c>
      <c r="G17" s="2">
        <v>51</v>
      </c>
      <c r="H17" s="4" t="s">
        <v>274</v>
      </c>
      <c r="I17" s="2" t="s">
        <v>9</v>
      </c>
      <c r="J17" s="2"/>
      <c r="K17" s="5">
        <v>6.25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4.5999999999999996</v>
      </c>
      <c r="F18" s="20">
        <f t="shared" si="1"/>
        <v>0</v>
      </c>
      <c r="G18" s="2">
        <v>52</v>
      </c>
      <c r="H18" s="4" t="s">
        <v>275</v>
      </c>
      <c r="I18" s="2" t="s">
        <v>9</v>
      </c>
      <c r="J18" s="2"/>
      <c r="K18" s="5">
        <v>6.1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5.0999999999999996</v>
      </c>
      <c r="F19" s="20">
        <f t="shared" si="1"/>
        <v>0</v>
      </c>
      <c r="G19" s="2">
        <v>53</v>
      </c>
      <c r="H19" s="4" t="s">
        <v>276</v>
      </c>
      <c r="I19" s="2" t="s">
        <v>9</v>
      </c>
      <c r="J19" s="2"/>
      <c r="K19" s="5">
        <v>7.5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2.2999999999999998</v>
      </c>
      <c r="F20" s="20">
        <f t="shared" si="1"/>
        <v>0</v>
      </c>
      <c r="G20" s="2">
        <v>54</v>
      </c>
      <c r="H20" s="4" t="s">
        <v>277</v>
      </c>
      <c r="I20" s="2" t="s">
        <v>9</v>
      </c>
      <c r="J20" s="2"/>
      <c r="K20" s="5">
        <v>8.5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1.25</v>
      </c>
      <c r="F21" s="20">
        <f t="shared" si="1"/>
        <v>0</v>
      </c>
      <c r="G21" s="2">
        <v>55</v>
      </c>
      <c r="H21" s="4" t="s">
        <v>106</v>
      </c>
      <c r="I21" s="2" t="s">
        <v>9</v>
      </c>
      <c r="J21" s="2"/>
      <c r="K21" s="5">
        <v>7.5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5.5</v>
      </c>
      <c r="F22" s="20">
        <f t="shared" si="1"/>
        <v>0</v>
      </c>
      <c r="G22" s="2">
        <v>56</v>
      </c>
      <c r="H22" s="4" t="s">
        <v>278</v>
      </c>
      <c r="I22" s="2" t="s">
        <v>9</v>
      </c>
      <c r="J22" s="2"/>
      <c r="K22" s="5">
        <v>2.1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6.25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4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5.9</v>
      </c>
      <c r="F24" s="20">
        <f t="shared" si="1"/>
        <v>0</v>
      </c>
      <c r="G24" s="2">
        <v>58</v>
      </c>
      <c r="H24" s="4" t="s">
        <v>279</v>
      </c>
      <c r="I24" s="2" t="s">
        <v>9</v>
      </c>
      <c r="J24" s="4"/>
      <c r="K24" s="2">
        <v>2.1</v>
      </c>
      <c r="L24" s="5">
        <f t="shared" si="0"/>
        <v>0</v>
      </c>
    </row>
    <row r="25" spans="1:12" ht="13.15" customHeight="1">
      <c r="A25" s="2">
        <v>21</v>
      </c>
      <c r="B25" s="4" t="s">
        <v>96</v>
      </c>
      <c r="C25" s="2" t="s">
        <v>9</v>
      </c>
      <c r="D25" s="2"/>
      <c r="E25" s="5">
        <v>6.6</v>
      </c>
      <c r="F25" s="20">
        <f t="shared" si="1"/>
        <v>0</v>
      </c>
      <c r="G25" s="2">
        <v>59</v>
      </c>
      <c r="H25" s="4" t="s">
        <v>280</v>
      </c>
      <c r="I25" s="2" t="s">
        <v>9</v>
      </c>
      <c r="J25" s="4"/>
      <c r="K25" s="2">
        <v>8.75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5.2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5.75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4.25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4"/>
      <c r="K27" s="2">
        <v>3.35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4.75</v>
      </c>
      <c r="F28" s="20">
        <f t="shared" si="1"/>
        <v>0</v>
      </c>
      <c r="G28" s="2">
        <v>62</v>
      </c>
      <c r="H28" s="4" t="s">
        <v>281</v>
      </c>
      <c r="I28" s="2" t="s">
        <v>9</v>
      </c>
      <c r="J28" s="4"/>
      <c r="K28" s="2">
        <v>4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5.5</v>
      </c>
      <c r="F29" s="20">
        <f t="shared" si="1"/>
        <v>0</v>
      </c>
      <c r="G29" s="2">
        <v>63</v>
      </c>
      <c r="H29" s="4" t="s">
        <v>140</v>
      </c>
      <c r="I29" s="2" t="s">
        <v>9</v>
      </c>
      <c r="J29" s="4"/>
      <c r="K29" s="2">
        <v>7.5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4.4000000000000004</v>
      </c>
      <c r="F30" s="5">
        <f t="shared" si="1"/>
        <v>0</v>
      </c>
      <c r="G30" s="2">
        <v>64</v>
      </c>
      <c r="H30" s="4" t="s">
        <v>282</v>
      </c>
      <c r="I30" s="2" t="s">
        <v>9</v>
      </c>
      <c r="J30" s="4"/>
      <c r="K30" s="2">
        <v>4.25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5.75</v>
      </c>
      <c r="F31" s="5">
        <f t="shared" si="1"/>
        <v>0</v>
      </c>
      <c r="G31" s="2">
        <v>65</v>
      </c>
      <c r="H31" s="4" t="s">
        <v>283</v>
      </c>
      <c r="I31" s="2" t="s">
        <v>9</v>
      </c>
      <c r="J31" s="4"/>
      <c r="K31" s="2">
        <v>3.4</v>
      </c>
      <c r="L31" s="5">
        <f t="shared" si="0"/>
        <v>0</v>
      </c>
    </row>
    <row r="32" spans="1:12" ht="13.15" customHeight="1">
      <c r="A32" s="2">
        <v>28</v>
      </c>
      <c r="B32" s="4" t="s">
        <v>104</v>
      </c>
      <c r="C32" s="2" t="s">
        <v>9</v>
      </c>
      <c r="D32" s="2"/>
      <c r="E32" s="5">
        <v>7.5</v>
      </c>
      <c r="F32" s="20">
        <f t="shared" si="1"/>
        <v>0</v>
      </c>
      <c r="G32" s="2">
        <v>66</v>
      </c>
      <c r="H32" s="4" t="s">
        <v>284</v>
      </c>
      <c r="I32" s="2" t="s">
        <v>9</v>
      </c>
      <c r="J32" s="4"/>
      <c r="K32" s="2">
        <v>5.75</v>
      </c>
      <c r="L32" s="5">
        <f t="shared" si="0"/>
        <v>0</v>
      </c>
    </row>
    <row r="33" spans="1:12" ht="13.15" customHeight="1">
      <c r="A33" s="2">
        <v>29</v>
      </c>
      <c r="B33" s="4" t="s">
        <v>285</v>
      </c>
      <c r="C33" s="2" t="s">
        <v>9</v>
      </c>
      <c r="D33" s="2"/>
      <c r="E33" s="5">
        <v>5.3</v>
      </c>
      <c r="F33" s="5">
        <f t="shared" si="1"/>
        <v>0</v>
      </c>
      <c r="G33" s="2">
        <v>67</v>
      </c>
      <c r="H33" s="4" t="s">
        <v>286</v>
      </c>
      <c r="I33" s="2" t="s">
        <v>9</v>
      </c>
      <c r="J33" s="4"/>
      <c r="K33" s="2">
        <v>2.2000000000000002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5.75</v>
      </c>
      <c r="F34" s="5">
        <f t="shared" si="1"/>
        <v>0</v>
      </c>
      <c r="G34" s="2">
        <v>68</v>
      </c>
      <c r="H34" s="4" t="s">
        <v>287</v>
      </c>
      <c r="I34" s="2" t="s">
        <v>9</v>
      </c>
      <c r="J34" s="4"/>
      <c r="K34" s="2">
        <v>3.4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5.3</v>
      </c>
      <c r="F35" s="20">
        <f t="shared" si="1"/>
        <v>0</v>
      </c>
      <c r="G35" s="2">
        <v>69</v>
      </c>
      <c r="H35" s="4" t="s">
        <v>288</v>
      </c>
      <c r="I35" s="2" t="s">
        <v>9</v>
      </c>
      <c r="J35" s="4"/>
      <c r="K35" s="2">
        <v>3.4</v>
      </c>
      <c r="L35" s="5">
        <f t="shared" si="0"/>
        <v>0</v>
      </c>
    </row>
    <row r="36" spans="1:12" ht="13.15" customHeight="1">
      <c r="A36" s="2">
        <v>32</v>
      </c>
      <c r="B36" s="4" t="s">
        <v>74</v>
      </c>
      <c r="C36" s="2" t="s">
        <v>9</v>
      </c>
      <c r="D36" s="2"/>
      <c r="E36" s="2">
        <v>2.2999999999999998</v>
      </c>
      <c r="F36" s="20">
        <f t="shared" si="1"/>
        <v>0</v>
      </c>
      <c r="G36" s="2">
        <v>70</v>
      </c>
      <c r="H36" s="4" t="s">
        <v>289</v>
      </c>
      <c r="I36" s="2" t="s">
        <v>9</v>
      </c>
      <c r="J36" s="4"/>
      <c r="K36" s="2">
        <v>34.25</v>
      </c>
      <c r="L36" s="5">
        <f t="shared" si="0"/>
        <v>0</v>
      </c>
    </row>
    <row r="37" spans="1:12" ht="13.15" customHeight="1">
      <c r="A37" s="2">
        <v>33</v>
      </c>
      <c r="B37" s="4" t="s">
        <v>76</v>
      </c>
      <c r="C37" s="2" t="s">
        <v>9</v>
      </c>
      <c r="D37" s="2"/>
      <c r="E37" s="2">
        <v>3.25</v>
      </c>
      <c r="F37" s="20">
        <f t="shared" si="1"/>
        <v>0</v>
      </c>
      <c r="G37" s="2">
        <v>71</v>
      </c>
      <c r="H37" s="4" t="s">
        <v>290</v>
      </c>
      <c r="I37" s="2" t="s">
        <v>9</v>
      </c>
      <c r="J37" s="4"/>
      <c r="K37" s="2">
        <v>3.75</v>
      </c>
      <c r="L37" s="5">
        <f t="shared" si="0"/>
        <v>0</v>
      </c>
    </row>
    <row r="38" spans="1:12" ht="13.15" customHeight="1">
      <c r="A38" s="2">
        <v>34</v>
      </c>
      <c r="B38" s="4" t="s">
        <v>78</v>
      </c>
      <c r="C38" s="2" t="s">
        <v>9</v>
      </c>
      <c r="D38" s="2"/>
      <c r="E38" s="2">
        <v>6.25</v>
      </c>
      <c r="F38" s="20">
        <f t="shared" si="1"/>
        <v>0</v>
      </c>
      <c r="G38" s="2">
        <v>72</v>
      </c>
      <c r="H38" s="4" t="s">
        <v>291</v>
      </c>
      <c r="I38" s="2" t="s">
        <v>9</v>
      </c>
      <c r="J38" s="4"/>
      <c r="K38" s="2">
        <v>6.25</v>
      </c>
      <c r="L38" s="5">
        <f t="shared" si="0"/>
        <v>0</v>
      </c>
    </row>
    <row r="39" spans="1:12" ht="13.15" customHeight="1">
      <c r="A39" s="2">
        <v>35</v>
      </c>
      <c r="B39" s="4" t="s">
        <v>80</v>
      </c>
      <c r="C39" s="2" t="s">
        <v>9</v>
      </c>
      <c r="D39" s="2"/>
      <c r="E39" s="2">
        <v>3.75</v>
      </c>
      <c r="F39" s="20">
        <f t="shared" si="1"/>
        <v>0</v>
      </c>
      <c r="G39" s="2">
        <v>73</v>
      </c>
      <c r="H39" s="4" t="s">
        <v>111</v>
      </c>
      <c r="I39" s="2" t="s">
        <v>9</v>
      </c>
      <c r="J39" s="4"/>
      <c r="K39" s="2">
        <v>3.2</v>
      </c>
      <c r="L39" s="5">
        <f t="shared" si="0"/>
        <v>0</v>
      </c>
    </row>
    <row r="40" spans="1:12" ht="13.15" customHeight="1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63.5</v>
      </c>
    </row>
    <row r="42" spans="1:12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>
  <dimension ref="A1:L42"/>
  <sheetViews>
    <sheetView topLeftCell="A22" workbookViewId="0">
      <selection activeCell="P11" sqref="P11"/>
    </sheetView>
  </sheetViews>
  <sheetFormatPr defaultRowHeight="13.15" customHeight="1"/>
  <cols>
    <col min="1" max="1" width="4.7109375" style="17" customWidth="1"/>
    <col min="2" max="2" width="23.7109375" customWidth="1"/>
    <col min="3" max="3" width="6.42578125" customWidth="1"/>
    <col min="4" max="4" width="8.140625" customWidth="1"/>
    <col min="5" max="5" width="8.42578125" customWidth="1"/>
    <col min="6" max="6" width="8.85546875" style="17"/>
    <col min="7" max="7" width="5.28515625" style="17" customWidth="1"/>
    <col min="8" max="8" width="24.5703125" customWidth="1"/>
    <col min="9" max="9" width="6.42578125" customWidth="1"/>
    <col min="10" max="10" width="7.42578125" customWidth="1"/>
    <col min="11" max="11" width="8.28515625" customWidth="1"/>
    <col min="12" max="12" width="8.28515625" style="17" customWidth="1"/>
  </cols>
  <sheetData>
    <row r="1" spans="1:12" ht="13.15" customHeight="1">
      <c r="A1" s="30" t="s">
        <v>262</v>
      </c>
      <c r="B1" s="30"/>
      <c r="C1" s="30"/>
      <c r="D1" s="36" t="s">
        <v>263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2.0499999999999998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6.35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1.9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4.45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7.5</v>
      </c>
      <c r="L6" s="5">
        <f t="shared" si="0"/>
        <v>0</v>
      </c>
    </row>
    <row r="7" spans="1:12" ht="13.15" customHeight="1">
      <c r="A7" s="2">
        <v>3</v>
      </c>
      <c r="B7" s="4" t="s">
        <v>264</v>
      </c>
      <c r="C7" s="2" t="s">
        <v>9</v>
      </c>
      <c r="D7" s="2"/>
      <c r="E7" s="5">
        <v>5.5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1.9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6.85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4.75</v>
      </c>
      <c r="F9" s="20">
        <f t="shared" si="1"/>
        <v>0</v>
      </c>
      <c r="G9" s="2">
        <v>43</v>
      </c>
      <c r="H9" s="4" t="s">
        <v>265</v>
      </c>
      <c r="I9" s="2" t="s">
        <v>9</v>
      </c>
      <c r="J9" s="2"/>
      <c r="K9" s="5">
        <v>3.4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5.5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266</v>
      </c>
      <c r="C11" s="2" t="s">
        <v>9</v>
      </c>
      <c r="D11" s="2"/>
      <c r="E11" s="5">
        <v>5.5</v>
      </c>
      <c r="F11" s="20">
        <f t="shared" si="1"/>
        <v>0</v>
      </c>
      <c r="G11" s="2">
        <v>45</v>
      </c>
      <c r="H11" s="4" t="s">
        <v>267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5.7</v>
      </c>
      <c r="F12" s="20">
        <f t="shared" si="1"/>
        <v>0</v>
      </c>
      <c r="G12" s="2">
        <v>46</v>
      </c>
      <c r="H12" s="4" t="s">
        <v>268</v>
      </c>
      <c r="I12" s="2" t="s">
        <v>9</v>
      </c>
      <c r="J12" s="2"/>
      <c r="K12" s="5">
        <v>2.35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5.8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5.65</v>
      </c>
      <c r="F14" s="20">
        <f t="shared" si="1"/>
        <v>0</v>
      </c>
      <c r="G14" s="2">
        <v>48</v>
      </c>
      <c r="H14" s="4" t="s">
        <v>269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128</v>
      </c>
      <c r="C15" s="2" t="s">
        <v>9</v>
      </c>
      <c r="D15" s="2"/>
      <c r="E15" s="5">
        <v>6.3</v>
      </c>
      <c r="F15" s="20">
        <f t="shared" si="1"/>
        <v>0</v>
      </c>
      <c r="G15" s="2">
        <v>49</v>
      </c>
      <c r="H15" s="4" t="s">
        <v>270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271</v>
      </c>
      <c r="C16" s="2" t="s">
        <v>9</v>
      </c>
      <c r="D16" s="2"/>
      <c r="E16" s="5">
        <v>5.8</v>
      </c>
      <c r="F16" s="20">
        <f t="shared" si="1"/>
        <v>0</v>
      </c>
      <c r="G16" s="2">
        <v>50</v>
      </c>
      <c r="H16" s="4" t="s">
        <v>272</v>
      </c>
      <c r="I16" s="2" t="s">
        <v>9</v>
      </c>
      <c r="J16" s="2"/>
      <c r="K16" s="5">
        <v>7.75</v>
      </c>
      <c r="L16" s="5">
        <f t="shared" si="0"/>
        <v>0</v>
      </c>
    </row>
    <row r="17" spans="1:12" ht="13.15" customHeight="1">
      <c r="A17" s="2">
        <v>13</v>
      </c>
      <c r="B17" s="4" t="s">
        <v>273</v>
      </c>
      <c r="C17" s="2" t="s">
        <v>9</v>
      </c>
      <c r="D17" s="2"/>
      <c r="E17" s="5">
        <v>6.3</v>
      </c>
      <c r="F17" s="20">
        <f t="shared" si="1"/>
        <v>0</v>
      </c>
      <c r="G17" s="2">
        <v>51</v>
      </c>
      <c r="H17" s="4" t="s">
        <v>274</v>
      </c>
      <c r="I17" s="2" t="s">
        <v>9</v>
      </c>
      <c r="J17" s="2"/>
      <c r="K17" s="5">
        <v>6.25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4.5999999999999996</v>
      </c>
      <c r="F18" s="20">
        <f t="shared" si="1"/>
        <v>0</v>
      </c>
      <c r="G18" s="2">
        <v>52</v>
      </c>
      <c r="H18" s="4" t="s">
        <v>275</v>
      </c>
      <c r="I18" s="2" t="s">
        <v>9</v>
      </c>
      <c r="J18" s="2"/>
      <c r="K18" s="5">
        <v>6.1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5.0999999999999996</v>
      </c>
      <c r="F19" s="20">
        <f t="shared" si="1"/>
        <v>0</v>
      </c>
      <c r="G19" s="2">
        <v>53</v>
      </c>
      <c r="H19" s="4" t="s">
        <v>276</v>
      </c>
      <c r="I19" s="2" t="s">
        <v>9</v>
      </c>
      <c r="J19" s="2"/>
      <c r="K19" s="5">
        <v>7.5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2.2999999999999998</v>
      </c>
      <c r="F20" s="20">
        <f t="shared" si="1"/>
        <v>0</v>
      </c>
      <c r="G20" s="2">
        <v>54</v>
      </c>
      <c r="H20" s="4" t="s">
        <v>277</v>
      </c>
      <c r="I20" s="2" t="s">
        <v>9</v>
      </c>
      <c r="J20" s="2"/>
      <c r="K20" s="5">
        <v>8.5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1.25</v>
      </c>
      <c r="F21" s="20">
        <f t="shared" si="1"/>
        <v>0</v>
      </c>
      <c r="G21" s="2">
        <v>55</v>
      </c>
      <c r="H21" s="4" t="s">
        <v>106</v>
      </c>
      <c r="I21" s="2" t="s">
        <v>9</v>
      </c>
      <c r="J21" s="2"/>
      <c r="K21" s="5">
        <v>7.5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5.5</v>
      </c>
      <c r="F22" s="20">
        <f t="shared" si="1"/>
        <v>0</v>
      </c>
      <c r="G22" s="2">
        <v>56</v>
      </c>
      <c r="H22" s="4" t="s">
        <v>278</v>
      </c>
      <c r="I22" s="2" t="s">
        <v>9</v>
      </c>
      <c r="J22" s="2"/>
      <c r="K22" s="5">
        <v>2.1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6.25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4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5.9</v>
      </c>
      <c r="F24" s="20">
        <f t="shared" si="1"/>
        <v>0</v>
      </c>
      <c r="G24" s="2">
        <v>58</v>
      </c>
      <c r="H24" s="4" t="s">
        <v>279</v>
      </c>
      <c r="I24" s="2" t="s">
        <v>9</v>
      </c>
      <c r="J24" s="4"/>
      <c r="K24" s="2">
        <v>2.1</v>
      </c>
      <c r="L24" s="5">
        <f t="shared" si="0"/>
        <v>0</v>
      </c>
    </row>
    <row r="25" spans="1:12" ht="13.15" customHeight="1">
      <c r="A25" s="2">
        <v>21</v>
      </c>
      <c r="B25" s="4" t="s">
        <v>96</v>
      </c>
      <c r="C25" s="2" t="s">
        <v>9</v>
      </c>
      <c r="D25" s="2"/>
      <c r="E25" s="5">
        <v>6.6</v>
      </c>
      <c r="F25" s="20">
        <f t="shared" si="1"/>
        <v>0</v>
      </c>
      <c r="G25" s="2">
        <v>59</v>
      </c>
      <c r="H25" s="4" t="s">
        <v>280</v>
      </c>
      <c r="I25" s="2" t="s">
        <v>9</v>
      </c>
      <c r="J25" s="4"/>
      <c r="K25" s="2">
        <v>8.75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5.2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5.75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4.25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4"/>
      <c r="K27" s="2">
        <v>3.35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4.75</v>
      </c>
      <c r="F28" s="20">
        <f t="shared" si="1"/>
        <v>0</v>
      </c>
      <c r="G28" s="2">
        <v>62</v>
      </c>
      <c r="H28" s="4" t="s">
        <v>281</v>
      </c>
      <c r="I28" s="2" t="s">
        <v>9</v>
      </c>
      <c r="J28" s="4"/>
      <c r="K28" s="2">
        <v>4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5.5</v>
      </c>
      <c r="F29" s="20">
        <f t="shared" si="1"/>
        <v>0</v>
      </c>
      <c r="G29" s="2">
        <v>63</v>
      </c>
      <c r="H29" s="4" t="s">
        <v>140</v>
      </c>
      <c r="I29" s="2" t="s">
        <v>9</v>
      </c>
      <c r="J29" s="4"/>
      <c r="K29" s="2">
        <v>7.5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4.4000000000000004</v>
      </c>
      <c r="F30" s="5">
        <f t="shared" si="1"/>
        <v>0</v>
      </c>
      <c r="G30" s="2">
        <v>64</v>
      </c>
      <c r="H30" s="4" t="s">
        <v>282</v>
      </c>
      <c r="I30" s="2" t="s">
        <v>9</v>
      </c>
      <c r="J30" s="4"/>
      <c r="K30" s="2">
        <v>4.25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5.75</v>
      </c>
      <c r="F31" s="5">
        <f t="shared" si="1"/>
        <v>0</v>
      </c>
      <c r="G31" s="2">
        <v>65</v>
      </c>
      <c r="H31" s="4" t="s">
        <v>283</v>
      </c>
      <c r="I31" s="2" t="s">
        <v>9</v>
      </c>
      <c r="J31" s="4"/>
      <c r="K31" s="2">
        <v>3.4</v>
      </c>
      <c r="L31" s="5">
        <f t="shared" si="0"/>
        <v>0</v>
      </c>
    </row>
    <row r="32" spans="1:12" ht="13.15" customHeight="1">
      <c r="A32" s="2">
        <v>28</v>
      </c>
      <c r="B32" s="4" t="s">
        <v>104</v>
      </c>
      <c r="C32" s="2" t="s">
        <v>9</v>
      </c>
      <c r="D32" s="2"/>
      <c r="E32" s="5">
        <v>7.5</v>
      </c>
      <c r="F32" s="20">
        <f t="shared" si="1"/>
        <v>0</v>
      </c>
      <c r="G32" s="2">
        <v>66</v>
      </c>
      <c r="H32" s="4" t="s">
        <v>284</v>
      </c>
      <c r="I32" s="2" t="s">
        <v>9</v>
      </c>
      <c r="J32" s="4"/>
      <c r="K32" s="2">
        <v>5.75</v>
      </c>
      <c r="L32" s="5">
        <f t="shared" si="0"/>
        <v>0</v>
      </c>
    </row>
    <row r="33" spans="1:12" ht="13.15" customHeight="1">
      <c r="A33" s="2">
        <v>29</v>
      </c>
      <c r="B33" s="4" t="s">
        <v>285</v>
      </c>
      <c r="C33" s="2" t="s">
        <v>9</v>
      </c>
      <c r="D33" s="2"/>
      <c r="E33" s="5">
        <v>5.3</v>
      </c>
      <c r="F33" s="5">
        <f t="shared" si="1"/>
        <v>0</v>
      </c>
      <c r="G33" s="2">
        <v>67</v>
      </c>
      <c r="H33" s="4" t="s">
        <v>286</v>
      </c>
      <c r="I33" s="2" t="s">
        <v>9</v>
      </c>
      <c r="J33" s="4"/>
      <c r="K33" s="2">
        <v>2.2000000000000002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5.75</v>
      </c>
      <c r="F34" s="5">
        <f t="shared" si="1"/>
        <v>0</v>
      </c>
      <c r="G34" s="2">
        <v>68</v>
      </c>
      <c r="H34" s="4" t="s">
        <v>287</v>
      </c>
      <c r="I34" s="2" t="s">
        <v>9</v>
      </c>
      <c r="J34" s="4"/>
      <c r="K34" s="2">
        <v>3.4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5.3</v>
      </c>
      <c r="F35" s="20">
        <f t="shared" si="1"/>
        <v>0</v>
      </c>
      <c r="G35" s="2">
        <v>69</v>
      </c>
      <c r="H35" s="4" t="s">
        <v>288</v>
      </c>
      <c r="I35" s="2" t="s">
        <v>9</v>
      </c>
      <c r="J35" s="4"/>
      <c r="K35" s="2">
        <v>3.4</v>
      </c>
      <c r="L35" s="5">
        <f t="shared" si="0"/>
        <v>0</v>
      </c>
    </row>
    <row r="36" spans="1:12" ht="13.15" customHeight="1">
      <c r="A36" s="2">
        <v>32</v>
      </c>
      <c r="B36" s="4" t="s">
        <v>74</v>
      </c>
      <c r="C36" s="2" t="s">
        <v>9</v>
      </c>
      <c r="D36" s="2"/>
      <c r="E36" s="2">
        <v>2.2999999999999998</v>
      </c>
      <c r="F36" s="20">
        <f t="shared" si="1"/>
        <v>0</v>
      </c>
      <c r="G36" s="2">
        <v>70</v>
      </c>
      <c r="H36" s="4" t="s">
        <v>289</v>
      </c>
      <c r="I36" s="2" t="s">
        <v>9</v>
      </c>
      <c r="J36" s="4"/>
      <c r="K36" s="2">
        <v>34.25</v>
      </c>
      <c r="L36" s="5">
        <f t="shared" si="0"/>
        <v>0</v>
      </c>
    </row>
    <row r="37" spans="1:12" ht="13.15" customHeight="1">
      <c r="A37" s="2">
        <v>33</v>
      </c>
      <c r="B37" s="4" t="s">
        <v>76</v>
      </c>
      <c r="C37" s="2" t="s">
        <v>9</v>
      </c>
      <c r="D37" s="2"/>
      <c r="E37" s="2">
        <v>3.25</v>
      </c>
      <c r="F37" s="20">
        <f t="shared" si="1"/>
        <v>0</v>
      </c>
      <c r="G37" s="2">
        <v>71</v>
      </c>
      <c r="H37" s="4" t="s">
        <v>290</v>
      </c>
      <c r="I37" s="2" t="s">
        <v>9</v>
      </c>
      <c r="J37" s="4"/>
      <c r="K37" s="2">
        <v>3.75</v>
      </c>
      <c r="L37" s="5">
        <f t="shared" si="0"/>
        <v>0</v>
      </c>
    </row>
    <row r="38" spans="1:12" ht="13.15" customHeight="1">
      <c r="A38" s="2">
        <v>34</v>
      </c>
      <c r="B38" s="4" t="s">
        <v>78</v>
      </c>
      <c r="C38" s="2" t="s">
        <v>9</v>
      </c>
      <c r="D38" s="2"/>
      <c r="E38" s="2">
        <v>6.25</v>
      </c>
      <c r="F38" s="20">
        <f t="shared" si="1"/>
        <v>0</v>
      </c>
      <c r="G38" s="2">
        <v>72</v>
      </c>
      <c r="H38" s="4" t="s">
        <v>291</v>
      </c>
      <c r="I38" s="2" t="s">
        <v>9</v>
      </c>
      <c r="J38" s="4"/>
      <c r="K38" s="2">
        <v>6.25</v>
      </c>
      <c r="L38" s="5">
        <f t="shared" si="0"/>
        <v>0</v>
      </c>
    </row>
    <row r="39" spans="1:12" ht="13.15" customHeight="1">
      <c r="A39" s="2">
        <v>35</v>
      </c>
      <c r="B39" s="4" t="s">
        <v>80</v>
      </c>
      <c r="C39" s="2" t="s">
        <v>9</v>
      </c>
      <c r="D39" s="2"/>
      <c r="E39" s="2">
        <v>3.75</v>
      </c>
      <c r="F39" s="20">
        <f t="shared" si="1"/>
        <v>0</v>
      </c>
      <c r="G39" s="2">
        <v>73</v>
      </c>
      <c r="H39" s="4" t="s">
        <v>111</v>
      </c>
      <c r="I39" s="2" t="s">
        <v>9</v>
      </c>
      <c r="J39" s="4"/>
      <c r="K39" s="2">
        <v>3.2</v>
      </c>
      <c r="L39" s="5">
        <f t="shared" si="0"/>
        <v>0</v>
      </c>
    </row>
    <row r="40" spans="1:12" ht="13.15" customHeight="1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0</v>
      </c>
    </row>
    <row r="42" spans="1:12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>
  <dimension ref="A1:L42"/>
  <sheetViews>
    <sheetView topLeftCell="A22" workbookViewId="0">
      <selection activeCell="P11" sqref="P11"/>
    </sheetView>
  </sheetViews>
  <sheetFormatPr defaultRowHeight="13.15" customHeight="1"/>
  <cols>
    <col min="1" max="1" width="4.7109375" style="17" customWidth="1"/>
    <col min="2" max="2" width="23.7109375" customWidth="1"/>
    <col min="3" max="3" width="6.42578125" customWidth="1"/>
    <col min="4" max="4" width="8.140625" customWidth="1"/>
    <col min="5" max="5" width="8.42578125" customWidth="1"/>
    <col min="6" max="6" width="8.85546875" style="17"/>
    <col min="7" max="7" width="5.28515625" style="17" customWidth="1"/>
    <col min="8" max="8" width="24.5703125" customWidth="1"/>
    <col min="9" max="9" width="6.42578125" customWidth="1"/>
    <col min="10" max="10" width="7.42578125" customWidth="1"/>
    <col min="11" max="11" width="8.28515625" customWidth="1"/>
    <col min="12" max="12" width="8.28515625" style="17" customWidth="1"/>
  </cols>
  <sheetData>
    <row r="1" spans="1:12" ht="13.15" customHeight="1">
      <c r="A1" s="30" t="s">
        <v>262</v>
      </c>
      <c r="B1" s="30"/>
      <c r="C1" s="30"/>
      <c r="D1" s="36" t="s">
        <v>263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2.0499999999999998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6.35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1.9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4.45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7.5</v>
      </c>
      <c r="L6" s="5">
        <f t="shared" si="0"/>
        <v>0</v>
      </c>
    </row>
    <row r="7" spans="1:12" ht="13.15" customHeight="1">
      <c r="A7" s="2">
        <v>3</v>
      </c>
      <c r="B7" s="4" t="s">
        <v>264</v>
      </c>
      <c r="C7" s="2" t="s">
        <v>9</v>
      </c>
      <c r="D7" s="2"/>
      <c r="E7" s="5">
        <v>5.5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1.9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6.85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4.75</v>
      </c>
      <c r="F9" s="20">
        <f t="shared" si="1"/>
        <v>0</v>
      </c>
      <c r="G9" s="2">
        <v>43</v>
      </c>
      <c r="H9" s="4" t="s">
        <v>265</v>
      </c>
      <c r="I9" s="2" t="s">
        <v>9</v>
      </c>
      <c r="J9" s="2"/>
      <c r="K9" s="5">
        <v>3.4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5.5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266</v>
      </c>
      <c r="C11" s="2" t="s">
        <v>9</v>
      </c>
      <c r="D11" s="2"/>
      <c r="E11" s="5">
        <v>5.5</v>
      </c>
      <c r="F11" s="20">
        <f t="shared" si="1"/>
        <v>0</v>
      </c>
      <c r="G11" s="2">
        <v>45</v>
      </c>
      <c r="H11" s="4" t="s">
        <v>267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5.7</v>
      </c>
      <c r="F12" s="20">
        <f t="shared" si="1"/>
        <v>0</v>
      </c>
      <c r="G12" s="2">
        <v>46</v>
      </c>
      <c r="H12" s="4" t="s">
        <v>268</v>
      </c>
      <c r="I12" s="2" t="s">
        <v>9</v>
      </c>
      <c r="J12" s="2"/>
      <c r="K12" s="5">
        <v>2.35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5.8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5.65</v>
      </c>
      <c r="F14" s="20">
        <f t="shared" si="1"/>
        <v>0</v>
      </c>
      <c r="G14" s="2">
        <v>48</v>
      </c>
      <c r="H14" s="4" t="s">
        <v>269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128</v>
      </c>
      <c r="C15" s="2" t="s">
        <v>9</v>
      </c>
      <c r="D15" s="2"/>
      <c r="E15" s="5">
        <v>6.3</v>
      </c>
      <c r="F15" s="20">
        <f t="shared" si="1"/>
        <v>0</v>
      </c>
      <c r="G15" s="2">
        <v>49</v>
      </c>
      <c r="H15" s="4" t="s">
        <v>270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271</v>
      </c>
      <c r="C16" s="2" t="s">
        <v>9</v>
      </c>
      <c r="D16" s="2"/>
      <c r="E16" s="5">
        <v>5.8</v>
      </c>
      <c r="F16" s="20">
        <f t="shared" si="1"/>
        <v>0</v>
      </c>
      <c r="G16" s="2">
        <v>50</v>
      </c>
      <c r="H16" s="4" t="s">
        <v>272</v>
      </c>
      <c r="I16" s="2" t="s">
        <v>9</v>
      </c>
      <c r="J16" s="2"/>
      <c r="K16" s="5">
        <v>7.75</v>
      </c>
      <c r="L16" s="5">
        <f t="shared" si="0"/>
        <v>0</v>
      </c>
    </row>
    <row r="17" spans="1:12" ht="13.15" customHeight="1">
      <c r="A17" s="2">
        <v>13</v>
      </c>
      <c r="B17" s="4" t="s">
        <v>273</v>
      </c>
      <c r="C17" s="2" t="s">
        <v>9</v>
      </c>
      <c r="D17" s="2"/>
      <c r="E17" s="5">
        <v>6.3</v>
      </c>
      <c r="F17" s="20">
        <f t="shared" si="1"/>
        <v>0</v>
      </c>
      <c r="G17" s="2">
        <v>51</v>
      </c>
      <c r="H17" s="4" t="s">
        <v>274</v>
      </c>
      <c r="I17" s="2" t="s">
        <v>9</v>
      </c>
      <c r="J17" s="2"/>
      <c r="K17" s="5">
        <v>6.25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4.5999999999999996</v>
      </c>
      <c r="F18" s="20">
        <f t="shared" si="1"/>
        <v>0</v>
      </c>
      <c r="G18" s="2">
        <v>52</v>
      </c>
      <c r="H18" s="4" t="s">
        <v>275</v>
      </c>
      <c r="I18" s="2" t="s">
        <v>9</v>
      </c>
      <c r="J18" s="2"/>
      <c r="K18" s="5">
        <v>6.1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5.0999999999999996</v>
      </c>
      <c r="F19" s="20">
        <f t="shared" si="1"/>
        <v>0</v>
      </c>
      <c r="G19" s="2">
        <v>53</v>
      </c>
      <c r="H19" s="4" t="s">
        <v>276</v>
      </c>
      <c r="I19" s="2" t="s">
        <v>9</v>
      </c>
      <c r="J19" s="2"/>
      <c r="K19" s="5">
        <v>7.5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2.2999999999999998</v>
      </c>
      <c r="F20" s="20">
        <f t="shared" si="1"/>
        <v>0</v>
      </c>
      <c r="G20" s="2">
        <v>54</v>
      </c>
      <c r="H20" s="4" t="s">
        <v>277</v>
      </c>
      <c r="I20" s="2" t="s">
        <v>9</v>
      </c>
      <c r="J20" s="2"/>
      <c r="K20" s="5">
        <v>8.5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1.25</v>
      </c>
      <c r="F21" s="20">
        <f t="shared" si="1"/>
        <v>0</v>
      </c>
      <c r="G21" s="2">
        <v>55</v>
      </c>
      <c r="H21" s="4" t="s">
        <v>106</v>
      </c>
      <c r="I21" s="2" t="s">
        <v>9</v>
      </c>
      <c r="J21" s="2"/>
      <c r="K21" s="5">
        <v>7.5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5.5</v>
      </c>
      <c r="F22" s="20">
        <f t="shared" si="1"/>
        <v>0</v>
      </c>
      <c r="G22" s="2">
        <v>56</v>
      </c>
      <c r="H22" s="4" t="s">
        <v>278</v>
      </c>
      <c r="I22" s="2" t="s">
        <v>9</v>
      </c>
      <c r="J22" s="2"/>
      <c r="K22" s="5">
        <v>2.1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6.25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4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5.9</v>
      </c>
      <c r="F24" s="20">
        <f t="shared" si="1"/>
        <v>0</v>
      </c>
      <c r="G24" s="2">
        <v>58</v>
      </c>
      <c r="H24" s="4" t="s">
        <v>279</v>
      </c>
      <c r="I24" s="2" t="s">
        <v>9</v>
      </c>
      <c r="J24" s="4"/>
      <c r="K24" s="2">
        <v>2.1</v>
      </c>
      <c r="L24" s="5">
        <f t="shared" si="0"/>
        <v>0</v>
      </c>
    </row>
    <row r="25" spans="1:12" ht="13.15" customHeight="1">
      <c r="A25" s="2">
        <v>21</v>
      </c>
      <c r="B25" s="4" t="s">
        <v>96</v>
      </c>
      <c r="C25" s="2" t="s">
        <v>9</v>
      </c>
      <c r="D25" s="2"/>
      <c r="E25" s="5">
        <v>6.6</v>
      </c>
      <c r="F25" s="20">
        <f t="shared" si="1"/>
        <v>0</v>
      </c>
      <c r="G25" s="2">
        <v>59</v>
      </c>
      <c r="H25" s="4" t="s">
        <v>280</v>
      </c>
      <c r="I25" s="2" t="s">
        <v>9</v>
      </c>
      <c r="J25" s="4"/>
      <c r="K25" s="2">
        <v>8.75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5.2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5.75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4.25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4"/>
      <c r="K27" s="2">
        <v>3.35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4.75</v>
      </c>
      <c r="F28" s="20">
        <f t="shared" si="1"/>
        <v>0</v>
      </c>
      <c r="G28" s="2">
        <v>62</v>
      </c>
      <c r="H28" s="4" t="s">
        <v>281</v>
      </c>
      <c r="I28" s="2" t="s">
        <v>9</v>
      </c>
      <c r="J28" s="4"/>
      <c r="K28" s="2">
        <v>4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5.5</v>
      </c>
      <c r="F29" s="20">
        <f t="shared" si="1"/>
        <v>0</v>
      </c>
      <c r="G29" s="2">
        <v>63</v>
      </c>
      <c r="H29" s="4" t="s">
        <v>140</v>
      </c>
      <c r="I29" s="2" t="s">
        <v>9</v>
      </c>
      <c r="J29" s="4"/>
      <c r="K29" s="2">
        <v>7.5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4.4000000000000004</v>
      </c>
      <c r="F30" s="5">
        <f t="shared" si="1"/>
        <v>0</v>
      </c>
      <c r="G30" s="2">
        <v>64</v>
      </c>
      <c r="H30" s="4" t="s">
        <v>282</v>
      </c>
      <c r="I30" s="2" t="s">
        <v>9</v>
      </c>
      <c r="J30" s="4"/>
      <c r="K30" s="2">
        <v>4.25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5.75</v>
      </c>
      <c r="F31" s="5">
        <f t="shared" si="1"/>
        <v>0</v>
      </c>
      <c r="G31" s="2">
        <v>65</v>
      </c>
      <c r="H31" s="4" t="s">
        <v>283</v>
      </c>
      <c r="I31" s="2" t="s">
        <v>9</v>
      </c>
      <c r="J31" s="4"/>
      <c r="K31" s="2">
        <v>3.4</v>
      </c>
      <c r="L31" s="5">
        <f t="shared" si="0"/>
        <v>0</v>
      </c>
    </row>
    <row r="32" spans="1:12" ht="13.15" customHeight="1">
      <c r="A32" s="2">
        <v>28</v>
      </c>
      <c r="B32" s="4" t="s">
        <v>104</v>
      </c>
      <c r="C32" s="2" t="s">
        <v>9</v>
      </c>
      <c r="D32" s="2"/>
      <c r="E32" s="5">
        <v>7.5</v>
      </c>
      <c r="F32" s="20">
        <f t="shared" si="1"/>
        <v>0</v>
      </c>
      <c r="G32" s="2">
        <v>66</v>
      </c>
      <c r="H32" s="4" t="s">
        <v>284</v>
      </c>
      <c r="I32" s="2" t="s">
        <v>9</v>
      </c>
      <c r="J32" s="4"/>
      <c r="K32" s="2">
        <v>5.75</v>
      </c>
      <c r="L32" s="5">
        <f t="shared" si="0"/>
        <v>0</v>
      </c>
    </row>
    <row r="33" spans="1:12" ht="13.15" customHeight="1">
      <c r="A33" s="2">
        <v>29</v>
      </c>
      <c r="B33" s="4" t="s">
        <v>285</v>
      </c>
      <c r="C33" s="2" t="s">
        <v>9</v>
      </c>
      <c r="D33" s="2"/>
      <c r="E33" s="5">
        <v>5.3</v>
      </c>
      <c r="F33" s="5">
        <f t="shared" si="1"/>
        <v>0</v>
      </c>
      <c r="G33" s="2">
        <v>67</v>
      </c>
      <c r="H33" s="4" t="s">
        <v>286</v>
      </c>
      <c r="I33" s="2" t="s">
        <v>9</v>
      </c>
      <c r="J33" s="4"/>
      <c r="K33" s="2">
        <v>2.2000000000000002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5.75</v>
      </c>
      <c r="F34" s="5">
        <f t="shared" si="1"/>
        <v>0</v>
      </c>
      <c r="G34" s="2">
        <v>68</v>
      </c>
      <c r="H34" s="4" t="s">
        <v>287</v>
      </c>
      <c r="I34" s="2" t="s">
        <v>9</v>
      </c>
      <c r="J34" s="4"/>
      <c r="K34" s="2">
        <v>3.4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5.3</v>
      </c>
      <c r="F35" s="20">
        <f t="shared" si="1"/>
        <v>0</v>
      </c>
      <c r="G35" s="2">
        <v>69</v>
      </c>
      <c r="H35" s="4" t="s">
        <v>288</v>
      </c>
      <c r="I35" s="2" t="s">
        <v>9</v>
      </c>
      <c r="J35" s="4"/>
      <c r="K35" s="2">
        <v>3.4</v>
      </c>
      <c r="L35" s="5">
        <f t="shared" si="0"/>
        <v>0</v>
      </c>
    </row>
    <row r="36" spans="1:12" ht="13.15" customHeight="1">
      <c r="A36" s="2">
        <v>32</v>
      </c>
      <c r="B36" s="4" t="s">
        <v>74</v>
      </c>
      <c r="C36" s="2" t="s">
        <v>9</v>
      </c>
      <c r="D36" s="2"/>
      <c r="E36" s="2">
        <v>2.2999999999999998</v>
      </c>
      <c r="F36" s="20">
        <f t="shared" si="1"/>
        <v>0</v>
      </c>
      <c r="G36" s="2">
        <v>70</v>
      </c>
      <c r="H36" s="4" t="s">
        <v>289</v>
      </c>
      <c r="I36" s="2" t="s">
        <v>9</v>
      </c>
      <c r="J36" s="4"/>
      <c r="K36" s="2">
        <v>34.25</v>
      </c>
      <c r="L36" s="5">
        <f t="shared" si="0"/>
        <v>0</v>
      </c>
    </row>
    <row r="37" spans="1:12" ht="13.15" customHeight="1">
      <c r="A37" s="2">
        <v>33</v>
      </c>
      <c r="B37" s="4" t="s">
        <v>76</v>
      </c>
      <c r="C37" s="2" t="s">
        <v>9</v>
      </c>
      <c r="D37" s="2"/>
      <c r="E37" s="2">
        <v>3.25</v>
      </c>
      <c r="F37" s="20">
        <f t="shared" si="1"/>
        <v>0</v>
      </c>
      <c r="G37" s="2">
        <v>71</v>
      </c>
      <c r="H37" s="4" t="s">
        <v>290</v>
      </c>
      <c r="I37" s="2" t="s">
        <v>9</v>
      </c>
      <c r="J37" s="4"/>
      <c r="K37" s="2">
        <v>3.75</v>
      </c>
      <c r="L37" s="5">
        <f t="shared" si="0"/>
        <v>0</v>
      </c>
    </row>
    <row r="38" spans="1:12" ht="13.15" customHeight="1">
      <c r="A38" s="2">
        <v>34</v>
      </c>
      <c r="B38" s="4" t="s">
        <v>78</v>
      </c>
      <c r="C38" s="2" t="s">
        <v>9</v>
      </c>
      <c r="D38" s="2"/>
      <c r="E38" s="2">
        <v>6.25</v>
      </c>
      <c r="F38" s="20">
        <f t="shared" si="1"/>
        <v>0</v>
      </c>
      <c r="G38" s="2">
        <v>72</v>
      </c>
      <c r="H38" s="4" t="s">
        <v>291</v>
      </c>
      <c r="I38" s="2" t="s">
        <v>9</v>
      </c>
      <c r="J38" s="4"/>
      <c r="K38" s="2">
        <v>6.25</v>
      </c>
      <c r="L38" s="5">
        <f t="shared" si="0"/>
        <v>0</v>
      </c>
    </row>
    <row r="39" spans="1:12" ht="13.15" customHeight="1">
      <c r="A39" s="2">
        <v>35</v>
      </c>
      <c r="B39" s="4" t="s">
        <v>80</v>
      </c>
      <c r="C39" s="2" t="s">
        <v>9</v>
      </c>
      <c r="D39" s="2"/>
      <c r="E39" s="2">
        <v>3.75</v>
      </c>
      <c r="F39" s="20">
        <f t="shared" si="1"/>
        <v>0</v>
      </c>
      <c r="G39" s="2">
        <v>73</v>
      </c>
      <c r="H39" s="4" t="s">
        <v>111</v>
      </c>
      <c r="I39" s="2" t="s">
        <v>9</v>
      </c>
      <c r="J39" s="4"/>
      <c r="K39" s="2">
        <v>3.2</v>
      </c>
      <c r="L39" s="5">
        <f t="shared" si="0"/>
        <v>0</v>
      </c>
    </row>
    <row r="40" spans="1:12" ht="13.15" customHeight="1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0</v>
      </c>
    </row>
    <row r="42" spans="1:12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>
  <dimension ref="A1:L42"/>
  <sheetViews>
    <sheetView topLeftCell="A22" workbookViewId="0">
      <selection activeCell="P11" sqref="P11"/>
    </sheetView>
  </sheetViews>
  <sheetFormatPr defaultRowHeight="13.15" customHeight="1"/>
  <cols>
    <col min="1" max="1" width="4.7109375" style="17" customWidth="1"/>
    <col min="2" max="2" width="23.7109375" customWidth="1"/>
    <col min="3" max="3" width="6.42578125" customWidth="1"/>
    <col min="4" max="4" width="8.140625" customWidth="1"/>
    <col min="5" max="5" width="8.42578125" customWidth="1"/>
    <col min="6" max="6" width="8.85546875" style="17"/>
    <col min="7" max="7" width="5.28515625" style="17" customWidth="1"/>
    <col min="8" max="8" width="24.5703125" customWidth="1"/>
    <col min="9" max="9" width="6.42578125" customWidth="1"/>
    <col min="10" max="10" width="7.42578125" customWidth="1"/>
    <col min="11" max="11" width="8.28515625" customWidth="1"/>
    <col min="12" max="12" width="8.28515625" style="17" customWidth="1"/>
  </cols>
  <sheetData>
    <row r="1" spans="1:12" ht="13.15" customHeight="1">
      <c r="A1" s="30" t="s">
        <v>262</v>
      </c>
      <c r="B1" s="30"/>
      <c r="C1" s="30"/>
      <c r="D1" s="36" t="s">
        <v>263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2.0499999999999998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6.35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1.9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4.45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7.5</v>
      </c>
      <c r="L6" s="5">
        <f t="shared" si="0"/>
        <v>0</v>
      </c>
    </row>
    <row r="7" spans="1:12" ht="13.15" customHeight="1">
      <c r="A7" s="2">
        <v>3</v>
      </c>
      <c r="B7" s="4" t="s">
        <v>264</v>
      </c>
      <c r="C7" s="2" t="s">
        <v>9</v>
      </c>
      <c r="D7" s="2"/>
      <c r="E7" s="5">
        <v>5.5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1.9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6.85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4.75</v>
      </c>
      <c r="F9" s="20">
        <f t="shared" si="1"/>
        <v>0</v>
      </c>
      <c r="G9" s="2">
        <v>43</v>
      </c>
      <c r="H9" s="4" t="s">
        <v>265</v>
      </c>
      <c r="I9" s="2" t="s">
        <v>9</v>
      </c>
      <c r="J9" s="2"/>
      <c r="K9" s="5">
        <v>3.4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5.5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266</v>
      </c>
      <c r="C11" s="2" t="s">
        <v>9</v>
      </c>
      <c r="D11" s="2"/>
      <c r="E11" s="5">
        <v>5.5</v>
      </c>
      <c r="F11" s="20">
        <f t="shared" si="1"/>
        <v>0</v>
      </c>
      <c r="G11" s="2">
        <v>45</v>
      </c>
      <c r="H11" s="4" t="s">
        <v>267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5.7</v>
      </c>
      <c r="F12" s="20">
        <f t="shared" si="1"/>
        <v>0</v>
      </c>
      <c r="G12" s="2">
        <v>46</v>
      </c>
      <c r="H12" s="4" t="s">
        <v>268</v>
      </c>
      <c r="I12" s="2" t="s">
        <v>9</v>
      </c>
      <c r="J12" s="2"/>
      <c r="K12" s="5">
        <v>2.35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5.8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5.65</v>
      </c>
      <c r="F14" s="20">
        <f t="shared" si="1"/>
        <v>0</v>
      </c>
      <c r="G14" s="2">
        <v>48</v>
      </c>
      <c r="H14" s="4" t="s">
        <v>269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128</v>
      </c>
      <c r="C15" s="2" t="s">
        <v>9</v>
      </c>
      <c r="D15" s="2"/>
      <c r="E15" s="5">
        <v>6.3</v>
      </c>
      <c r="F15" s="20">
        <f t="shared" si="1"/>
        <v>0</v>
      </c>
      <c r="G15" s="2">
        <v>49</v>
      </c>
      <c r="H15" s="4" t="s">
        <v>270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271</v>
      </c>
      <c r="C16" s="2" t="s">
        <v>9</v>
      </c>
      <c r="D16" s="2"/>
      <c r="E16" s="5">
        <v>5.8</v>
      </c>
      <c r="F16" s="20">
        <f t="shared" si="1"/>
        <v>0</v>
      </c>
      <c r="G16" s="2">
        <v>50</v>
      </c>
      <c r="H16" s="4" t="s">
        <v>272</v>
      </c>
      <c r="I16" s="2" t="s">
        <v>9</v>
      </c>
      <c r="J16" s="2"/>
      <c r="K16" s="5">
        <v>7.75</v>
      </c>
      <c r="L16" s="5">
        <f t="shared" si="0"/>
        <v>0</v>
      </c>
    </row>
    <row r="17" spans="1:12" ht="13.15" customHeight="1">
      <c r="A17" s="2">
        <v>13</v>
      </c>
      <c r="B17" s="4" t="s">
        <v>273</v>
      </c>
      <c r="C17" s="2" t="s">
        <v>9</v>
      </c>
      <c r="D17" s="2"/>
      <c r="E17" s="5">
        <v>6.3</v>
      </c>
      <c r="F17" s="20">
        <f t="shared" si="1"/>
        <v>0</v>
      </c>
      <c r="G17" s="2">
        <v>51</v>
      </c>
      <c r="H17" s="4" t="s">
        <v>274</v>
      </c>
      <c r="I17" s="2" t="s">
        <v>9</v>
      </c>
      <c r="J17" s="2"/>
      <c r="K17" s="5">
        <v>6.25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4.5999999999999996</v>
      </c>
      <c r="F18" s="20">
        <f t="shared" si="1"/>
        <v>0</v>
      </c>
      <c r="G18" s="2">
        <v>52</v>
      </c>
      <c r="H18" s="4" t="s">
        <v>275</v>
      </c>
      <c r="I18" s="2" t="s">
        <v>9</v>
      </c>
      <c r="J18" s="2"/>
      <c r="K18" s="5">
        <v>6.1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5.0999999999999996</v>
      </c>
      <c r="F19" s="20">
        <f t="shared" si="1"/>
        <v>0</v>
      </c>
      <c r="G19" s="2">
        <v>53</v>
      </c>
      <c r="H19" s="4" t="s">
        <v>276</v>
      </c>
      <c r="I19" s="2" t="s">
        <v>9</v>
      </c>
      <c r="J19" s="2"/>
      <c r="K19" s="5">
        <v>7.5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2.2999999999999998</v>
      </c>
      <c r="F20" s="20">
        <f t="shared" si="1"/>
        <v>0</v>
      </c>
      <c r="G20" s="2">
        <v>54</v>
      </c>
      <c r="H20" s="4" t="s">
        <v>277</v>
      </c>
      <c r="I20" s="2" t="s">
        <v>9</v>
      </c>
      <c r="J20" s="2"/>
      <c r="K20" s="5">
        <v>8.5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1.25</v>
      </c>
      <c r="F21" s="20">
        <f t="shared" si="1"/>
        <v>0</v>
      </c>
      <c r="G21" s="2">
        <v>55</v>
      </c>
      <c r="H21" s="4" t="s">
        <v>106</v>
      </c>
      <c r="I21" s="2" t="s">
        <v>9</v>
      </c>
      <c r="J21" s="2"/>
      <c r="K21" s="5">
        <v>7.5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5.5</v>
      </c>
      <c r="F22" s="20">
        <f t="shared" si="1"/>
        <v>0</v>
      </c>
      <c r="G22" s="2">
        <v>56</v>
      </c>
      <c r="H22" s="4" t="s">
        <v>278</v>
      </c>
      <c r="I22" s="2" t="s">
        <v>9</v>
      </c>
      <c r="J22" s="2"/>
      <c r="K22" s="5">
        <v>2.1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6.25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4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5.9</v>
      </c>
      <c r="F24" s="20">
        <f t="shared" si="1"/>
        <v>0</v>
      </c>
      <c r="G24" s="2">
        <v>58</v>
      </c>
      <c r="H24" s="4" t="s">
        <v>279</v>
      </c>
      <c r="I24" s="2" t="s">
        <v>9</v>
      </c>
      <c r="J24" s="4"/>
      <c r="K24" s="2">
        <v>2.1</v>
      </c>
      <c r="L24" s="5">
        <f t="shared" si="0"/>
        <v>0</v>
      </c>
    </row>
    <row r="25" spans="1:12" ht="13.15" customHeight="1">
      <c r="A25" s="2">
        <v>21</v>
      </c>
      <c r="B25" s="4" t="s">
        <v>96</v>
      </c>
      <c r="C25" s="2" t="s">
        <v>9</v>
      </c>
      <c r="D25" s="2"/>
      <c r="E25" s="5">
        <v>6.6</v>
      </c>
      <c r="F25" s="20">
        <f t="shared" si="1"/>
        <v>0</v>
      </c>
      <c r="G25" s="2">
        <v>59</v>
      </c>
      <c r="H25" s="4" t="s">
        <v>280</v>
      </c>
      <c r="I25" s="2" t="s">
        <v>9</v>
      </c>
      <c r="J25" s="4"/>
      <c r="K25" s="2">
        <v>8.75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5.2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5.75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4.25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4"/>
      <c r="K27" s="2">
        <v>3.35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4.75</v>
      </c>
      <c r="F28" s="20">
        <f t="shared" si="1"/>
        <v>0</v>
      </c>
      <c r="G28" s="2">
        <v>62</v>
      </c>
      <c r="H28" s="4" t="s">
        <v>281</v>
      </c>
      <c r="I28" s="2" t="s">
        <v>9</v>
      </c>
      <c r="J28" s="4"/>
      <c r="K28" s="2">
        <v>4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5.5</v>
      </c>
      <c r="F29" s="20">
        <f t="shared" si="1"/>
        <v>0</v>
      </c>
      <c r="G29" s="2">
        <v>63</v>
      </c>
      <c r="H29" s="4" t="s">
        <v>140</v>
      </c>
      <c r="I29" s="2" t="s">
        <v>9</v>
      </c>
      <c r="J29" s="4"/>
      <c r="K29" s="2">
        <v>7.5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4.4000000000000004</v>
      </c>
      <c r="F30" s="5">
        <f t="shared" si="1"/>
        <v>0</v>
      </c>
      <c r="G30" s="2">
        <v>64</v>
      </c>
      <c r="H30" s="4" t="s">
        <v>282</v>
      </c>
      <c r="I30" s="2" t="s">
        <v>9</v>
      </c>
      <c r="J30" s="4"/>
      <c r="K30" s="2">
        <v>4.25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5.75</v>
      </c>
      <c r="F31" s="5">
        <f t="shared" si="1"/>
        <v>0</v>
      </c>
      <c r="G31" s="2">
        <v>65</v>
      </c>
      <c r="H31" s="4" t="s">
        <v>283</v>
      </c>
      <c r="I31" s="2" t="s">
        <v>9</v>
      </c>
      <c r="J31" s="4"/>
      <c r="K31" s="2">
        <v>3.4</v>
      </c>
      <c r="L31" s="5">
        <f t="shared" si="0"/>
        <v>0</v>
      </c>
    </row>
    <row r="32" spans="1:12" ht="13.15" customHeight="1">
      <c r="A32" s="2">
        <v>28</v>
      </c>
      <c r="B32" s="4" t="s">
        <v>104</v>
      </c>
      <c r="C32" s="2" t="s">
        <v>9</v>
      </c>
      <c r="D32" s="2"/>
      <c r="E32" s="5">
        <v>7.5</v>
      </c>
      <c r="F32" s="20">
        <f t="shared" si="1"/>
        <v>0</v>
      </c>
      <c r="G32" s="2">
        <v>66</v>
      </c>
      <c r="H32" s="4" t="s">
        <v>284</v>
      </c>
      <c r="I32" s="2" t="s">
        <v>9</v>
      </c>
      <c r="J32" s="4"/>
      <c r="K32" s="2">
        <v>5.75</v>
      </c>
      <c r="L32" s="5">
        <f t="shared" si="0"/>
        <v>0</v>
      </c>
    </row>
    <row r="33" spans="1:12" ht="13.15" customHeight="1">
      <c r="A33" s="2">
        <v>29</v>
      </c>
      <c r="B33" s="4" t="s">
        <v>285</v>
      </c>
      <c r="C33" s="2" t="s">
        <v>9</v>
      </c>
      <c r="D33" s="2"/>
      <c r="E33" s="5">
        <v>5.3</v>
      </c>
      <c r="F33" s="5">
        <f t="shared" si="1"/>
        <v>0</v>
      </c>
      <c r="G33" s="2">
        <v>67</v>
      </c>
      <c r="H33" s="4" t="s">
        <v>286</v>
      </c>
      <c r="I33" s="2" t="s">
        <v>9</v>
      </c>
      <c r="J33" s="4"/>
      <c r="K33" s="2">
        <v>2.2000000000000002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5.75</v>
      </c>
      <c r="F34" s="5">
        <f t="shared" si="1"/>
        <v>0</v>
      </c>
      <c r="G34" s="2">
        <v>68</v>
      </c>
      <c r="H34" s="4" t="s">
        <v>287</v>
      </c>
      <c r="I34" s="2" t="s">
        <v>9</v>
      </c>
      <c r="J34" s="4"/>
      <c r="K34" s="2">
        <v>3.4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5.3</v>
      </c>
      <c r="F35" s="20">
        <f t="shared" si="1"/>
        <v>0</v>
      </c>
      <c r="G35" s="2">
        <v>69</v>
      </c>
      <c r="H35" s="4" t="s">
        <v>288</v>
      </c>
      <c r="I35" s="2" t="s">
        <v>9</v>
      </c>
      <c r="J35" s="4"/>
      <c r="K35" s="2">
        <v>3.4</v>
      </c>
      <c r="L35" s="5">
        <f t="shared" si="0"/>
        <v>0</v>
      </c>
    </row>
    <row r="36" spans="1:12" ht="13.15" customHeight="1">
      <c r="A36" s="2">
        <v>32</v>
      </c>
      <c r="B36" s="4" t="s">
        <v>74</v>
      </c>
      <c r="C36" s="2" t="s">
        <v>9</v>
      </c>
      <c r="D36" s="2"/>
      <c r="E36" s="2">
        <v>2.2999999999999998</v>
      </c>
      <c r="F36" s="20">
        <f t="shared" si="1"/>
        <v>0</v>
      </c>
      <c r="G36" s="2">
        <v>70</v>
      </c>
      <c r="H36" s="4" t="s">
        <v>289</v>
      </c>
      <c r="I36" s="2" t="s">
        <v>9</v>
      </c>
      <c r="J36" s="4"/>
      <c r="K36" s="2">
        <v>34.25</v>
      </c>
      <c r="L36" s="5">
        <f t="shared" si="0"/>
        <v>0</v>
      </c>
    </row>
    <row r="37" spans="1:12" ht="13.15" customHeight="1">
      <c r="A37" s="2">
        <v>33</v>
      </c>
      <c r="B37" s="4" t="s">
        <v>76</v>
      </c>
      <c r="C37" s="2" t="s">
        <v>9</v>
      </c>
      <c r="D37" s="2"/>
      <c r="E37" s="2">
        <v>3.25</v>
      </c>
      <c r="F37" s="20">
        <f t="shared" si="1"/>
        <v>0</v>
      </c>
      <c r="G37" s="2">
        <v>71</v>
      </c>
      <c r="H37" s="4" t="s">
        <v>290</v>
      </c>
      <c r="I37" s="2" t="s">
        <v>9</v>
      </c>
      <c r="J37" s="4"/>
      <c r="K37" s="2">
        <v>3.75</v>
      </c>
      <c r="L37" s="5">
        <f t="shared" si="0"/>
        <v>0</v>
      </c>
    </row>
    <row r="38" spans="1:12" ht="13.15" customHeight="1">
      <c r="A38" s="2">
        <v>34</v>
      </c>
      <c r="B38" s="4" t="s">
        <v>78</v>
      </c>
      <c r="C38" s="2" t="s">
        <v>9</v>
      </c>
      <c r="D38" s="2"/>
      <c r="E38" s="2">
        <v>6.25</v>
      </c>
      <c r="F38" s="20">
        <f t="shared" si="1"/>
        <v>0</v>
      </c>
      <c r="G38" s="2">
        <v>72</v>
      </c>
      <c r="H38" s="4" t="s">
        <v>291</v>
      </c>
      <c r="I38" s="2" t="s">
        <v>9</v>
      </c>
      <c r="J38" s="4"/>
      <c r="K38" s="2">
        <v>6.25</v>
      </c>
      <c r="L38" s="5">
        <f t="shared" si="0"/>
        <v>0</v>
      </c>
    </row>
    <row r="39" spans="1:12" ht="13.15" customHeight="1">
      <c r="A39" s="2">
        <v>35</v>
      </c>
      <c r="B39" s="4" t="s">
        <v>80</v>
      </c>
      <c r="C39" s="2" t="s">
        <v>9</v>
      </c>
      <c r="D39" s="2"/>
      <c r="E39" s="2">
        <v>3.75</v>
      </c>
      <c r="F39" s="20">
        <f t="shared" si="1"/>
        <v>0</v>
      </c>
      <c r="G39" s="2">
        <v>73</v>
      </c>
      <c r="H39" s="4" t="s">
        <v>111</v>
      </c>
      <c r="I39" s="2" t="s">
        <v>9</v>
      </c>
      <c r="J39" s="4"/>
      <c r="K39" s="2">
        <v>3.2</v>
      </c>
      <c r="L39" s="5">
        <f t="shared" si="0"/>
        <v>0</v>
      </c>
    </row>
    <row r="40" spans="1:12" ht="13.15" customHeight="1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0</v>
      </c>
    </row>
    <row r="42" spans="1:12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>
  <dimension ref="A1:L42"/>
  <sheetViews>
    <sheetView topLeftCell="A22" workbookViewId="0">
      <selection activeCell="P11" sqref="P11"/>
    </sheetView>
  </sheetViews>
  <sheetFormatPr defaultRowHeight="13.15" customHeight="1"/>
  <cols>
    <col min="1" max="1" width="4.7109375" style="17" customWidth="1"/>
    <col min="2" max="2" width="23.7109375" customWidth="1"/>
    <col min="3" max="3" width="6.42578125" customWidth="1"/>
    <col min="4" max="4" width="8.140625" customWidth="1"/>
    <col min="5" max="5" width="8.42578125" customWidth="1"/>
    <col min="6" max="6" width="8.85546875" style="17"/>
    <col min="7" max="7" width="5.28515625" style="17" customWidth="1"/>
    <col min="8" max="8" width="24.5703125" customWidth="1"/>
    <col min="9" max="9" width="6.42578125" customWidth="1"/>
    <col min="10" max="10" width="7.42578125" customWidth="1"/>
    <col min="11" max="11" width="8.28515625" customWidth="1"/>
    <col min="12" max="12" width="8.28515625" style="17" customWidth="1"/>
  </cols>
  <sheetData>
    <row r="1" spans="1:12" ht="13.15" customHeight="1">
      <c r="A1" s="30" t="s">
        <v>262</v>
      </c>
      <c r="B1" s="30"/>
      <c r="C1" s="30"/>
      <c r="D1" s="36" t="s">
        <v>263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2.0499999999999998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6.35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1.9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4.45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7.5</v>
      </c>
      <c r="L6" s="5">
        <f t="shared" si="0"/>
        <v>0</v>
      </c>
    </row>
    <row r="7" spans="1:12" ht="13.15" customHeight="1">
      <c r="A7" s="2">
        <v>3</v>
      </c>
      <c r="B7" s="4" t="s">
        <v>264</v>
      </c>
      <c r="C7" s="2" t="s">
        <v>9</v>
      </c>
      <c r="D7" s="2"/>
      <c r="E7" s="5">
        <v>5.5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1.9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6.85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4.75</v>
      </c>
      <c r="F9" s="20">
        <f t="shared" si="1"/>
        <v>0</v>
      </c>
      <c r="G9" s="2">
        <v>43</v>
      </c>
      <c r="H9" s="4" t="s">
        <v>265</v>
      </c>
      <c r="I9" s="2" t="s">
        <v>9</v>
      </c>
      <c r="J9" s="2"/>
      <c r="K9" s="5">
        <v>3.4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5.5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266</v>
      </c>
      <c r="C11" s="2" t="s">
        <v>9</v>
      </c>
      <c r="D11" s="2"/>
      <c r="E11" s="5">
        <v>5.5</v>
      </c>
      <c r="F11" s="20">
        <f t="shared" si="1"/>
        <v>0</v>
      </c>
      <c r="G11" s="2">
        <v>45</v>
      </c>
      <c r="H11" s="4" t="s">
        <v>267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5.7</v>
      </c>
      <c r="F12" s="20">
        <f t="shared" si="1"/>
        <v>0</v>
      </c>
      <c r="G12" s="2">
        <v>46</v>
      </c>
      <c r="H12" s="4" t="s">
        <v>268</v>
      </c>
      <c r="I12" s="2" t="s">
        <v>9</v>
      </c>
      <c r="J12" s="2"/>
      <c r="K12" s="5">
        <v>2.35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5.8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5.65</v>
      </c>
      <c r="F14" s="20">
        <f t="shared" si="1"/>
        <v>0</v>
      </c>
      <c r="G14" s="2">
        <v>48</v>
      </c>
      <c r="H14" s="4" t="s">
        <v>269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128</v>
      </c>
      <c r="C15" s="2" t="s">
        <v>9</v>
      </c>
      <c r="D15" s="2"/>
      <c r="E15" s="5">
        <v>6.3</v>
      </c>
      <c r="F15" s="20">
        <f t="shared" si="1"/>
        <v>0</v>
      </c>
      <c r="G15" s="2">
        <v>49</v>
      </c>
      <c r="H15" s="4" t="s">
        <v>270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271</v>
      </c>
      <c r="C16" s="2" t="s">
        <v>9</v>
      </c>
      <c r="D16" s="2"/>
      <c r="E16" s="5">
        <v>5.8</v>
      </c>
      <c r="F16" s="20">
        <f t="shared" si="1"/>
        <v>0</v>
      </c>
      <c r="G16" s="2">
        <v>50</v>
      </c>
      <c r="H16" s="4" t="s">
        <v>272</v>
      </c>
      <c r="I16" s="2" t="s">
        <v>9</v>
      </c>
      <c r="J16" s="2"/>
      <c r="K16" s="5">
        <v>7.75</v>
      </c>
      <c r="L16" s="5">
        <f t="shared" si="0"/>
        <v>0</v>
      </c>
    </row>
    <row r="17" spans="1:12" ht="13.15" customHeight="1">
      <c r="A17" s="2">
        <v>13</v>
      </c>
      <c r="B17" s="4" t="s">
        <v>273</v>
      </c>
      <c r="C17" s="2" t="s">
        <v>9</v>
      </c>
      <c r="D17" s="2"/>
      <c r="E17" s="5">
        <v>6.3</v>
      </c>
      <c r="F17" s="20">
        <f t="shared" si="1"/>
        <v>0</v>
      </c>
      <c r="G17" s="2">
        <v>51</v>
      </c>
      <c r="H17" s="4" t="s">
        <v>274</v>
      </c>
      <c r="I17" s="2" t="s">
        <v>9</v>
      </c>
      <c r="J17" s="2"/>
      <c r="K17" s="5">
        <v>6.25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4.5999999999999996</v>
      </c>
      <c r="F18" s="20">
        <f t="shared" si="1"/>
        <v>0</v>
      </c>
      <c r="G18" s="2">
        <v>52</v>
      </c>
      <c r="H18" s="4" t="s">
        <v>275</v>
      </c>
      <c r="I18" s="2" t="s">
        <v>9</v>
      </c>
      <c r="J18" s="2"/>
      <c r="K18" s="5">
        <v>6.1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5.0999999999999996</v>
      </c>
      <c r="F19" s="20">
        <f t="shared" si="1"/>
        <v>0</v>
      </c>
      <c r="G19" s="2">
        <v>53</v>
      </c>
      <c r="H19" s="4" t="s">
        <v>276</v>
      </c>
      <c r="I19" s="2" t="s">
        <v>9</v>
      </c>
      <c r="J19" s="2"/>
      <c r="K19" s="5">
        <v>7.5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2.2999999999999998</v>
      </c>
      <c r="F20" s="20">
        <f t="shared" si="1"/>
        <v>0</v>
      </c>
      <c r="G20" s="2">
        <v>54</v>
      </c>
      <c r="H20" s="4" t="s">
        <v>277</v>
      </c>
      <c r="I20" s="2" t="s">
        <v>9</v>
      </c>
      <c r="J20" s="2"/>
      <c r="K20" s="5">
        <v>8.5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1.25</v>
      </c>
      <c r="F21" s="20">
        <f t="shared" si="1"/>
        <v>0</v>
      </c>
      <c r="G21" s="2">
        <v>55</v>
      </c>
      <c r="H21" s="4" t="s">
        <v>106</v>
      </c>
      <c r="I21" s="2" t="s">
        <v>9</v>
      </c>
      <c r="J21" s="2"/>
      <c r="K21" s="5">
        <v>7.5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5.5</v>
      </c>
      <c r="F22" s="20">
        <f t="shared" si="1"/>
        <v>0</v>
      </c>
      <c r="G22" s="2">
        <v>56</v>
      </c>
      <c r="H22" s="4" t="s">
        <v>278</v>
      </c>
      <c r="I22" s="2" t="s">
        <v>9</v>
      </c>
      <c r="J22" s="2"/>
      <c r="K22" s="5">
        <v>2.1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6.25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4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5.9</v>
      </c>
      <c r="F24" s="20">
        <f t="shared" si="1"/>
        <v>0</v>
      </c>
      <c r="G24" s="2">
        <v>58</v>
      </c>
      <c r="H24" s="4" t="s">
        <v>279</v>
      </c>
      <c r="I24" s="2" t="s">
        <v>9</v>
      </c>
      <c r="J24" s="4"/>
      <c r="K24" s="2">
        <v>2.1</v>
      </c>
      <c r="L24" s="5">
        <f t="shared" si="0"/>
        <v>0</v>
      </c>
    </row>
    <row r="25" spans="1:12" ht="13.15" customHeight="1">
      <c r="A25" s="2">
        <v>21</v>
      </c>
      <c r="B25" s="4" t="s">
        <v>96</v>
      </c>
      <c r="C25" s="2" t="s">
        <v>9</v>
      </c>
      <c r="D25" s="2"/>
      <c r="E25" s="5">
        <v>6.6</v>
      </c>
      <c r="F25" s="20">
        <f t="shared" si="1"/>
        <v>0</v>
      </c>
      <c r="G25" s="2">
        <v>59</v>
      </c>
      <c r="H25" s="4" t="s">
        <v>280</v>
      </c>
      <c r="I25" s="2" t="s">
        <v>9</v>
      </c>
      <c r="J25" s="4"/>
      <c r="K25" s="2">
        <v>8.75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5.2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5.75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4.25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4"/>
      <c r="K27" s="2">
        <v>3.35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4.75</v>
      </c>
      <c r="F28" s="20">
        <f t="shared" si="1"/>
        <v>0</v>
      </c>
      <c r="G28" s="2">
        <v>62</v>
      </c>
      <c r="H28" s="4" t="s">
        <v>281</v>
      </c>
      <c r="I28" s="2" t="s">
        <v>9</v>
      </c>
      <c r="J28" s="4"/>
      <c r="K28" s="2">
        <v>4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5.5</v>
      </c>
      <c r="F29" s="20">
        <f t="shared" si="1"/>
        <v>0</v>
      </c>
      <c r="G29" s="2">
        <v>63</v>
      </c>
      <c r="H29" s="4" t="s">
        <v>140</v>
      </c>
      <c r="I29" s="2" t="s">
        <v>9</v>
      </c>
      <c r="J29" s="4"/>
      <c r="K29" s="2">
        <v>7.5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4.4000000000000004</v>
      </c>
      <c r="F30" s="5">
        <f t="shared" si="1"/>
        <v>0</v>
      </c>
      <c r="G30" s="2">
        <v>64</v>
      </c>
      <c r="H30" s="4" t="s">
        <v>282</v>
      </c>
      <c r="I30" s="2" t="s">
        <v>9</v>
      </c>
      <c r="J30" s="4"/>
      <c r="K30" s="2">
        <v>4.25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5.75</v>
      </c>
      <c r="F31" s="5">
        <f t="shared" si="1"/>
        <v>0</v>
      </c>
      <c r="G31" s="2">
        <v>65</v>
      </c>
      <c r="H31" s="4" t="s">
        <v>283</v>
      </c>
      <c r="I31" s="2" t="s">
        <v>9</v>
      </c>
      <c r="J31" s="4"/>
      <c r="K31" s="2">
        <v>3.4</v>
      </c>
      <c r="L31" s="5">
        <f t="shared" si="0"/>
        <v>0</v>
      </c>
    </row>
    <row r="32" spans="1:12" ht="13.15" customHeight="1">
      <c r="A32" s="2">
        <v>28</v>
      </c>
      <c r="B32" s="4" t="s">
        <v>104</v>
      </c>
      <c r="C32" s="2" t="s">
        <v>9</v>
      </c>
      <c r="D32" s="2"/>
      <c r="E32" s="5">
        <v>7.5</v>
      </c>
      <c r="F32" s="20">
        <f t="shared" si="1"/>
        <v>0</v>
      </c>
      <c r="G32" s="2">
        <v>66</v>
      </c>
      <c r="H32" s="4" t="s">
        <v>284</v>
      </c>
      <c r="I32" s="2" t="s">
        <v>9</v>
      </c>
      <c r="J32" s="4"/>
      <c r="K32" s="2">
        <v>5.75</v>
      </c>
      <c r="L32" s="5">
        <f t="shared" si="0"/>
        <v>0</v>
      </c>
    </row>
    <row r="33" spans="1:12" ht="13.15" customHeight="1">
      <c r="A33" s="2">
        <v>29</v>
      </c>
      <c r="B33" s="4" t="s">
        <v>285</v>
      </c>
      <c r="C33" s="2" t="s">
        <v>9</v>
      </c>
      <c r="D33" s="2"/>
      <c r="E33" s="5">
        <v>5.3</v>
      </c>
      <c r="F33" s="5">
        <f t="shared" si="1"/>
        <v>0</v>
      </c>
      <c r="G33" s="2">
        <v>67</v>
      </c>
      <c r="H33" s="4" t="s">
        <v>286</v>
      </c>
      <c r="I33" s="2" t="s">
        <v>9</v>
      </c>
      <c r="J33" s="4"/>
      <c r="K33" s="2">
        <v>2.2000000000000002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5.75</v>
      </c>
      <c r="F34" s="5">
        <f t="shared" si="1"/>
        <v>0</v>
      </c>
      <c r="G34" s="2">
        <v>68</v>
      </c>
      <c r="H34" s="4" t="s">
        <v>287</v>
      </c>
      <c r="I34" s="2" t="s">
        <v>9</v>
      </c>
      <c r="J34" s="4"/>
      <c r="K34" s="2">
        <v>3.4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5.3</v>
      </c>
      <c r="F35" s="20">
        <f t="shared" si="1"/>
        <v>0</v>
      </c>
      <c r="G35" s="2">
        <v>69</v>
      </c>
      <c r="H35" s="4" t="s">
        <v>288</v>
      </c>
      <c r="I35" s="2" t="s">
        <v>9</v>
      </c>
      <c r="J35" s="4"/>
      <c r="K35" s="2">
        <v>3.4</v>
      </c>
      <c r="L35" s="5">
        <f t="shared" si="0"/>
        <v>0</v>
      </c>
    </row>
    <row r="36" spans="1:12" ht="13.15" customHeight="1">
      <c r="A36" s="2">
        <v>32</v>
      </c>
      <c r="B36" s="4" t="s">
        <v>74</v>
      </c>
      <c r="C36" s="2" t="s">
        <v>9</v>
      </c>
      <c r="D36" s="2"/>
      <c r="E36" s="2">
        <v>2.2999999999999998</v>
      </c>
      <c r="F36" s="20">
        <f t="shared" si="1"/>
        <v>0</v>
      </c>
      <c r="G36" s="2">
        <v>70</v>
      </c>
      <c r="H36" s="4" t="s">
        <v>289</v>
      </c>
      <c r="I36" s="2" t="s">
        <v>9</v>
      </c>
      <c r="J36" s="4"/>
      <c r="K36" s="2">
        <v>34.25</v>
      </c>
      <c r="L36" s="5">
        <f t="shared" si="0"/>
        <v>0</v>
      </c>
    </row>
    <row r="37" spans="1:12" ht="13.15" customHeight="1">
      <c r="A37" s="2">
        <v>33</v>
      </c>
      <c r="B37" s="4" t="s">
        <v>76</v>
      </c>
      <c r="C37" s="2" t="s">
        <v>9</v>
      </c>
      <c r="D37" s="2"/>
      <c r="E37" s="2">
        <v>3.25</v>
      </c>
      <c r="F37" s="20">
        <f t="shared" si="1"/>
        <v>0</v>
      </c>
      <c r="G37" s="2">
        <v>71</v>
      </c>
      <c r="H37" s="4" t="s">
        <v>290</v>
      </c>
      <c r="I37" s="2" t="s">
        <v>9</v>
      </c>
      <c r="J37" s="4"/>
      <c r="K37" s="2">
        <v>3.75</v>
      </c>
      <c r="L37" s="5">
        <f t="shared" si="0"/>
        <v>0</v>
      </c>
    </row>
    <row r="38" spans="1:12" ht="13.15" customHeight="1">
      <c r="A38" s="2">
        <v>34</v>
      </c>
      <c r="B38" s="4" t="s">
        <v>78</v>
      </c>
      <c r="C38" s="2" t="s">
        <v>9</v>
      </c>
      <c r="D38" s="2"/>
      <c r="E38" s="2">
        <v>6.25</v>
      </c>
      <c r="F38" s="20">
        <f t="shared" si="1"/>
        <v>0</v>
      </c>
      <c r="G38" s="2">
        <v>72</v>
      </c>
      <c r="H38" s="4" t="s">
        <v>291</v>
      </c>
      <c r="I38" s="2" t="s">
        <v>9</v>
      </c>
      <c r="J38" s="4"/>
      <c r="K38" s="2">
        <v>6.25</v>
      </c>
      <c r="L38" s="5">
        <f t="shared" si="0"/>
        <v>0</v>
      </c>
    </row>
    <row r="39" spans="1:12" ht="13.15" customHeight="1">
      <c r="A39" s="2">
        <v>35</v>
      </c>
      <c r="B39" s="4" t="s">
        <v>80</v>
      </c>
      <c r="C39" s="2" t="s">
        <v>9</v>
      </c>
      <c r="D39" s="2"/>
      <c r="E39" s="2">
        <v>3.75</v>
      </c>
      <c r="F39" s="20">
        <f t="shared" si="1"/>
        <v>0</v>
      </c>
      <c r="G39" s="2">
        <v>73</v>
      </c>
      <c r="H39" s="4" t="s">
        <v>111</v>
      </c>
      <c r="I39" s="2" t="s">
        <v>9</v>
      </c>
      <c r="J39" s="4"/>
      <c r="K39" s="2">
        <v>3.2</v>
      </c>
      <c r="L39" s="5">
        <f t="shared" si="0"/>
        <v>0</v>
      </c>
    </row>
    <row r="40" spans="1:12" ht="13.15" customHeight="1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0</v>
      </c>
    </row>
    <row r="42" spans="1:12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>
  <dimension ref="A1:L42"/>
  <sheetViews>
    <sheetView topLeftCell="A22" workbookViewId="0">
      <selection activeCell="P11" sqref="P11"/>
    </sheetView>
  </sheetViews>
  <sheetFormatPr defaultRowHeight="13.15" customHeight="1"/>
  <cols>
    <col min="1" max="1" width="4.7109375" style="17" customWidth="1"/>
    <col min="2" max="2" width="23.7109375" customWidth="1"/>
    <col min="3" max="3" width="6.42578125" customWidth="1"/>
    <col min="4" max="4" width="8.140625" customWidth="1"/>
    <col min="5" max="5" width="8.42578125" customWidth="1"/>
    <col min="6" max="6" width="8.85546875" style="17"/>
    <col min="7" max="7" width="5.28515625" style="17" customWidth="1"/>
    <col min="8" max="8" width="24.5703125" customWidth="1"/>
    <col min="9" max="9" width="6.42578125" customWidth="1"/>
    <col min="10" max="10" width="7.42578125" customWidth="1"/>
    <col min="11" max="11" width="8.28515625" customWidth="1"/>
    <col min="12" max="12" width="8.28515625" style="17" customWidth="1"/>
  </cols>
  <sheetData>
    <row r="1" spans="1:12" ht="13.15" customHeight="1">
      <c r="A1" s="30" t="s">
        <v>262</v>
      </c>
      <c r="B1" s="30"/>
      <c r="C1" s="30"/>
      <c r="D1" s="36" t="s">
        <v>263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2.0499999999999998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6.35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1.9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4.45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7.5</v>
      </c>
      <c r="L6" s="5">
        <f t="shared" si="0"/>
        <v>0</v>
      </c>
    </row>
    <row r="7" spans="1:12" ht="13.15" customHeight="1">
      <c r="A7" s="2">
        <v>3</v>
      </c>
      <c r="B7" s="4" t="s">
        <v>264</v>
      </c>
      <c r="C7" s="2" t="s">
        <v>9</v>
      </c>
      <c r="D7" s="2"/>
      <c r="E7" s="5">
        <v>5.5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1.9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6.85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4.75</v>
      </c>
      <c r="F9" s="20">
        <f t="shared" si="1"/>
        <v>0</v>
      </c>
      <c r="G9" s="2">
        <v>43</v>
      </c>
      <c r="H9" s="4" t="s">
        <v>265</v>
      </c>
      <c r="I9" s="2" t="s">
        <v>9</v>
      </c>
      <c r="J9" s="2"/>
      <c r="K9" s="5">
        <v>3.4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5.5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266</v>
      </c>
      <c r="C11" s="2" t="s">
        <v>9</v>
      </c>
      <c r="D11" s="2"/>
      <c r="E11" s="5">
        <v>5.5</v>
      </c>
      <c r="F11" s="20">
        <f t="shared" si="1"/>
        <v>0</v>
      </c>
      <c r="G11" s="2">
        <v>45</v>
      </c>
      <c r="H11" s="4" t="s">
        <v>267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5.7</v>
      </c>
      <c r="F12" s="20">
        <f t="shared" si="1"/>
        <v>0</v>
      </c>
      <c r="G12" s="2">
        <v>46</v>
      </c>
      <c r="H12" s="4" t="s">
        <v>268</v>
      </c>
      <c r="I12" s="2" t="s">
        <v>9</v>
      </c>
      <c r="J12" s="2"/>
      <c r="K12" s="5">
        <v>2.35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5.8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5.65</v>
      </c>
      <c r="F14" s="20">
        <f t="shared" si="1"/>
        <v>0</v>
      </c>
      <c r="G14" s="2">
        <v>48</v>
      </c>
      <c r="H14" s="4" t="s">
        <v>269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128</v>
      </c>
      <c r="C15" s="2" t="s">
        <v>9</v>
      </c>
      <c r="D15" s="2"/>
      <c r="E15" s="5">
        <v>6.3</v>
      </c>
      <c r="F15" s="20">
        <f t="shared" si="1"/>
        <v>0</v>
      </c>
      <c r="G15" s="2">
        <v>49</v>
      </c>
      <c r="H15" s="4" t="s">
        <v>270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271</v>
      </c>
      <c r="C16" s="2" t="s">
        <v>9</v>
      </c>
      <c r="D16" s="2"/>
      <c r="E16" s="5">
        <v>5.8</v>
      </c>
      <c r="F16" s="20">
        <f t="shared" si="1"/>
        <v>0</v>
      </c>
      <c r="G16" s="2">
        <v>50</v>
      </c>
      <c r="H16" s="4" t="s">
        <v>272</v>
      </c>
      <c r="I16" s="2" t="s">
        <v>9</v>
      </c>
      <c r="J16" s="2"/>
      <c r="K16" s="5">
        <v>7.75</v>
      </c>
      <c r="L16" s="5">
        <f t="shared" si="0"/>
        <v>0</v>
      </c>
    </row>
    <row r="17" spans="1:12" ht="13.15" customHeight="1">
      <c r="A17" s="2">
        <v>13</v>
      </c>
      <c r="B17" s="4" t="s">
        <v>273</v>
      </c>
      <c r="C17" s="2" t="s">
        <v>9</v>
      </c>
      <c r="D17" s="2"/>
      <c r="E17" s="5">
        <v>6.3</v>
      </c>
      <c r="F17" s="20">
        <f t="shared" si="1"/>
        <v>0</v>
      </c>
      <c r="G17" s="2">
        <v>51</v>
      </c>
      <c r="H17" s="4" t="s">
        <v>274</v>
      </c>
      <c r="I17" s="2" t="s">
        <v>9</v>
      </c>
      <c r="J17" s="2"/>
      <c r="K17" s="5">
        <v>6.25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4.5999999999999996</v>
      </c>
      <c r="F18" s="20">
        <f t="shared" si="1"/>
        <v>0</v>
      </c>
      <c r="G18" s="2">
        <v>52</v>
      </c>
      <c r="H18" s="4" t="s">
        <v>275</v>
      </c>
      <c r="I18" s="2" t="s">
        <v>9</v>
      </c>
      <c r="J18" s="2"/>
      <c r="K18" s="5">
        <v>6.1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5.0999999999999996</v>
      </c>
      <c r="F19" s="20">
        <f t="shared" si="1"/>
        <v>0</v>
      </c>
      <c r="G19" s="2">
        <v>53</v>
      </c>
      <c r="H19" s="4" t="s">
        <v>276</v>
      </c>
      <c r="I19" s="2" t="s">
        <v>9</v>
      </c>
      <c r="J19" s="2"/>
      <c r="K19" s="5">
        <v>7.5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2.2999999999999998</v>
      </c>
      <c r="F20" s="20">
        <f t="shared" si="1"/>
        <v>0</v>
      </c>
      <c r="G20" s="2">
        <v>54</v>
      </c>
      <c r="H20" s="4" t="s">
        <v>277</v>
      </c>
      <c r="I20" s="2" t="s">
        <v>9</v>
      </c>
      <c r="J20" s="2"/>
      <c r="K20" s="5">
        <v>8.5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1.25</v>
      </c>
      <c r="F21" s="20">
        <f t="shared" si="1"/>
        <v>0</v>
      </c>
      <c r="G21" s="2">
        <v>55</v>
      </c>
      <c r="H21" s="4" t="s">
        <v>106</v>
      </c>
      <c r="I21" s="2" t="s">
        <v>9</v>
      </c>
      <c r="J21" s="2"/>
      <c r="K21" s="5">
        <v>7.5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5.5</v>
      </c>
      <c r="F22" s="20">
        <f t="shared" si="1"/>
        <v>0</v>
      </c>
      <c r="G22" s="2">
        <v>56</v>
      </c>
      <c r="H22" s="4" t="s">
        <v>278</v>
      </c>
      <c r="I22" s="2" t="s">
        <v>9</v>
      </c>
      <c r="J22" s="2"/>
      <c r="K22" s="5">
        <v>2.1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6.25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4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5.9</v>
      </c>
      <c r="F24" s="20">
        <f t="shared" si="1"/>
        <v>0</v>
      </c>
      <c r="G24" s="2">
        <v>58</v>
      </c>
      <c r="H24" s="4" t="s">
        <v>279</v>
      </c>
      <c r="I24" s="2" t="s">
        <v>9</v>
      </c>
      <c r="J24" s="4"/>
      <c r="K24" s="2">
        <v>2.1</v>
      </c>
      <c r="L24" s="5">
        <f t="shared" si="0"/>
        <v>0</v>
      </c>
    </row>
    <row r="25" spans="1:12" ht="13.15" customHeight="1">
      <c r="A25" s="2">
        <v>21</v>
      </c>
      <c r="B25" s="4" t="s">
        <v>96</v>
      </c>
      <c r="C25" s="2" t="s">
        <v>9</v>
      </c>
      <c r="D25" s="2"/>
      <c r="E25" s="5">
        <v>6.6</v>
      </c>
      <c r="F25" s="20">
        <f t="shared" si="1"/>
        <v>0</v>
      </c>
      <c r="G25" s="2">
        <v>59</v>
      </c>
      <c r="H25" s="4" t="s">
        <v>280</v>
      </c>
      <c r="I25" s="2" t="s">
        <v>9</v>
      </c>
      <c r="J25" s="4"/>
      <c r="K25" s="2">
        <v>8.75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5.2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5.75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4.25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4"/>
      <c r="K27" s="2">
        <v>3.35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4.75</v>
      </c>
      <c r="F28" s="20">
        <f t="shared" si="1"/>
        <v>0</v>
      </c>
      <c r="G28" s="2">
        <v>62</v>
      </c>
      <c r="H28" s="4" t="s">
        <v>281</v>
      </c>
      <c r="I28" s="2" t="s">
        <v>9</v>
      </c>
      <c r="J28" s="4"/>
      <c r="K28" s="2">
        <v>4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5.5</v>
      </c>
      <c r="F29" s="20">
        <f t="shared" si="1"/>
        <v>0</v>
      </c>
      <c r="G29" s="2">
        <v>63</v>
      </c>
      <c r="H29" s="4" t="s">
        <v>140</v>
      </c>
      <c r="I29" s="2" t="s">
        <v>9</v>
      </c>
      <c r="J29" s="4"/>
      <c r="K29" s="2">
        <v>7.5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4.4000000000000004</v>
      </c>
      <c r="F30" s="5">
        <f t="shared" si="1"/>
        <v>0</v>
      </c>
      <c r="G30" s="2">
        <v>64</v>
      </c>
      <c r="H30" s="4" t="s">
        <v>282</v>
      </c>
      <c r="I30" s="2" t="s">
        <v>9</v>
      </c>
      <c r="J30" s="4"/>
      <c r="K30" s="2">
        <v>4.25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5.75</v>
      </c>
      <c r="F31" s="5">
        <f t="shared" si="1"/>
        <v>0</v>
      </c>
      <c r="G31" s="2">
        <v>65</v>
      </c>
      <c r="H31" s="4" t="s">
        <v>283</v>
      </c>
      <c r="I31" s="2" t="s">
        <v>9</v>
      </c>
      <c r="J31" s="4"/>
      <c r="K31" s="2">
        <v>3.4</v>
      </c>
      <c r="L31" s="5">
        <f t="shared" si="0"/>
        <v>0</v>
      </c>
    </row>
    <row r="32" spans="1:12" ht="13.15" customHeight="1">
      <c r="A32" s="2">
        <v>28</v>
      </c>
      <c r="B32" s="4" t="s">
        <v>104</v>
      </c>
      <c r="C32" s="2" t="s">
        <v>9</v>
      </c>
      <c r="D32" s="2"/>
      <c r="E32" s="5">
        <v>7.5</v>
      </c>
      <c r="F32" s="20">
        <f t="shared" si="1"/>
        <v>0</v>
      </c>
      <c r="G32" s="2">
        <v>66</v>
      </c>
      <c r="H32" s="4" t="s">
        <v>284</v>
      </c>
      <c r="I32" s="2" t="s">
        <v>9</v>
      </c>
      <c r="J32" s="4"/>
      <c r="K32" s="2">
        <v>5.75</v>
      </c>
      <c r="L32" s="5">
        <f t="shared" si="0"/>
        <v>0</v>
      </c>
    </row>
    <row r="33" spans="1:12" ht="13.15" customHeight="1">
      <c r="A33" s="2">
        <v>29</v>
      </c>
      <c r="B33" s="4" t="s">
        <v>285</v>
      </c>
      <c r="C33" s="2" t="s">
        <v>9</v>
      </c>
      <c r="D33" s="2"/>
      <c r="E33" s="5">
        <v>5.3</v>
      </c>
      <c r="F33" s="5">
        <f t="shared" si="1"/>
        <v>0</v>
      </c>
      <c r="G33" s="2">
        <v>67</v>
      </c>
      <c r="H33" s="4" t="s">
        <v>286</v>
      </c>
      <c r="I33" s="2" t="s">
        <v>9</v>
      </c>
      <c r="J33" s="4"/>
      <c r="K33" s="2">
        <v>2.2000000000000002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5.75</v>
      </c>
      <c r="F34" s="5">
        <f t="shared" si="1"/>
        <v>0</v>
      </c>
      <c r="G34" s="2">
        <v>68</v>
      </c>
      <c r="H34" s="4" t="s">
        <v>287</v>
      </c>
      <c r="I34" s="2" t="s">
        <v>9</v>
      </c>
      <c r="J34" s="4"/>
      <c r="K34" s="2">
        <v>3.4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5.3</v>
      </c>
      <c r="F35" s="20">
        <f t="shared" si="1"/>
        <v>0</v>
      </c>
      <c r="G35" s="2">
        <v>69</v>
      </c>
      <c r="H35" s="4" t="s">
        <v>288</v>
      </c>
      <c r="I35" s="2" t="s">
        <v>9</v>
      </c>
      <c r="J35" s="4"/>
      <c r="K35" s="2">
        <v>3.4</v>
      </c>
      <c r="L35" s="5">
        <f t="shared" si="0"/>
        <v>0</v>
      </c>
    </row>
    <row r="36" spans="1:12" ht="13.15" customHeight="1">
      <c r="A36" s="2">
        <v>32</v>
      </c>
      <c r="B36" s="4" t="s">
        <v>74</v>
      </c>
      <c r="C36" s="2" t="s">
        <v>9</v>
      </c>
      <c r="D36" s="2"/>
      <c r="E36" s="2">
        <v>2.2999999999999998</v>
      </c>
      <c r="F36" s="20">
        <f t="shared" si="1"/>
        <v>0</v>
      </c>
      <c r="G36" s="2">
        <v>70</v>
      </c>
      <c r="H36" s="4" t="s">
        <v>289</v>
      </c>
      <c r="I36" s="2" t="s">
        <v>9</v>
      </c>
      <c r="J36" s="4"/>
      <c r="K36" s="2">
        <v>34.25</v>
      </c>
      <c r="L36" s="5">
        <f t="shared" si="0"/>
        <v>0</v>
      </c>
    </row>
    <row r="37" spans="1:12" ht="13.15" customHeight="1">
      <c r="A37" s="2">
        <v>33</v>
      </c>
      <c r="B37" s="4" t="s">
        <v>76</v>
      </c>
      <c r="C37" s="2" t="s">
        <v>9</v>
      </c>
      <c r="D37" s="2"/>
      <c r="E37" s="2">
        <v>3.25</v>
      </c>
      <c r="F37" s="20">
        <f t="shared" si="1"/>
        <v>0</v>
      </c>
      <c r="G37" s="2">
        <v>71</v>
      </c>
      <c r="H37" s="4" t="s">
        <v>290</v>
      </c>
      <c r="I37" s="2" t="s">
        <v>9</v>
      </c>
      <c r="J37" s="4"/>
      <c r="K37" s="2">
        <v>3.75</v>
      </c>
      <c r="L37" s="5">
        <f t="shared" si="0"/>
        <v>0</v>
      </c>
    </row>
    <row r="38" spans="1:12" ht="13.15" customHeight="1">
      <c r="A38" s="2">
        <v>34</v>
      </c>
      <c r="B38" s="4" t="s">
        <v>78</v>
      </c>
      <c r="C38" s="2" t="s">
        <v>9</v>
      </c>
      <c r="D38" s="2"/>
      <c r="E38" s="2">
        <v>6.25</v>
      </c>
      <c r="F38" s="20">
        <f t="shared" si="1"/>
        <v>0</v>
      </c>
      <c r="G38" s="2">
        <v>72</v>
      </c>
      <c r="H38" s="4" t="s">
        <v>291</v>
      </c>
      <c r="I38" s="2" t="s">
        <v>9</v>
      </c>
      <c r="J38" s="4"/>
      <c r="K38" s="2">
        <v>6.25</v>
      </c>
      <c r="L38" s="5">
        <f t="shared" si="0"/>
        <v>0</v>
      </c>
    </row>
    <row r="39" spans="1:12" ht="13.15" customHeight="1">
      <c r="A39" s="2">
        <v>35</v>
      </c>
      <c r="B39" s="4" t="s">
        <v>80</v>
      </c>
      <c r="C39" s="2" t="s">
        <v>9</v>
      </c>
      <c r="D39" s="2"/>
      <c r="E39" s="2">
        <v>3.75</v>
      </c>
      <c r="F39" s="20">
        <f t="shared" si="1"/>
        <v>0</v>
      </c>
      <c r="G39" s="2">
        <v>73</v>
      </c>
      <c r="H39" s="4" t="s">
        <v>111</v>
      </c>
      <c r="I39" s="2" t="s">
        <v>9</v>
      </c>
      <c r="J39" s="4"/>
      <c r="K39" s="2">
        <v>3.2</v>
      </c>
      <c r="L39" s="5">
        <f t="shared" si="0"/>
        <v>0</v>
      </c>
    </row>
    <row r="40" spans="1:12" ht="13.15" customHeight="1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0</v>
      </c>
    </row>
    <row r="42" spans="1:12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>
  <dimension ref="A1:L42"/>
  <sheetViews>
    <sheetView topLeftCell="A22" workbookViewId="0">
      <selection activeCell="P11" sqref="P11"/>
    </sheetView>
  </sheetViews>
  <sheetFormatPr defaultRowHeight="13.15" customHeight="1"/>
  <cols>
    <col min="1" max="1" width="4.7109375" style="17" customWidth="1"/>
    <col min="2" max="2" width="23.7109375" customWidth="1"/>
    <col min="3" max="3" width="6.42578125" customWidth="1"/>
    <col min="4" max="4" width="8.140625" customWidth="1"/>
    <col min="5" max="5" width="8.42578125" customWidth="1"/>
    <col min="6" max="6" width="8.85546875" style="17"/>
    <col min="7" max="7" width="5.28515625" style="17" customWidth="1"/>
    <col min="8" max="8" width="24.5703125" customWidth="1"/>
    <col min="9" max="9" width="6.42578125" customWidth="1"/>
    <col min="10" max="10" width="7.42578125" customWidth="1"/>
    <col min="11" max="11" width="8.28515625" customWidth="1"/>
    <col min="12" max="12" width="8.28515625" style="17" customWidth="1"/>
  </cols>
  <sheetData>
    <row r="1" spans="1:12" ht="13.15" customHeight="1">
      <c r="A1" s="30" t="s">
        <v>262</v>
      </c>
      <c r="B1" s="30"/>
      <c r="C1" s="30"/>
      <c r="D1" s="36" t="s">
        <v>263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2.0499999999999998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6.35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1.9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4.45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7.5</v>
      </c>
      <c r="L6" s="5">
        <f t="shared" si="0"/>
        <v>0</v>
      </c>
    </row>
    <row r="7" spans="1:12" ht="13.15" customHeight="1">
      <c r="A7" s="2">
        <v>3</v>
      </c>
      <c r="B7" s="4" t="s">
        <v>264</v>
      </c>
      <c r="C7" s="2" t="s">
        <v>9</v>
      </c>
      <c r="D7" s="2"/>
      <c r="E7" s="5">
        <v>5.5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1.9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6.85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4.75</v>
      </c>
      <c r="F9" s="20">
        <f t="shared" si="1"/>
        <v>0</v>
      </c>
      <c r="G9" s="2">
        <v>43</v>
      </c>
      <c r="H9" s="4" t="s">
        <v>265</v>
      </c>
      <c r="I9" s="2" t="s">
        <v>9</v>
      </c>
      <c r="J9" s="2"/>
      <c r="K9" s="5">
        <v>3.4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5.5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266</v>
      </c>
      <c r="C11" s="2" t="s">
        <v>9</v>
      </c>
      <c r="D11" s="2"/>
      <c r="E11" s="5">
        <v>5.5</v>
      </c>
      <c r="F11" s="20">
        <f t="shared" si="1"/>
        <v>0</v>
      </c>
      <c r="G11" s="2">
        <v>45</v>
      </c>
      <c r="H11" s="4" t="s">
        <v>267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5.7</v>
      </c>
      <c r="F12" s="20">
        <f t="shared" si="1"/>
        <v>0</v>
      </c>
      <c r="G12" s="2">
        <v>46</v>
      </c>
      <c r="H12" s="4" t="s">
        <v>268</v>
      </c>
      <c r="I12" s="2" t="s">
        <v>9</v>
      </c>
      <c r="J12" s="2"/>
      <c r="K12" s="5">
        <v>2.35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5.8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5.65</v>
      </c>
      <c r="F14" s="20">
        <f t="shared" si="1"/>
        <v>0</v>
      </c>
      <c r="G14" s="2">
        <v>48</v>
      </c>
      <c r="H14" s="4" t="s">
        <v>269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128</v>
      </c>
      <c r="C15" s="2" t="s">
        <v>9</v>
      </c>
      <c r="D15" s="2"/>
      <c r="E15" s="5">
        <v>6.3</v>
      </c>
      <c r="F15" s="20">
        <f t="shared" si="1"/>
        <v>0</v>
      </c>
      <c r="G15" s="2">
        <v>49</v>
      </c>
      <c r="H15" s="4" t="s">
        <v>270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271</v>
      </c>
      <c r="C16" s="2" t="s">
        <v>9</v>
      </c>
      <c r="D16" s="2"/>
      <c r="E16" s="5">
        <v>5.8</v>
      </c>
      <c r="F16" s="20">
        <f t="shared" si="1"/>
        <v>0</v>
      </c>
      <c r="G16" s="2">
        <v>50</v>
      </c>
      <c r="H16" s="4" t="s">
        <v>272</v>
      </c>
      <c r="I16" s="2" t="s">
        <v>9</v>
      </c>
      <c r="J16" s="2"/>
      <c r="K16" s="5">
        <v>7.75</v>
      </c>
      <c r="L16" s="5">
        <f t="shared" si="0"/>
        <v>0</v>
      </c>
    </row>
    <row r="17" spans="1:12" ht="13.15" customHeight="1">
      <c r="A17" s="2">
        <v>13</v>
      </c>
      <c r="B17" s="4" t="s">
        <v>273</v>
      </c>
      <c r="C17" s="2" t="s">
        <v>9</v>
      </c>
      <c r="D17" s="2"/>
      <c r="E17" s="5">
        <v>6.3</v>
      </c>
      <c r="F17" s="20">
        <f t="shared" si="1"/>
        <v>0</v>
      </c>
      <c r="G17" s="2">
        <v>51</v>
      </c>
      <c r="H17" s="4" t="s">
        <v>274</v>
      </c>
      <c r="I17" s="2" t="s">
        <v>9</v>
      </c>
      <c r="J17" s="2"/>
      <c r="K17" s="5">
        <v>6.25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4.5999999999999996</v>
      </c>
      <c r="F18" s="20">
        <f t="shared" si="1"/>
        <v>0</v>
      </c>
      <c r="G18" s="2">
        <v>52</v>
      </c>
      <c r="H18" s="4" t="s">
        <v>275</v>
      </c>
      <c r="I18" s="2" t="s">
        <v>9</v>
      </c>
      <c r="J18" s="2"/>
      <c r="K18" s="5">
        <v>6.1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5.0999999999999996</v>
      </c>
      <c r="F19" s="20">
        <f t="shared" si="1"/>
        <v>0</v>
      </c>
      <c r="G19" s="2">
        <v>53</v>
      </c>
      <c r="H19" s="4" t="s">
        <v>276</v>
      </c>
      <c r="I19" s="2" t="s">
        <v>9</v>
      </c>
      <c r="J19" s="2"/>
      <c r="K19" s="5">
        <v>7.5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2.2999999999999998</v>
      </c>
      <c r="F20" s="20">
        <f t="shared" si="1"/>
        <v>0</v>
      </c>
      <c r="G20" s="2">
        <v>54</v>
      </c>
      <c r="H20" s="4" t="s">
        <v>277</v>
      </c>
      <c r="I20" s="2" t="s">
        <v>9</v>
      </c>
      <c r="J20" s="2"/>
      <c r="K20" s="5">
        <v>8.5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1.25</v>
      </c>
      <c r="F21" s="20">
        <f t="shared" si="1"/>
        <v>0</v>
      </c>
      <c r="G21" s="2">
        <v>55</v>
      </c>
      <c r="H21" s="4" t="s">
        <v>106</v>
      </c>
      <c r="I21" s="2" t="s">
        <v>9</v>
      </c>
      <c r="J21" s="2"/>
      <c r="K21" s="5">
        <v>7.5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5.5</v>
      </c>
      <c r="F22" s="20">
        <f t="shared" si="1"/>
        <v>0</v>
      </c>
      <c r="G22" s="2">
        <v>56</v>
      </c>
      <c r="H22" s="4" t="s">
        <v>278</v>
      </c>
      <c r="I22" s="2" t="s">
        <v>9</v>
      </c>
      <c r="J22" s="2"/>
      <c r="K22" s="5">
        <v>2.1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6.25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4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5.9</v>
      </c>
      <c r="F24" s="20">
        <f t="shared" si="1"/>
        <v>0</v>
      </c>
      <c r="G24" s="2">
        <v>58</v>
      </c>
      <c r="H24" s="4" t="s">
        <v>279</v>
      </c>
      <c r="I24" s="2" t="s">
        <v>9</v>
      </c>
      <c r="J24" s="4"/>
      <c r="K24" s="2">
        <v>2.1</v>
      </c>
      <c r="L24" s="5">
        <f t="shared" si="0"/>
        <v>0</v>
      </c>
    </row>
    <row r="25" spans="1:12" ht="13.15" customHeight="1">
      <c r="A25" s="2">
        <v>21</v>
      </c>
      <c r="B25" s="4" t="s">
        <v>96</v>
      </c>
      <c r="C25" s="2" t="s">
        <v>9</v>
      </c>
      <c r="D25" s="2"/>
      <c r="E25" s="5">
        <v>6.6</v>
      </c>
      <c r="F25" s="20">
        <f t="shared" si="1"/>
        <v>0</v>
      </c>
      <c r="G25" s="2">
        <v>59</v>
      </c>
      <c r="H25" s="4" t="s">
        <v>280</v>
      </c>
      <c r="I25" s="2" t="s">
        <v>9</v>
      </c>
      <c r="J25" s="4"/>
      <c r="K25" s="2">
        <v>8.75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5.2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5.75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4.25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4"/>
      <c r="K27" s="2">
        <v>3.35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4.75</v>
      </c>
      <c r="F28" s="20">
        <f t="shared" si="1"/>
        <v>0</v>
      </c>
      <c r="G28" s="2">
        <v>62</v>
      </c>
      <c r="H28" s="4" t="s">
        <v>281</v>
      </c>
      <c r="I28" s="2" t="s">
        <v>9</v>
      </c>
      <c r="J28" s="4"/>
      <c r="K28" s="2">
        <v>4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5.5</v>
      </c>
      <c r="F29" s="20">
        <f t="shared" si="1"/>
        <v>0</v>
      </c>
      <c r="G29" s="2">
        <v>63</v>
      </c>
      <c r="H29" s="4" t="s">
        <v>140</v>
      </c>
      <c r="I29" s="2" t="s">
        <v>9</v>
      </c>
      <c r="J29" s="4"/>
      <c r="K29" s="2">
        <v>7.5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4.4000000000000004</v>
      </c>
      <c r="F30" s="5">
        <f t="shared" si="1"/>
        <v>0</v>
      </c>
      <c r="G30" s="2">
        <v>64</v>
      </c>
      <c r="H30" s="4" t="s">
        <v>282</v>
      </c>
      <c r="I30" s="2" t="s">
        <v>9</v>
      </c>
      <c r="J30" s="4"/>
      <c r="K30" s="2">
        <v>4.25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5.75</v>
      </c>
      <c r="F31" s="5">
        <f t="shared" si="1"/>
        <v>0</v>
      </c>
      <c r="G31" s="2">
        <v>65</v>
      </c>
      <c r="H31" s="4" t="s">
        <v>283</v>
      </c>
      <c r="I31" s="2" t="s">
        <v>9</v>
      </c>
      <c r="J31" s="4"/>
      <c r="K31" s="2">
        <v>3.4</v>
      </c>
      <c r="L31" s="5">
        <f t="shared" si="0"/>
        <v>0</v>
      </c>
    </row>
    <row r="32" spans="1:12" ht="13.15" customHeight="1">
      <c r="A32" s="2">
        <v>28</v>
      </c>
      <c r="B32" s="4" t="s">
        <v>104</v>
      </c>
      <c r="C32" s="2" t="s">
        <v>9</v>
      </c>
      <c r="D32" s="2"/>
      <c r="E32" s="5">
        <v>7.5</v>
      </c>
      <c r="F32" s="20">
        <f t="shared" si="1"/>
        <v>0</v>
      </c>
      <c r="G32" s="2">
        <v>66</v>
      </c>
      <c r="H32" s="4" t="s">
        <v>284</v>
      </c>
      <c r="I32" s="2" t="s">
        <v>9</v>
      </c>
      <c r="J32" s="4"/>
      <c r="K32" s="2">
        <v>5.75</v>
      </c>
      <c r="L32" s="5">
        <f t="shared" si="0"/>
        <v>0</v>
      </c>
    </row>
    <row r="33" spans="1:12" ht="13.15" customHeight="1">
      <c r="A33" s="2">
        <v>29</v>
      </c>
      <c r="B33" s="4" t="s">
        <v>285</v>
      </c>
      <c r="C33" s="2" t="s">
        <v>9</v>
      </c>
      <c r="D33" s="2"/>
      <c r="E33" s="5">
        <v>5.3</v>
      </c>
      <c r="F33" s="5">
        <f t="shared" si="1"/>
        <v>0</v>
      </c>
      <c r="G33" s="2">
        <v>67</v>
      </c>
      <c r="H33" s="4" t="s">
        <v>286</v>
      </c>
      <c r="I33" s="2" t="s">
        <v>9</v>
      </c>
      <c r="J33" s="4"/>
      <c r="K33" s="2">
        <v>2.2000000000000002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5.75</v>
      </c>
      <c r="F34" s="5">
        <f t="shared" si="1"/>
        <v>0</v>
      </c>
      <c r="G34" s="2">
        <v>68</v>
      </c>
      <c r="H34" s="4" t="s">
        <v>287</v>
      </c>
      <c r="I34" s="2" t="s">
        <v>9</v>
      </c>
      <c r="J34" s="4"/>
      <c r="K34" s="2">
        <v>3.4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5.3</v>
      </c>
      <c r="F35" s="20">
        <f t="shared" si="1"/>
        <v>0</v>
      </c>
      <c r="G35" s="2">
        <v>69</v>
      </c>
      <c r="H35" s="4" t="s">
        <v>288</v>
      </c>
      <c r="I35" s="2" t="s">
        <v>9</v>
      </c>
      <c r="J35" s="4"/>
      <c r="K35" s="2">
        <v>3.4</v>
      </c>
      <c r="L35" s="5">
        <f t="shared" si="0"/>
        <v>0</v>
      </c>
    </row>
    <row r="36" spans="1:12" ht="13.15" customHeight="1">
      <c r="A36" s="2">
        <v>32</v>
      </c>
      <c r="B36" s="4" t="s">
        <v>74</v>
      </c>
      <c r="C36" s="2" t="s">
        <v>9</v>
      </c>
      <c r="D36" s="2"/>
      <c r="E36" s="2">
        <v>2.2999999999999998</v>
      </c>
      <c r="F36" s="20">
        <f t="shared" si="1"/>
        <v>0</v>
      </c>
      <c r="G36" s="2">
        <v>70</v>
      </c>
      <c r="H36" s="4" t="s">
        <v>289</v>
      </c>
      <c r="I36" s="2" t="s">
        <v>9</v>
      </c>
      <c r="J36" s="4"/>
      <c r="K36" s="2">
        <v>34.25</v>
      </c>
      <c r="L36" s="5">
        <f t="shared" si="0"/>
        <v>0</v>
      </c>
    </row>
    <row r="37" spans="1:12" ht="13.15" customHeight="1">
      <c r="A37" s="2">
        <v>33</v>
      </c>
      <c r="B37" s="4" t="s">
        <v>76</v>
      </c>
      <c r="C37" s="2" t="s">
        <v>9</v>
      </c>
      <c r="D37" s="2"/>
      <c r="E37" s="2">
        <v>3.25</v>
      </c>
      <c r="F37" s="20">
        <f t="shared" si="1"/>
        <v>0</v>
      </c>
      <c r="G37" s="2">
        <v>71</v>
      </c>
      <c r="H37" s="4" t="s">
        <v>290</v>
      </c>
      <c r="I37" s="2" t="s">
        <v>9</v>
      </c>
      <c r="J37" s="4"/>
      <c r="K37" s="2">
        <v>3.75</v>
      </c>
      <c r="L37" s="5">
        <f t="shared" si="0"/>
        <v>0</v>
      </c>
    </row>
    <row r="38" spans="1:12" ht="13.15" customHeight="1">
      <c r="A38" s="2">
        <v>34</v>
      </c>
      <c r="B38" s="4" t="s">
        <v>78</v>
      </c>
      <c r="C38" s="2" t="s">
        <v>9</v>
      </c>
      <c r="D38" s="2"/>
      <c r="E38" s="2">
        <v>6.25</v>
      </c>
      <c r="F38" s="20">
        <f t="shared" si="1"/>
        <v>0</v>
      </c>
      <c r="G38" s="2">
        <v>72</v>
      </c>
      <c r="H38" s="4" t="s">
        <v>291</v>
      </c>
      <c r="I38" s="2" t="s">
        <v>9</v>
      </c>
      <c r="J38" s="4"/>
      <c r="K38" s="2">
        <v>6.25</v>
      </c>
      <c r="L38" s="5">
        <f t="shared" si="0"/>
        <v>0</v>
      </c>
    </row>
    <row r="39" spans="1:12" ht="13.15" customHeight="1">
      <c r="A39" s="2">
        <v>35</v>
      </c>
      <c r="B39" s="4" t="s">
        <v>80</v>
      </c>
      <c r="C39" s="2" t="s">
        <v>9</v>
      </c>
      <c r="D39" s="2"/>
      <c r="E39" s="2">
        <v>3.75</v>
      </c>
      <c r="F39" s="20">
        <f t="shared" si="1"/>
        <v>0</v>
      </c>
      <c r="G39" s="2">
        <v>73</v>
      </c>
      <c r="H39" s="4" t="s">
        <v>111</v>
      </c>
      <c r="I39" s="2" t="s">
        <v>9</v>
      </c>
      <c r="J39" s="4"/>
      <c r="K39" s="2">
        <v>3.2</v>
      </c>
      <c r="L39" s="5">
        <f t="shared" si="0"/>
        <v>0</v>
      </c>
    </row>
    <row r="40" spans="1:12" ht="13.15" customHeight="1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0</v>
      </c>
    </row>
    <row r="42" spans="1:12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>
  <dimension ref="A1:L42"/>
  <sheetViews>
    <sheetView topLeftCell="A22" workbookViewId="0">
      <selection activeCell="P11" sqref="P11"/>
    </sheetView>
  </sheetViews>
  <sheetFormatPr defaultRowHeight="13.15" customHeight="1"/>
  <cols>
    <col min="1" max="1" width="4.7109375" style="17" customWidth="1"/>
    <col min="2" max="2" width="23.7109375" customWidth="1"/>
    <col min="3" max="3" width="6.42578125" customWidth="1"/>
    <col min="4" max="4" width="8.140625" customWidth="1"/>
    <col min="5" max="5" width="8.42578125" customWidth="1"/>
    <col min="6" max="6" width="8.85546875" style="17"/>
    <col min="7" max="7" width="5.28515625" style="17" customWidth="1"/>
    <col min="8" max="8" width="24.5703125" customWidth="1"/>
    <col min="9" max="9" width="6.42578125" customWidth="1"/>
    <col min="10" max="10" width="7.42578125" customWidth="1"/>
    <col min="11" max="11" width="8.28515625" customWidth="1"/>
    <col min="12" max="12" width="8.28515625" style="17" customWidth="1"/>
  </cols>
  <sheetData>
    <row r="1" spans="1:12" ht="13.15" customHeight="1">
      <c r="A1" s="30" t="s">
        <v>262</v>
      </c>
      <c r="B1" s="30"/>
      <c r="C1" s="30"/>
      <c r="D1" s="36" t="s">
        <v>263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2.0499999999999998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6.35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1.9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4.45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7.5</v>
      </c>
      <c r="L6" s="5">
        <f t="shared" si="0"/>
        <v>0</v>
      </c>
    </row>
    <row r="7" spans="1:12" ht="13.15" customHeight="1">
      <c r="A7" s="2">
        <v>3</v>
      </c>
      <c r="B7" s="4" t="s">
        <v>264</v>
      </c>
      <c r="C7" s="2" t="s">
        <v>9</v>
      </c>
      <c r="D7" s="2"/>
      <c r="E7" s="5">
        <v>5.5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1.9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6.85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4.75</v>
      </c>
      <c r="F9" s="20">
        <f t="shared" si="1"/>
        <v>0</v>
      </c>
      <c r="G9" s="2">
        <v>43</v>
      </c>
      <c r="H9" s="4" t="s">
        <v>265</v>
      </c>
      <c r="I9" s="2" t="s">
        <v>9</v>
      </c>
      <c r="J9" s="2"/>
      <c r="K9" s="5">
        <v>3.4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5.5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266</v>
      </c>
      <c r="C11" s="2" t="s">
        <v>9</v>
      </c>
      <c r="D11" s="2"/>
      <c r="E11" s="5">
        <v>5.5</v>
      </c>
      <c r="F11" s="20">
        <f t="shared" si="1"/>
        <v>0</v>
      </c>
      <c r="G11" s="2">
        <v>45</v>
      </c>
      <c r="H11" s="4" t="s">
        <v>267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5.7</v>
      </c>
      <c r="F12" s="20">
        <f t="shared" si="1"/>
        <v>0</v>
      </c>
      <c r="G12" s="2">
        <v>46</v>
      </c>
      <c r="H12" s="4" t="s">
        <v>268</v>
      </c>
      <c r="I12" s="2" t="s">
        <v>9</v>
      </c>
      <c r="J12" s="2"/>
      <c r="K12" s="5">
        <v>2.35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5.8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5.65</v>
      </c>
      <c r="F14" s="20">
        <f t="shared" si="1"/>
        <v>0</v>
      </c>
      <c r="G14" s="2">
        <v>48</v>
      </c>
      <c r="H14" s="4" t="s">
        <v>269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128</v>
      </c>
      <c r="C15" s="2" t="s">
        <v>9</v>
      </c>
      <c r="D15" s="2"/>
      <c r="E15" s="5">
        <v>6.3</v>
      </c>
      <c r="F15" s="20">
        <f t="shared" si="1"/>
        <v>0</v>
      </c>
      <c r="G15" s="2">
        <v>49</v>
      </c>
      <c r="H15" s="4" t="s">
        <v>270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271</v>
      </c>
      <c r="C16" s="2" t="s">
        <v>9</v>
      </c>
      <c r="D16" s="2"/>
      <c r="E16" s="5">
        <v>5.8</v>
      </c>
      <c r="F16" s="20">
        <f t="shared" si="1"/>
        <v>0</v>
      </c>
      <c r="G16" s="2">
        <v>50</v>
      </c>
      <c r="H16" s="4" t="s">
        <v>272</v>
      </c>
      <c r="I16" s="2" t="s">
        <v>9</v>
      </c>
      <c r="J16" s="2"/>
      <c r="K16" s="5">
        <v>7.75</v>
      </c>
      <c r="L16" s="5">
        <f t="shared" si="0"/>
        <v>0</v>
      </c>
    </row>
    <row r="17" spans="1:12" ht="13.15" customHeight="1">
      <c r="A17" s="2">
        <v>13</v>
      </c>
      <c r="B17" s="4" t="s">
        <v>273</v>
      </c>
      <c r="C17" s="2" t="s">
        <v>9</v>
      </c>
      <c r="D17" s="2"/>
      <c r="E17" s="5">
        <v>6.3</v>
      </c>
      <c r="F17" s="20">
        <f t="shared" si="1"/>
        <v>0</v>
      </c>
      <c r="G17" s="2">
        <v>51</v>
      </c>
      <c r="H17" s="4" t="s">
        <v>274</v>
      </c>
      <c r="I17" s="2" t="s">
        <v>9</v>
      </c>
      <c r="J17" s="2"/>
      <c r="K17" s="5">
        <v>6.25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4.5999999999999996</v>
      </c>
      <c r="F18" s="20">
        <f t="shared" si="1"/>
        <v>0</v>
      </c>
      <c r="G18" s="2">
        <v>52</v>
      </c>
      <c r="H18" s="4" t="s">
        <v>275</v>
      </c>
      <c r="I18" s="2" t="s">
        <v>9</v>
      </c>
      <c r="J18" s="2"/>
      <c r="K18" s="5">
        <v>6.1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5.0999999999999996</v>
      </c>
      <c r="F19" s="20">
        <f t="shared" si="1"/>
        <v>0</v>
      </c>
      <c r="G19" s="2">
        <v>53</v>
      </c>
      <c r="H19" s="4" t="s">
        <v>276</v>
      </c>
      <c r="I19" s="2" t="s">
        <v>9</v>
      </c>
      <c r="J19" s="2"/>
      <c r="K19" s="5">
        <v>7.5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2.2999999999999998</v>
      </c>
      <c r="F20" s="20">
        <f t="shared" si="1"/>
        <v>0</v>
      </c>
      <c r="G20" s="2">
        <v>54</v>
      </c>
      <c r="H20" s="4" t="s">
        <v>277</v>
      </c>
      <c r="I20" s="2" t="s">
        <v>9</v>
      </c>
      <c r="J20" s="2"/>
      <c r="K20" s="5">
        <v>8.5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1.25</v>
      </c>
      <c r="F21" s="20">
        <f t="shared" si="1"/>
        <v>0</v>
      </c>
      <c r="G21" s="2">
        <v>55</v>
      </c>
      <c r="H21" s="4" t="s">
        <v>106</v>
      </c>
      <c r="I21" s="2" t="s">
        <v>9</v>
      </c>
      <c r="J21" s="2"/>
      <c r="K21" s="5">
        <v>7.5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5.5</v>
      </c>
      <c r="F22" s="20">
        <f t="shared" si="1"/>
        <v>0</v>
      </c>
      <c r="G22" s="2">
        <v>56</v>
      </c>
      <c r="H22" s="4" t="s">
        <v>278</v>
      </c>
      <c r="I22" s="2" t="s">
        <v>9</v>
      </c>
      <c r="J22" s="2"/>
      <c r="K22" s="5">
        <v>2.1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6.25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4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5.9</v>
      </c>
      <c r="F24" s="20">
        <f t="shared" si="1"/>
        <v>0</v>
      </c>
      <c r="G24" s="2">
        <v>58</v>
      </c>
      <c r="H24" s="4" t="s">
        <v>279</v>
      </c>
      <c r="I24" s="2" t="s">
        <v>9</v>
      </c>
      <c r="J24" s="4"/>
      <c r="K24" s="2">
        <v>2.1</v>
      </c>
      <c r="L24" s="5">
        <f t="shared" si="0"/>
        <v>0</v>
      </c>
    </row>
    <row r="25" spans="1:12" ht="13.15" customHeight="1">
      <c r="A25" s="2">
        <v>21</v>
      </c>
      <c r="B25" s="4" t="s">
        <v>96</v>
      </c>
      <c r="C25" s="2" t="s">
        <v>9</v>
      </c>
      <c r="D25" s="2"/>
      <c r="E25" s="5">
        <v>6.6</v>
      </c>
      <c r="F25" s="20">
        <f t="shared" si="1"/>
        <v>0</v>
      </c>
      <c r="G25" s="2">
        <v>59</v>
      </c>
      <c r="H25" s="4" t="s">
        <v>280</v>
      </c>
      <c r="I25" s="2" t="s">
        <v>9</v>
      </c>
      <c r="J25" s="4"/>
      <c r="K25" s="2">
        <v>8.75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5.2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5.75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4.25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4"/>
      <c r="K27" s="2">
        <v>3.35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4.75</v>
      </c>
      <c r="F28" s="20">
        <f t="shared" si="1"/>
        <v>0</v>
      </c>
      <c r="G28" s="2">
        <v>62</v>
      </c>
      <c r="H28" s="4" t="s">
        <v>281</v>
      </c>
      <c r="I28" s="2" t="s">
        <v>9</v>
      </c>
      <c r="J28" s="4"/>
      <c r="K28" s="2">
        <v>4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5.5</v>
      </c>
      <c r="F29" s="20">
        <f t="shared" si="1"/>
        <v>0</v>
      </c>
      <c r="G29" s="2">
        <v>63</v>
      </c>
      <c r="H29" s="4" t="s">
        <v>140</v>
      </c>
      <c r="I29" s="2" t="s">
        <v>9</v>
      </c>
      <c r="J29" s="4"/>
      <c r="K29" s="2">
        <v>7.5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4.4000000000000004</v>
      </c>
      <c r="F30" s="5">
        <f t="shared" si="1"/>
        <v>0</v>
      </c>
      <c r="G30" s="2">
        <v>64</v>
      </c>
      <c r="H30" s="4" t="s">
        <v>282</v>
      </c>
      <c r="I30" s="2" t="s">
        <v>9</v>
      </c>
      <c r="J30" s="4"/>
      <c r="K30" s="2">
        <v>4.25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5.75</v>
      </c>
      <c r="F31" s="5">
        <f t="shared" si="1"/>
        <v>0</v>
      </c>
      <c r="G31" s="2">
        <v>65</v>
      </c>
      <c r="H31" s="4" t="s">
        <v>283</v>
      </c>
      <c r="I31" s="2" t="s">
        <v>9</v>
      </c>
      <c r="J31" s="4"/>
      <c r="K31" s="2">
        <v>3.4</v>
      </c>
      <c r="L31" s="5">
        <f t="shared" si="0"/>
        <v>0</v>
      </c>
    </row>
    <row r="32" spans="1:12" ht="13.15" customHeight="1">
      <c r="A32" s="2">
        <v>28</v>
      </c>
      <c r="B32" s="4" t="s">
        <v>104</v>
      </c>
      <c r="C32" s="2" t="s">
        <v>9</v>
      </c>
      <c r="D32" s="2"/>
      <c r="E32" s="5">
        <v>7.5</v>
      </c>
      <c r="F32" s="20">
        <f t="shared" si="1"/>
        <v>0</v>
      </c>
      <c r="G32" s="2">
        <v>66</v>
      </c>
      <c r="H32" s="4" t="s">
        <v>284</v>
      </c>
      <c r="I32" s="2" t="s">
        <v>9</v>
      </c>
      <c r="J32" s="4"/>
      <c r="K32" s="2">
        <v>5.75</v>
      </c>
      <c r="L32" s="5">
        <f t="shared" si="0"/>
        <v>0</v>
      </c>
    </row>
    <row r="33" spans="1:12" ht="13.15" customHeight="1">
      <c r="A33" s="2">
        <v>29</v>
      </c>
      <c r="B33" s="4" t="s">
        <v>285</v>
      </c>
      <c r="C33" s="2" t="s">
        <v>9</v>
      </c>
      <c r="D33" s="2"/>
      <c r="E33" s="5">
        <v>5.3</v>
      </c>
      <c r="F33" s="5">
        <f t="shared" si="1"/>
        <v>0</v>
      </c>
      <c r="G33" s="2">
        <v>67</v>
      </c>
      <c r="H33" s="4" t="s">
        <v>286</v>
      </c>
      <c r="I33" s="2" t="s">
        <v>9</v>
      </c>
      <c r="J33" s="4"/>
      <c r="K33" s="2">
        <v>2.2000000000000002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5.75</v>
      </c>
      <c r="F34" s="5">
        <f t="shared" si="1"/>
        <v>0</v>
      </c>
      <c r="G34" s="2">
        <v>68</v>
      </c>
      <c r="H34" s="4" t="s">
        <v>287</v>
      </c>
      <c r="I34" s="2" t="s">
        <v>9</v>
      </c>
      <c r="J34" s="4"/>
      <c r="K34" s="2">
        <v>3.4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5.3</v>
      </c>
      <c r="F35" s="20">
        <f t="shared" si="1"/>
        <v>0</v>
      </c>
      <c r="G35" s="2">
        <v>69</v>
      </c>
      <c r="H35" s="4" t="s">
        <v>288</v>
      </c>
      <c r="I35" s="2" t="s">
        <v>9</v>
      </c>
      <c r="J35" s="4"/>
      <c r="K35" s="2">
        <v>3.4</v>
      </c>
      <c r="L35" s="5">
        <f t="shared" si="0"/>
        <v>0</v>
      </c>
    </row>
    <row r="36" spans="1:12" ht="13.15" customHeight="1">
      <c r="A36" s="2">
        <v>32</v>
      </c>
      <c r="B36" s="4" t="s">
        <v>74</v>
      </c>
      <c r="C36" s="2" t="s">
        <v>9</v>
      </c>
      <c r="D36" s="2"/>
      <c r="E36" s="2">
        <v>2.2999999999999998</v>
      </c>
      <c r="F36" s="20">
        <f t="shared" si="1"/>
        <v>0</v>
      </c>
      <c r="G36" s="2">
        <v>70</v>
      </c>
      <c r="H36" s="4" t="s">
        <v>289</v>
      </c>
      <c r="I36" s="2" t="s">
        <v>9</v>
      </c>
      <c r="J36" s="4"/>
      <c r="K36" s="2">
        <v>34.25</v>
      </c>
      <c r="L36" s="5">
        <f t="shared" si="0"/>
        <v>0</v>
      </c>
    </row>
    <row r="37" spans="1:12" ht="13.15" customHeight="1">
      <c r="A37" s="2">
        <v>33</v>
      </c>
      <c r="B37" s="4" t="s">
        <v>76</v>
      </c>
      <c r="C37" s="2" t="s">
        <v>9</v>
      </c>
      <c r="D37" s="2"/>
      <c r="E37" s="2">
        <v>3.25</v>
      </c>
      <c r="F37" s="20">
        <f t="shared" si="1"/>
        <v>0</v>
      </c>
      <c r="G37" s="2">
        <v>71</v>
      </c>
      <c r="H37" s="4" t="s">
        <v>290</v>
      </c>
      <c r="I37" s="2" t="s">
        <v>9</v>
      </c>
      <c r="J37" s="4"/>
      <c r="K37" s="2">
        <v>3.75</v>
      </c>
      <c r="L37" s="5">
        <f t="shared" si="0"/>
        <v>0</v>
      </c>
    </row>
    <row r="38" spans="1:12" ht="13.15" customHeight="1">
      <c r="A38" s="2">
        <v>34</v>
      </c>
      <c r="B38" s="4" t="s">
        <v>78</v>
      </c>
      <c r="C38" s="2" t="s">
        <v>9</v>
      </c>
      <c r="D38" s="2"/>
      <c r="E38" s="2">
        <v>6.25</v>
      </c>
      <c r="F38" s="20">
        <f t="shared" si="1"/>
        <v>0</v>
      </c>
      <c r="G38" s="2">
        <v>72</v>
      </c>
      <c r="H38" s="4" t="s">
        <v>291</v>
      </c>
      <c r="I38" s="2" t="s">
        <v>9</v>
      </c>
      <c r="J38" s="4"/>
      <c r="K38" s="2">
        <v>6.25</v>
      </c>
      <c r="L38" s="5">
        <f t="shared" si="0"/>
        <v>0</v>
      </c>
    </row>
    <row r="39" spans="1:12" ht="13.15" customHeight="1">
      <c r="A39" s="2">
        <v>35</v>
      </c>
      <c r="B39" s="4" t="s">
        <v>80</v>
      </c>
      <c r="C39" s="2" t="s">
        <v>9</v>
      </c>
      <c r="D39" s="2"/>
      <c r="E39" s="2">
        <v>3.75</v>
      </c>
      <c r="F39" s="20">
        <f t="shared" si="1"/>
        <v>0</v>
      </c>
      <c r="G39" s="2">
        <v>73</v>
      </c>
      <c r="H39" s="4" t="s">
        <v>111</v>
      </c>
      <c r="I39" s="2" t="s">
        <v>9</v>
      </c>
      <c r="J39" s="4"/>
      <c r="K39" s="2">
        <v>3.2</v>
      </c>
      <c r="L39" s="5">
        <f t="shared" si="0"/>
        <v>0</v>
      </c>
    </row>
    <row r="40" spans="1:12" ht="13.15" customHeight="1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0</v>
      </c>
    </row>
    <row r="42" spans="1:12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>
  <dimension ref="A1:L42"/>
  <sheetViews>
    <sheetView topLeftCell="A22" workbookViewId="0">
      <selection activeCell="P11" sqref="P11"/>
    </sheetView>
  </sheetViews>
  <sheetFormatPr defaultRowHeight="13.15" customHeight="1"/>
  <cols>
    <col min="1" max="1" width="4.7109375" style="17" customWidth="1"/>
    <col min="2" max="2" width="23.7109375" customWidth="1"/>
    <col min="3" max="3" width="6.42578125" customWidth="1"/>
    <col min="4" max="4" width="8.140625" customWidth="1"/>
    <col min="5" max="5" width="8.42578125" customWidth="1"/>
    <col min="6" max="6" width="8.85546875" style="17"/>
    <col min="7" max="7" width="5.28515625" style="17" customWidth="1"/>
    <col min="8" max="8" width="24.5703125" customWidth="1"/>
    <col min="9" max="9" width="6.42578125" customWidth="1"/>
    <col min="10" max="10" width="7.42578125" customWidth="1"/>
    <col min="11" max="11" width="8.28515625" customWidth="1"/>
    <col min="12" max="12" width="8.28515625" style="17" customWidth="1"/>
  </cols>
  <sheetData>
    <row r="1" spans="1:12" ht="13.15" customHeight="1">
      <c r="A1" s="30" t="s">
        <v>262</v>
      </c>
      <c r="B1" s="30"/>
      <c r="C1" s="30"/>
      <c r="D1" s="36" t="s">
        <v>263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2.0499999999999998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6.35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1.9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4.45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7.5</v>
      </c>
      <c r="L6" s="5">
        <f t="shared" si="0"/>
        <v>0</v>
      </c>
    </row>
    <row r="7" spans="1:12" ht="13.15" customHeight="1">
      <c r="A7" s="2">
        <v>3</v>
      </c>
      <c r="B7" s="4" t="s">
        <v>264</v>
      </c>
      <c r="C7" s="2" t="s">
        <v>9</v>
      </c>
      <c r="D7" s="2"/>
      <c r="E7" s="5">
        <v>5.5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1.9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6.85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4.75</v>
      </c>
      <c r="F9" s="20">
        <f t="shared" si="1"/>
        <v>0</v>
      </c>
      <c r="G9" s="2">
        <v>43</v>
      </c>
      <c r="H9" s="4" t="s">
        <v>265</v>
      </c>
      <c r="I9" s="2" t="s">
        <v>9</v>
      </c>
      <c r="J9" s="2"/>
      <c r="K9" s="5">
        <v>3.4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5.5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266</v>
      </c>
      <c r="C11" s="2" t="s">
        <v>9</v>
      </c>
      <c r="D11" s="2"/>
      <c r="E11" s="5">
        <v>5.5</v>
      </c>
      <c r="F11" s="20">
        <f t="shared" si="1"/>
        <v>0</v>
      </c>
      <c r="G11" s="2">
        <v>45</v>
      </c>
      <c r="H11" s="4" t="s">
        <v>267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5.7</v>
      </c>
      <c r="F12" s="20">
        <f t="shared" si="1"/>
        <v>0</v>
      </c>
      <c r="G12" s="2">
        <v>46</v>
      </c>
      <c r="H12" s="4" t="s">
        <v>268</v>
      </c>
      <c r="I12" s="2" t="s">
        <v>9</v>
      </c>
      <c r="J12" s="2"/>
      <c r="K12" s="5">
        <v>2.35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5.8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5.65</v>
      </c>
      <c r="F14" s="20">
        <f t="shared" si="1"/>
        <v>0</v>
      </c>
      <c r="G14" s="2">
        <v>48</v>
      </c>
      <c r="H14" s="4" t="s">
        <v>269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128</v>
      </c>
      <c r="C15" s="2" t="s">
        <v>9</v>
      </c>
      <c r="D15" s="2"/>
      <c r="E15" s="5">
        <v>6.3</v>
      </c>
      <c r="F15" s="20">
        <f t="shared" si="1"/>
        <v>0</v>
      </c>
      <c r="G15" s="2">
        <v>49</v>
      </c>
      <c r="H15" s="4" t="s">
        <v>270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271</v>
      </c>
      <c r="C16" s="2" t="s">
        <v>9</v>
      </c>
      <c r="D16" s="2"/>
      <c r="E16" s="5">
        <v>5.8</v>
      </c>
      <c r="F16" s="20">
        <f t="shared" si="1"/>
        <v>0</v>
      </c>
      <c r="G16" s="2">
        <v>50</v>
      </c>
      <c r="H16" s="4" t="s">
        <v>272</v>
      </c>
      <c r="I16" s="2" t="s">
        <v>9</v>
      </c>
      <c r="J16" s="2"/>
      <c r="K16" s="5">
        <v>7.75</v>
      </c>
      <c r="L16" s="5">
        <f t="shared" si="0"/>
        <v>0</v>
      </c>
    </row>
    <row r="17" spans="1:12" ht="13.15" customHeight="1">
      <c r="A17" s="2">
        <v>13</v>
      </c>
      <c r="B17" s="4" t="s">
        <v>273</v>
      </c>
      <c r="C17" s="2" t="s">
        <v>9</v>
      </c>
      <c r="D17" s="2"/>
      <c r="E17" s="5">
        <v>6.3</v>
      </c>
      <c r="F17" s="20">
        <f t="shared" si="1"/>
        <v>0</v>
      </c>
      <c r="G17" s="2">
        <v>51</v>
      </c>
      <c r="H17" s="4" t="s">
        <v>274</v>
      </c>
      <c r="I17" s="2" t="s">
        <v>9</v>
      </c>
      <c r="J17" s="2"/>
      <c r="K17" s="5">
        <v>6.25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4.5999999999999996</v>
      </c>
      <c r="F18" s="20">
        <f t="shared" si="1"/>
        <v>0</v>
      </c>
      <c r="G18" s="2">
        <v>52</v>
      </c>
      <c r="H18" s="4" t="s">
        <v>275</v>
      </c>
      <c r="I18" s="2" t="s">
        <v>9</v>
      </c>
      <c r="J18" s="2"/>
      <c r="K18" s="5">
        <v>6.1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5.0999999999999996</v>
      </c>
      <c r="F19" s="20">
        <f t="shared" si="1"/>
        <v>0</v>
      </c>
      <c r="G19" s="2">
        <v>53</v>
      </c>
      <c r="H19" s="4" t="s">
        <v>276</v>
      </c>
      <c r="I19" s="2" t="s">
        <v>9</v>
      </c>
      <c r="J19" s="2"/>
      <c r="K19" s="5">
        <v>7.5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2.2999999999999998</v>
      </c>
      <c r="F20" s="20">
        <f t="shared" si="1"/>
        <v>0</v>
      </c>
      <c r="G20" s="2">
        <v>54</v>
      </c>
      <c r="H20" s="4" t="s">
        <v>277</v>
      </c>
      <c r="I20" s="2" t="s">
        <v>9</v>
      </c>
      <c r="J20" s="2"/>
      <c r="K20" s="5">
        <v>8.5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1.25</v>
      </c>
      <c r="F21" s="20">
        <f t="shared" si="1"/>
        <v>0</v>
      </c>
      <c r="G21" s="2">
        <v>55</v>
      </c>
      <c r="H21" s="4" t="s">
        <v>106</v>
      </c>
      <c r="I21" s="2" t="s">
        <v>9</v>
      </c>
      <c r="J21" s="2"/>
      <c r="K21" s="5">
        <v>7.5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5.5</v>
      </c>
      <c r="F22" s="20">
        <f t="shared" si="1"/>
        <v>0</v>
      </c>
      <c r="G22" s="2">
        <v>56</v>
      </c>
      <c r="H22" s="4" t="s">
        <v>278</v>
      </c>
      <c r="I22" s="2" t="s">
        <v>9</v>
      </c>
      <c r="J22" s="2"/>
      <c r="K22" s="5">
        <v>2.1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6.25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4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5.9</v>
      </c>
      <c r="F24" s="20">
        <f t="shared" si="1"/>
        <v>0</v>
      </c>
      <c r="G24" s="2">
        <v>58</v>
      </c>
      <c r="H24" s="4" t="s">
        <v>279</v>
      </c>
      <c r="I24" s="2" t="s">
        <v>9</v>
      </c>
      <c r="J24" s="4"/>
      <c r="K24" s="2">
        <v>2.1</v>
      </c>
      <c r="L24" s="5">
        <f t="shared" si="0"/>
        <v>0</v>
      </c>
    </row>
    <row r="25" spans="1:12" ht="13.15" customHeight="1">
      <c r="A25" s="2">
        <v>21</v>
      </c>
      <c r="B25" s="4" t="s">
        <v>96</v>
      </c>
      <c r="C25" s="2" t="s">
        <v>9</v>
      </c>
      <c r="D25" s="2"/>
      <c r="E25" s="5">
        <v>6.6</v>
      </c>
      <c r="F25" s="20">
        <f t="shared" si="1"/>
        <v>0</v>
      </c>
      <c r="G25" s="2">
        <v>59</v>
      </c>
      <c r="H25" s="4" t="s">
        <v>280</v>
      </c>
      <c r="I25" s="2" t="s">
        <v>9</v>
      </c>
      <c r="J25" s="4"/>
      <c r="K25" s="2">
        <v>8.75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5.2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5.75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4.25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4"/>
      <c r="K27" s="2">
        <v>3.35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4.75</v>
      </c>
      <c r="F28" s="20">
        <f t="shared" si="1"/>
        <v>0</v>
      </c>
      <c r="G28" s="2">
        <v>62</v>
      </c>
      <c r="H28" s="4" t="s">
        <v>281</v>
      </c>
      <c r="I28" s="2" t="s">
        <v>9</v>
      </c>
      <c r="J28" s="4"/>
      <c r="K28" s="2">
        <v>4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5.5</v>
      </c>
      <c r="F29" s="20">
        <f t="shared" si="1"/>
        <v>0</v>
      </c>
      <c r="G29" s="2">
        <v>63</v>
      </c>
      <c r="H29" s="4" t="s">
        <v>140</v>
      </c>
      <c r="I29" s="2" t="s">
        <v>9</v>
      </c>
      <c r="J29" s="4"/>
      <c r="K29" s="2">
        <v>7.5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4.4000000000000004</v>
      </c>
      <c r="F30" s="5">
        <f t="shared" si="1"/>
        <v>0</v>
      </c>
      <c r="G30" s="2">
        <v>64</v>
      </c>
      <c r="H30" s="4" t="s">
        <v>282</v>
      </c>
      <c r="I30" s="2" t="s">
        <v>9</v>
      </c>
      <c r="J30" s="4"/>
      <c r="K30" s="2">
        <v>4.25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5.75</v>
      </c>
      <c r="F31" s="5">
        <f t="shared" si="1"/>
        <v>0</v>
      </c>
      <c r="G31" s="2">
        <v>65</v>
      </c>
      <c r="H31" s="4" t="s">
        <v>283</v>
      </c>
      <c r="I31" s="2" t="s">
        <v>9</v>
      </c>
      <c r="J31" s="4"/>
      <c r="K31" s="2">
        <v>3.4</v>
      </c>
      <c r="L31" s="5">
        <f t="shared" si="0"/>
        <v>0</v>
      </c>
    </row>
    <row r="32" spans="1:12" ht="13.15" customHeight="1">
      <c r="A32" s="2">
        <v>28</v>
      </c>
      <c r="B32" s="4" t="s">
        <v>104</v>
      </c>
      <c r="C32" s="2" t="s">
        <v>9</v>
      </c>
      <c r="D32" s="2"/>
      <c r="E32" s="5">
        <v>7.5</v>
      </c>
      <c r="F32" s="20">
        <f t="shared" si="1"/>
        <v>0</v>
      </c>
      <c r="G32" s="2">
        <v>66</v>
      </c>
      <c r="H32" s="4" t="s">
        <v>284</v>
      </c>
      <c r="I32" s="2" t="s">
        <v>9</v>
      </c>
      <c r="J32" s="4"/>
      <c r="K32" s="2">
        <v>5.75</v>
      </c>
      <c r="L32" s="5">
        <f t="shared" si="0"/>
        <v>0</v>
      </c>
    </row>
    <row r="33" spans="1:12" ht="13.15" customHeight="1">
      <c r="A33" s="2">
        <v>29</v>
      </c>
      <c r="B33" s="4" t="s">
        <v>285</v>
      </c>
      <c r="C33" s="2" t="s">
        <v>9</v>
      </c>
      <c r="D33" s="2"/>
      <c r="E33" s="5">
        <v>5.3</v>
      </c>
      <c r="F33" s="5">
        <f t="shared" si="1"/>
        <v>0</v>
      </c>
      <c r="G33" s="2">
        <v>67</v>
      </c>
      <c r="H33" s="4" t="s">
        <v>286</v>
      </c>
      <c r="I33" s="2" t="s">
        <v>9</v>
      </c>
      <c r="J33" s="4"/>
      <c r="K33" s="2">
        <v>2.2000000000000002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5.75</v>
      </c>
      <c r="F34" s="5">
        <f t="shared" si="1"/>
        <v>0</v>
      </c>
      <c r="G34" s="2">
        <v>68</v>
      </c>
      <c r="H34" s="4" t="s">
        <v>287</v>
      </c>
      <c r="I34" s="2" t="s">
        <v>9</v>
      </c>
      <c r="J34" s="4"/>
      <c r="K34" s="2">
        <v>3.4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5.3</v>
      </c>
      <c r="F35" s="20">
        <f t="shared" si="1"/>
        <v>0</v>
      </c>
      <c r="G35" s="2">
        <v>69</v>
      </c>
      <c r="H35" s="4" t="s">
        <v>288</v>
      </c>
      <c r="I35" s="2" t="s">
        <v>9</v>
      </c>
      <c r="J35" s="4"/>
      <c r="K35" s="2">
        <v>3.4</v>
      </c>
      <c r="L35" s="5">
        <f t="shared" si="0"/>
        <v>0</v>
      </c>
    </row>
    <row r="36" spans="1:12" ht="13.15" customHeight="1">
      <c r="A36" s="2">
        <v>32</v>
      </c>
      <c r="B36" s="4" t="s">
        <v>74</v>
      </c>
      <c r="C36" s="2" t="s">
        <v>9</v>
      </c>
      <c r="D36" s="2"/>
      <c r="E36" s="2">
        <v>2.2999999999999998</v>
      </c>
      <c r="F36" s="20">
        <f t="shared" si="1"/>
        <v>0</v>
      </c>
      <c r="G36" s="2">
        <v>70</v>
      </c>
      <c r="H36" s="4" t="s">
        <v>289</v>
      </c>
      <c r="I36" s="2" t="s">
        <v>9</v>
      </c>
      <c r="J36" s="4"/>
      <c r="K36" s="2">
        <v>34.25</v>
      </c>
      <c r="L36" s="5">
        <f t="shared" si="0"/>
        <v>0</v>
      </c>
    </row>
    <row r="37" spans="1:12" ht="13.15" customHeight="1">
      <c r="A37" s="2">
        <v>33</v>
      </c>
      <c r="B37" s="4" t="s">
        <v>76</v>
      </c>
      <c r="C37" s="2" t="s">
        <v>9</v>
      </c>
      <c r="D37" s="2"/>
      <c r="E37" s="2">
        <v>3.25</v>
      </c>
      <c r="F37" s="20">
        <f t="shared" si="1"/>
        <v>0</v>
      </c>
      <c r="G37" s="2">
        <v>71</v>
      </c>
      <c r="H37" s="4" t="s">
        <v>290</v>
      </c>
      <c r="I37" s="2" t="s">
        <v>9</v>
      </c>
      <c r="J37" s="4"/>
      <c r="K37" s="2">
        <v>3.75</v>
      </c>
      <c r="L37" s="5">
        <f t="shared" si="0"/>
        <v>0</v>
      </c>
    </row>
    <row r="38" spans="1:12" ht="13.15" customHeight="1">
      <c r="A38" s="2">
        <v>34</v>
      </c>
      <c r="B38" s="4" t="s">
        <v>78</v>
      </c>
      <c r="C38" s="2" t="s">
        <v>9</v>
      </c>
      <c r="D38" s="2"/>
      <c r="E38" s="2">
        <v>6.25</v>
      </c>
      <c r="F38" s="20">
        <f t="shared" si="1"/>
        <v>0</v>
      </c>
      <c r="G38" s="2">
        <v>72</v>
      </c>
      <c r="H38" s="4" t="s">
        <v>291</v>
      </c>
      <c r="I38" s="2" t="s">
        <v>9</v>
      </c>
      <c r="J38" s="4"/>
      <c r="K38" s="2">
        <v>6.25</v>
      </c>
      <c r="L38" s="5">
        <f t="shared" si="0"/>
        <v>0</v>
      </c>
    </row>
    <row r="39" spans="1:12" ht="13.15" customHeight="1">
      <c r="A39" s="2">
        <v>35</v>
      </c>
      <c r="B39" s="4" t="s">
        <v>80</v>
      </c>
      <c r="C39" s="2" t="s">
        <v>9</v>
      </c>
      <c r="D39" s="2"/>
      <c r="E39" s="2">
        <v>3.75</v>
      </c>
      <c r="F39" s="20">
        <f t="shared" si="1"/>
        <v>0</v>
      </c>
      <c r="G39" s="2">
        <v>73</v>
      </c>
      <c r="H39" s="4" t="s">
        <v>111</v>
      </c>
      <c r="I39" s="2" t="s">
        <v>9</v>
      </c>
      <c r="J39" s="4"/>
      <c r="K39" s="2">
        <v>3.2</v>
      </c>
      <c r="L39" s="5">
        <f t="shared" si="0"/>
        <v>0</v>
      </c>
    </row>
    <row r="40" spans="1:12" ht="13.15" customHeight="1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0</v>
      </c>
    </row>
    <row r="42" spans="1:12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>
  <dimension ref="A1:L42"/>
  <sheetViews>
    <sheetView topLeftCell="A22" workbookViewId="0">
      <selection activeCell="P11" sqref="P11"/>
    </sheetView>
  </sheetViews>
  <sheetFormatPr defaultRowHeight="13.15" customHeight="1"/>
  <cols>
    <col min="1" max="1" width="4.7109375" style="17" customWidth="1"/>
    <col min="2" max="2" width="23.7109375" customWidth="1"/>
    <col min="3" max="3" width="6.42578125" customWidth="1"/>
    <col min="4" max="4" width="8.140625" customWidth="1"/>
    <col min="5" max="5" width="8.42578125" customWidth="1"/>
    <col min="6" max="6" width="8.85546875" style="17"/>
    <col min="7" max="7" width="5.28515625" style="17" customWidth="1"/>
    <col min="8" max="8" width="24.5703125" customWidth="1"/>
    <col min="9" max="9" width="6.42578125" customWidth="1"/>
    <col min="10" max="10" width="7.42578125" customWidth="1"/>
    <col min="11" max="11" width="8.28515625" customWidth="1"/>
    <col min="12" max="12" width="8.28515625" style="17" customWidth="1"/>
  </cols>
  <sheetData>
    <row r="1" spans="1:12" ht="13.15" customHeight="1">
      <c r="A1" s="30" t="s">
        <v>262</v>
      </c>
      <c r="B1" s="30"/>
      <c r="C1" s="30"/>
      <c r="D1" s="36" t="s">
        <v>263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2.0499999999999998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6.35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1.9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4.45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7.5</v>
      </c>
      <c r="L6" s="5">
        <f t="shared" si="0"/>
        <v>0</v>
      </c>
    </row>
    <row r="7" spans="1:12" ht="13.15" customHeight="1">
      <c r="A7" s="2">
        <v>3</v>
      </c>
      <c r="B7" s="4" t="s">
        <v>264</v>
      </c>
      <c r="C7" s="2" t="s">
        <v>9</v>
      </c>
      <c r="D7" s="2"/>
      <c r="E7" s="5">
        <v>5.5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1.9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6.85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4.75</v>
      </c>
      <c r="F9" s="20">
        <f t="shared" si="1"/>
        <v>0</v>
      </c>
      <c r="G9" s="2">
        <v>43</v>
      </c>
      <c r="H9" s="4" t="s">
        <v>265</v>
      </c>
      <c r="I9" s="2" t="s">
        <v>9</v>
      </c>
      <c r="J9" s="2"/>
      <c r="K9" s="5">
        <v>3.4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5.5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266</v>
      </c>
      <c r="C11" s="2" t="s">
        <v>9</v>
      </c>
      <c r="D11" s="2"/>
      <c r="E11" s="5">
        <v>5.5</v>
      </c>
      <c r="F11" s="20">
        <f t="shared" si="1"/>
        <v>0</v>
      </c>
      <c r="G11" s="2">
        <v>45</v>
      </c>
      <c r="H11" s="4" t="s">
        <v>267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5.7</v>
      </c>
      <c r="F12" s="20">
        <f t="shared" si="1"/>
        <v>0</v>
      </c>
      <c r="G12" s="2">
        <v>46</v>
      </c>
      <c r="H12" s="4" t="s">
        <v>268</v>
      </c>
      <c r="I12" s="2" t="s">
        <v>9</v>
      </c>
      <c r="J12" s="2"/>
      <c r="K12" s="5">
        <v>2.35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5.8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5.65</v>
      </c>
      <c r="F14" s="20">
        <f t="shared" si="1"/>
        <v>0</v>
      </c>
      <c r="G14" s="2">
        <v>48</v>
      </c>
      <c r="H14" s="4" t="s">
        <v>269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128</v>
      </c>
      <c r="C15" s="2" t="s">
        <v>9</v>
      </c>
      <c r="D15" s="2"/>
      <c r="E15" s="5">
        <v>6.3</v>
      </c>
      <c r="F15" s="20">
        <f t="shared" si="1"/>
        <v>0</v>
      </c>
      <c r="G15" s="2">
        <v>49</v>
      </c>
      <c r="H15" s="4" t="s">
        <v>270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271</v>
      </c>
      <c r="C16" s="2" t="s">
        <v>9</v>
      </c>
      <c r="D16" s="2"/>
      <c r="E16" s="5">
        <v>5.8</v>
      </c>
      <c r="F16" s="20">
        <f t="shared" si="1"/>
        <v>0</v>
      </c>
      <c r="G16" s="2">
        <v>50</v>
      </c>
      <c r="H16" s="4" t="s">
        <v>272</v>
      </c>
      <c r="I16" s="2" t="s">
        <v>9</v>
      </c>
      <c r="J16" s="2"/>
      <c r="K16" s="5">
        <v>7.75</v>
      </c>
      <c r="L16" s="5">
        <f t="shared" si="0"/>
        <v>0</v>
      </c>
    </row>
    <row r="17" spans="1:12" ht="13.15" customHeight="1">
      <c r="A17" s="2">
        <v>13</v>
      </c>
      <c r="B17" s="4" t="s">
        <v>273</v>
      </c>
      <c r="C17" s="2" t="s">
        <v>9</v>
      </c>
      <c r="D17" s="2"/>
      <c r="E17" s="5">
        <v>6.3</v>
      </c>
      <c r="F17" s="20">
        <f t="shared" si="1"/>
        <v>0</v>
      </c>
      <c r="G17" s="2">
        <v>51</v>
      </c>
      <c r="H17" s="4" t="s">
        <v>274</v>
      </c>
      <c r="I17" s="2" t="s">
        <v>9</v>
      </c>
      <c r="J17" s="2"/>
      <c r="K17" s="5">
        <v>6.25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4.5999999999999996</v>
      </c>
      <c r="F18" s="20">
        <f t="shared" si="1"/>
        <v>0</v>
      </c>
      <c r="G18" s="2">
        <v>52</v>
      </c>
      <c r="H18" s="4" t="s">
        <v>275</v>
      </c>
      <c r="I18" s="2" t="s">
        <v>9</v>
      </c>
      <c r="J18" s="2"/>
      <c r="K18" s="5">
        <v>6.1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5.0999999999999996</v>
      </c>
      <c r="F19" s="20">
        <f t="shared" si="1"/>
        <v>0</v>
      </c>
      <c r="G19" s="2">
        <v>53</v>
      </c>
      <c r="H19" s="4" t="s">
        <v>276</v>
      </c>
      <c r="I19" s="2" t="s">
        <v>9</v>
      </c>
      <c r="J19" s="2"/>
      <c r="K19" s="5">
        <v>7.5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2.2999999999999998</v>
      </c>
      <c r="F20" s="20">
        <f t="shared" si="1"/>
        <v>0</v>
      </c>
      <c r="G20" s="2">
        <v>54</v>
      </c>
      <c r="H20" s="4" t="s">
        <v>277</v>
      </c>
      <c r="I20" s="2" t="s">
        <v>9</v>
      </c>
      <c r="J20" s="2"/>
      <c r="K20" s="5">
        <v>8.5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1.25</v>
      </c>
      <c r="F21" s="20">
        <f t="shared" si="1"/>
        <v>0</v>
      </c>
      <c r="G21" s="2">
        <v>55</v>
      </c>
      <c r="H21" s="4" t="s">
        <v>106</v>
      </c>
      <c r="I21" s="2" t="s">
        <v>9</v>
      </c>
      <c r="J21" s="2"/>
      <c r="K21" s="5">
        <v>7.5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5.5</v>
      </c>
      <c r="F22" s="20">
        <f t="shared" si="1"/>
        <v>0</v>
      </c>
      <c r="G22" s="2">
        <v>56</v>
      </c>
      <c r="H22" s="4" t="s">
        <v>278</v>
      </c>
      <c r="I22" s="2" t="s">
        <v>9</v>
      </c>
      <c r="J22" s="2"/>
      <c r="K22" s="5">
        <v>2.1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6.25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4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5.9</v>
      </c>
      <c r="F24" s="20">
        <f t="shared" si="1"/>
        <v>0</v>
      </c>
      <c r="G24" s="2">
        <v>58</v>
      </c>
      <c r="H24" s="4" t="s">
        <v>279</v>
      </c>
      <c r="I24" s="2" t="s">
        <v>9</v>
      </c>
      <c r="J24" s="4"/>
      <c r="K24" s="2">
        <v>2.1</v>
      </c>
      <c r="L24" s="5">
        <f t="shared" si="0"/>
        <v>0</v>
      </c>
    </row>
    <row r="25" spans="1:12" ht="13.15" customHeight="1">
      <c r="A25" s="2">
        <v>21</v>
      </c>
      <c r="B25" s="4" t="s">
        <v>96</v>
      </c>
      <c r="C25" s="2" t="s">
        <v>9</v>
      </c>
      <c r="D25" s="2"/>
      <c r="E25" s="5">
        <v>6.6</v>
      </c>
      <c r="F25" s="20">
        <f t="shared" si="1"/>
        <v>0</v>
      </c>
      <c r="G25" s="2">
        <v>59</v>
      </c>
      <c r="H25" s="4" t="s">
        <v>280</v>
      </c>
      <c r="I25" s="2" t="s">
        <v>9</v>
      </c>
      <c r="J25" s="4"/>
      <c r="K25" s="2">
        <v>8.75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5.2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5.75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4.25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4"/>
      <c r="K27" s="2">
        <v>3.35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4.75</v>
      </c>
      <c r="F28" s="20">
        <f t="shared" si="1"/>
        <v>0</v>
      </c>
      <c r="G28" s="2">
        <v>62</v>
      </c>
      <c r="H28" s="4" t="s">
        <v>281</v>
      </c>
      <c r="I28" s="2" t="s">
        <v>9</v>
      </c>
      <c r="J28" s="4"/>
      <c r="K28" s="2">
        <v>4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5.5</v>
      </c>
      <c r="F29" s="20">
        <f t="shared" si="1"/>
        <v>0</v>
      </c>
      <c r="G29" s="2">
        <v>63</v>
      </c>
      <c r="H29" s="4" t="s">
        <v>140</v>
      </c>
      <c r="I29" s="2" t="s">
        <v>9</v>
      </c>
      <c r="J29" s="4"/>
      <c r="K29" s="2">
        <v>7.5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4.4000000000000004</v>
      </c>
      <c r="F30" s="5">
        <f t="shared" si="1"/>
        <v>0</v>
      </c>
      <c r="G30" s="2">
        <v>64</v>
      </c>
      <c r="H30" s="4" t="s">
        <v>282</v>
      </c>
      <c r="I30" s="2" t="s">
        <v>9</v>
      </c>
      <c r="J30" s="4"/>
      <c r="K30" s="2">
        <v>4.25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5.75</v>
      </c>
      <c r="F31" s="5">
        <f t="shared" si="1"/>
        <v>0</v>
      </c>
      <c r="G31" s="2">
        <v>65</v>
      </c>
      <c r="H31" s="4" t="s">
        <v>283</v>
      </c>
      <c r="I31" s="2" t="s">
        <v>9</v>
      </c>
      <c r="J31" s="4"/>
      <c r="K31" s="2">
        <v>3.4</v>
      </c>
      <c r="L31" s="5">
        <f t="shared" si="0"/>
        <v>0</v>
      </c>
    </row>
    <row r="32" spans="1:12" ht="13.15" customHeight="1">
      <c r="A32" s="2">
        <v>28</v>
      </c>
      <c r="B32" s="4" t="s">
        <v>104</v>
      </c>
      <c r="C32" s="2" t="s">
        <v>9</v>
      </c>
      <c r="D32" s="2"/>
      <c r="E32" s="5">
        <v>7.5</v>
      </c>
      <c r="F32" s="20">
        <f t="shared" si="1"/>
        <v>0</v>
      </c>
      <c r="G32" s="2">
        <v>66</v>
      </c>
      <c r="H32" s="4" t="s">
        <v>284</v>
      </c>
      <c r="I32" s="2" t="s">
        <v>9</v>
      </c>
      <c r="J32" s="4"/>
      <c r="K32" s="2">
        <v>5.75</v>
      </c>
      <c r="L32" s="5">
        <f t="shared" si="0"/>
        <v>0</v>
      </c>
    </row>
    <row r="33" spans="1:12" ht="13.15" customHeight="1">
      <c r="A33" s="2">
        <v>29</v>
      </c>
      <c r="B33" s="4" t="s">
        <v>285</v>
      </c>
      <c r="C33" s="2" t="s">
        <v>9</v>
      </c>
      <c r="D33" s="2"/>
      <c r="E33" s="5">
        <v>5.3</v>
      </c>
      <c r="F33" s="5">
        <f t="shared" si="1"/>
        <v>0</v>
      </c>
      <c r="G33" s="2">
        <v>67</v>
      </c>
      <c r="H33" s="4" t="s">
        <v>286</v>
      </c>
      <c r="I33" s="2" t="s">
        <v>9</v>
      </c>
      <c r="J33" s="4"/>
      <c r="K33" s="2">
        <v>2.2000000000000002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5.75</v>
      </c>
      <c r="F34" s="5">
        <f t="shared" si="1"/>
        <v>0</v>
      </c>
      <c r="G34" s="2">
        <v>68</v>
      </c>
      <c r="H34" s="4" t="s">
        <v>287</v>
      </c>
      <c r="I34" s="2" t="s">
        <v>9</v>
      </c>
      <c r="J34" s="4"/>
      <c r="K34" s="2">
        <v>3.4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5.3</v>
      </c>
      <c r="F35" s="20">
        <f t="shared" si="1"/>
        <v>0</v>
      </c>
      <c r="G35" s="2">
        <v>69</v>
      </c>
      <c r="H35" s="4" t="s">
        <v>288</v>
      </c>
      <c r="I35" s="2" t="s">
        <v>9</v>
      </c>
      <c r="J35" s="4"/>
      <c r="K35" s="2">
        <v>3.4</v>
      </c>
      <c r="L35" s="5">
        <f t="shared" si="0"/>
        <v>0</v>
      </c>
    </row>
    <row r="36" spans="1:12" ht="13.15" customHeight="1">
      <c r="A36" s="2">
        <v>32</v>
      </c>
      <c r="B36" s="4" t="s">
        <v>74</v>
      </c>
      <c r="C36" s="2" t="s">
        <v>9</v>
      </c>
      <c r="D36" s="2"/>
      <c r="E36" s="2">
        <v>2.2999999999999998</v>
      </c>
      <c r="F36" s="20">
        <f t="shared" si="1"/>
        <v>0</v>
      </c>
      <c r="G36" s="2">
        <v>70</v>
      </c>
      <c r="H36" s="4" t="s">
        <v>289</v>
      </c>
      <c r="I36" s="2" t="s">
        <v>9</v>
      </c>
      <c r="J36" s="4"/>
      <c r="K36" s="2">
        <v>34.25</v>
      </c>
      <c r="L36" s="5">
        <f t="shared" si="0"/>
        <v>0</v>
      </c>
    </row>
    <row r="37" spans="1:12" ht="13.15" customHeight="1">
      <c r="A37" s="2">
        <v>33</v>
      </c>
      <c r="B37" s="4" t="s">
        <v>76</v>
      </c>
      <c r="C37" s="2" t="s">
        <v>9</v>
      </c>
      <c r="D37" s="2"/>
      <c r="E37" s="2">
        <v>3.25</v>
      </c>
      <c r="F37" s="20">
        <f t="shared" si="1"/>
        <v>0</v>
      </c>
      <c r="G37" s="2">
        <v>71</v>
      </c>
      <c r="H37" s="4" t="s">
        <v>290</v>
      </c>
      <c r="I37" s="2" t="s">
        <v>9</v>
      </c>
      <c r="J37" s="4"/>
      <c r="K37" s="2">
        <v>3.75</v>
      </c>
      <c r="L37" s="5">
        <f t="shared" si="0"/>
        <v>0</v>
      </c>
    </row>
    <row r="38" spans="1:12" ht="13.15" customHeight="1">
      <c r="A38" s="2">
        <v>34</v>
      </c>
      <c r="B38" s="4" t="s">
        <v>78</v>
      </c>
      <c r="C38" s="2" t="s">
        <v>9</v>
      </c>
      <c r="D38" s="2"/>
      <c r="E38" s="2">
        <v>6.25</v>
      </c>
      <c r="F38" s="20">
        <f t="shared" si="1"/>
        <v>0</v>
      </c>
      <c r="G38" s="2">
        <v>72</v>
      </c>
      <c r="H38" s="4" t="s">
        <v>291</v>
      </c>
      <c r="I38" s="2" t="s">
        <v>9</v>
      </c>
      <c r="J38" s="4"/>
      <c r="K38" s="2">
        <v>6.25</v>
      </c>
      <c r="L38" s="5">
        <f t="shared" si="0"/>
        <v>0</v>
      </c>
    </row>
    <row r="39" spans="1:12" ht="13.15" customHeight="1">
      <c r="A39" s="2">
        <v>35</v>
      </c>
      <c r="B39" s="4" t="s">
        <v>80</v>
      </c>
      <c r="C39" s="2" t="s">
        <v>9</v>
      </c>
      <c r="D39" s="2"/>
      <c r="E39" s="2">
        <v>3.75</v>
      </c>
      <c r="F39" s="20">
        <f t="shared" si="1"/>
        <v>0</v>
      </c>
      <c r="G39" s="2">
        <v>73</v>
      </c>
      <c r="H39" s="4" t="s">
        <v>111</v>
      </c>
      <c r="I39" s="2" t="s">
        <v>9</v>
      </c>
      <c r="J39" s="4"/>
      <c r="K39" s="2">
        <v>3.2</v>
      </c>
      <c r="L39" s="5">
        <f t="shared" si="0"/>
        <v>0</v>
      </c>
    </row>
    <row r="40" spans="1:12" ht="13.15" customHeight="1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0</v>
      </c>
    </row>
    <row r="42" spans="1:12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>
  <dimension ref="A1:L42"/>
  <sheetViews>
    <sheetView topLeftCell="A22" workbookViewId="0">
      <selection activeCell="D31" sqref="D31"/>
    </sheetView>
  </sheetViews>
  <sheetFormatPr defaultRowHeight="13.15" customHeight="1"/>
  <cols>
    <col min="1" max="1" width="4.7109375" style="17" customWidth="1"/>
    <col min="2" max="2" width="23.7109375" customWidth="1"/>
    <col min="3" max="3" width="6.42578125" customWidth="1"/>
    <col min="4" max="4" width="8.140625" customWidth="1"/>
    <col min="5" max="5" width="8.42578125" customWidth="1"/>
    <col min="6" max="6" width="8.85546875" style="17"/>
    <col min="7" max="7" width="5.28515625" style="17" customWidth="1"/>
    <col min="8" max="8" width="24.5703125" customWidth="1"/>
    <col min="9" max="9" width="6.42578125" customWidth="1"/>
    <col min="10" max="10" width="7.42578125" customWidth="1"/>
    <col min="11" max="11" width="8.28515625" customWidth="1"/>
    <col min="12" max="12" width="8.28515625" style="17" customWidth="1"/>
  </cols>
  <sheetData>
    <row r="1" spans="1:12" ht="13.15" customHeight="1">
      <c r="A1" s="30" t="s">
        <v>262</v>
      </c>
      <c r="B1" s="30"/>
      <c r="C1" s="30"/>
      <c r="D1" s="36" t="s">
        <v>263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2.0499999999999998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6.35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1.9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4.45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7.5</v>
      </c>
      <c r="L6" s="5">
        <f t="shared" si="0"/>
        <v>0</v>
      </c>
    </row>
    <row r="7" spans="1:12" ht="13.15" customHeight="1">
      <c r="A7" s="2">
        <v>3</v>
      </c>
      <c r="B7" s="4" t="s">
        <v>264</v>
      </c>
      <c r="C7" s="2" t="s">
        <v>9</v>
      </c>
      <c r="D7" s="2"/>
      <c r="E7" s="5">
        <v>5.5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1.9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6.85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4.75</v>
      </c>
      <c r="F9" s="20">
        <f t="shared" si="1"/>
        <v>0</v>
      </c>
      <c r="G9" s="2">
        <v>43</v>
      </c>
      <c r="H9" s="4" t="s">
        <v>265</v>
      </c>
      <c r="I9" s="2" t="s">
        <v>9</v>
      </c>
      <c r="J9" s="2"/>
      <c r="K9" s="5">
        <v>3.4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5.5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266</v>
      </c>
      <c r="C11" s="2" t="s">
        <v>9</v>
      </c>
      <c r="D11" s="2"/>
      <c r="E11" s="5">
        <v>5.5</v>
      </c>
      <c r="F11" s="20">
        <f t="shared" si="1"/>
        <v>0</v>
      </c>
      <c r="G11" s="2">
        <v>45</v>
      </c>
      <c r="H11" s="4" t="s">
        <v>267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5.7</v>
      </c>
      <c r="F12" s="20">
        <f t="shared" si="1"/>
        <v>0</v>
      </c>
      <c r="G12" s="2">
        <v>46</v>
      </c>
      <c r="H12" s="4" t="s">
        <v>268</v>
      </c>
      <c r="I12" s="2" t="s">
        <v>9</v>
      </c>
      <c r="J12" s="2"/>
      <c r="K12" s="5">
        <v>2.35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5.8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5.65</v>
      </c>
      <c r="F14" s="20">
        <f t="shared" si="1"/>
        <v>0</v>
      </c>
      <c r="G14" s="2">
        <v>48</v>
      </c>
      <c r="H14" s="4" t="s">
        <v>269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128</v>
      </c>
      <c r="C15" s="2" t="s">
        <v>9</v>
      </c>
      <c r="D15" s="2"/>
      <c r="E15" s="5">
        <v>6.3</v>
      </c>
      <c r="F15" s="20">
        <f t="shared" si="1"/>
        <v>0</v>
      </c>
      <c r="G15" s="2">
        <v>49</v>
      </c>
      <c r="H15" s="4" t="s">
        <v>270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271</v>
      </c>
      <c r="C16" s="2" t="s">
        <v>9</v>
      </c>
      <c r="D16" s="2"/>
      <c r="E16" s="5">
        <v>5.8</v>
      </c>
      <c r="F16" s="20">
        <f t="shared" si="1"/>
        <v>0</v>
      </c>
      <c r="G16" s="2">
        <v>50</v>
      </c>
      <c r="H16" s="4" t="s">
        <v>272</v>
      </c>
      <c r="I16" s="2" t="s">
        <v>9</v>
      </c>
      <c r="J16" s="2"/>
      <c r="K16" s="5">
        <v>7.75</v>
      </c>
      <c r="L16" s="5">
        <f t="shared" si="0"/>
        <v>0</v>
      </c>
    </row>
    <row r="17" spans="1:12" ht="13.15" customHeight="1">
      <c r="A17" s="2">
        <v>13</v>
      </c>
      <c r="B17" s="4" t="s">
        <v>273</v>
      </c>
      <c r="C17" s="2" t="s">
        <v>9</v>
      </c>
      <c r="D17" s="2"/>
      <c r="E17" s="5">
        <v>6.3</v>
      </c>
      <c r="F17" s="20">
        <f t="shared" si="1"/>
        <v>0</v>
      </c>
      <c r="G17" s="2">
        <v>51</v>
      </c>
      <c r="H17" s="4" t="s">
        <v>274</v>
      </c>
      <c r="I17" s="2" t="s">
        <v>9</v>
      </c>
      <c r="J17" s="2"/>
      <c r="K17" s="5">
        <v>6.25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4.5999999999999996</v>
      </c>
      <c r="F18" s="20">
        <f t="shared" si="1"/>
        <v>0</v>
      </c>
      <c r="G18" s="2">
        <v>52</v>
      </c>
      <c r="H18" s="4" t="s">
        <v>275</v>
      </c>
      <c r="I18" s="2" t="s">
        <v>9</v>
      </c>
      <c r="J18" s="2"/>
      <c r="K18" s="5">
        <v>6.1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5.0999999999999996</v>
      </c>
      <c r="F19" s="20">
        <f t="shared" si="1"/>
        <v>0</v>
      </c>
      <c r="G19" s="2">
        <v>53</v>
      </c>
      <c r="H19" s="4" t="s">
        <v>276</v>
      </c>
      <c r="I19" s="2" t="s">
        <v>9</v>
      </c>
      <c r="J19" s="2"/>
      <c r="K19" s="5">
        <v>7.5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2.2999999999999998</v>
      </c>
      <c r="F20" s="20">
        <f t="shared" si="1"/>
        <v>0</v>
      </c>
      <c r="G20" s="2">
        <v>54</v>
      </c>
      <c r="H20" s="4" t="s">
        <v>277</v>
      </c>
      <c r="I20" s="2" t="s">
        <v>9</v>
      </c>
      <c r="J20" s="2"/>
      <c r="K20" s="5">
        <v>8.5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1.25</v>
      </c>
      <c r="F21" s="20">
        <f t="shared" si="1"/>
        <v>0</v>
      </c>
      <c r="G21" s="2">
        <v>55</v>
      </c>
      <c r="H21" s="4" t="s">
        <v>106</v>
      </c>
      <c r="I21" s="2" t="s">
        <v>9</v>
      </c>
      <c r="J21" s="2"/>
      <c r="K21" s="5">
        <v>7.5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5.5</v>
      </c>
      <c r="F22" s="20">
        <f t="shared" si="1"/>
        <v>0</v>
      </c>
      <c r="G22" s="2">
        <v>56</v>
      </c>
      <c r="H22" s="4" t="s">
        <v>278</v>
      </c>
      <c r="I22" s="2" t="s">
        <v>9</v>
      </c>
      <c r="J22" s="2"/>
      <c r="K22" s="5">
        <v>2.1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6.25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4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5.9</v>
      </c>
      <c r="F24" s="20">
        <f t="shared" si="1"/>
        <v>0</v>
      </c>
      <c r="G24" s="2">
        <v>58</v>
      </c>
      <c r="H24" s="4" t="s">
        <v>279</v>
      </c>
      <c r="I24" s="2" t="s">
        <v>9</v>
      </c>
      <c r="J24" s="4"/>
      <c r="K24" s="2">
        <v>2.1</v>
      </c>
      <c r="L24" s="5">
        <f t="shared" si="0"/>
        <v>0</v>
      </c>
    </row>
    <row r="25" spans="1:12" ht="13.15" customHeight="1">
      <c r="A25" s="2">
        <v>21</v>
      </c>
      <c r="B25" s="4" t="s">
        <v>96</v>
      </c>
      <c r="C25" s="2" t="s">
        <v>9</v>
      </c>
      <c r="D25" s="2"/>
      <c r="E25" s="5">
        <v>6.6</v>
      </c>
      <c r="F25" s="20">
        <f t="shared" si="1"/>
        <v>0</v>
      </c>
      <c r="G25" s="2">
        <v>59</v>
      </c>
      <c r="H25" s="4" t="s">
        <v>280</v>
      </c>
      <c r="I25" s="2" t="s">
        <v>9</v>
      </c>
      <c r="J25" s="4"/>
      <c r="K25" s="2">
        <v>8.75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5.2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5.75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4.25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4"/>
      <c r="K27" s="2">
        <v>3.35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4.75</v>
      </c>
      <c r="F28" s="20">
        <f t="shared" si="1"/>
        <v>0</v>
      </c>
      <c r="G28" s="2">
        <v>62</v>
      </c>
      <c r="H28" s="4" t="s">
        <v>281</v>
      </c>
      <c r="I28" s="2" t="s">
        <v>9</v>
      </c>
      <c r="J28" s="4"/>
      <c r="K28" s="2">
        <v>4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5.5</v>
      </c>
      <c r="F29" s="20">
        <f t="shared" si="1"/>
        <v>0</v>
      </c>
      <c r="G29" s="2">
        <v>63</v>
      </c>
      <c r="H29" s="4" t="s">
        <v>140</v>
      </c>
      <c r="I29" s="2" t="s">
        <v>9</v>
      </c>
      <c r="J29" s="4"/>
      <c r="K29" s="2">
        <v>7.5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>
        <v>45</v>
      </c>
      <c r="E30" s="5">
        <v>4.4000000000000004</v>
      </c>
      <c r="F30" s="5">
        <f t="shared" si="1"/>
        <v>198.00000000000003</v>
      </c>
      <c r="G30" s="2">
        <v>64</v>
      </c>
      <c r="H30" s="4" t="s">
        <v>282</v>
      </c>
      <c r="I30" s="2" t="s">
        <v>9</v>
      </c>
      <c r="J30" s="4"/>
      <c r="K30" s="2">
        <v>4.25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5.75</v>
      </c>
      <c r="F31" s="5">
        <f t="shared" si="1"/>
        <v>0</v>
      </c>
      <c r="G31" s="2">
        <v>65</v>
      </c>
      <c r="H31" s="4" t="s">
        <v>283</v>
      </c>
      <c r="I31" s="2" t="s">
        <v>9</v>
      </c>
      <c r="J31" s="4"/>
      <c r="K31" s="2">
        <v>3.4</v>
      </c>
      <c r="L31" s="5">
        <f t="shared" si="0"/>
        <v>0</v>
      </c>
    </row>
    <row r="32" spans="1:12" ht="13.15" customHeight="1">
      <c r="A32" s="2">
        <v>28</v>
      </c>
      <c r="B32" s="4" t="s">
        <v>104</v>
      </c>
      <c r="C32" s="2" t="s">
        <v>9</v>
      </c>
      <c r="D32" s="2"/>
      <c r="E32" s="5">
        <v>7.5</v>
      </c>
      <c r="F32" s="20">
        <f t="shared" si="1"/>
        <v>0</v>
      </c>
      <c r="G32" s="2">
        <v>66</v>
      </c>
      <c r="H32" s="4" t="s">
        <v>284</v>
      </c>
      <c r="I32" s="2" t="s">
        <v>9</v>
      </c>
      <c r="J32" s="4"/>
      <c r="K32" s="2">
        <v>5.75</v>
      </c>
      <c r="L32" s="5">
        <f t="shared" si="0"/>
        <v>0</v>
      </c>
    </row>
    <row r="33" spans="1:12" ht="13.15" customHeight="1">
      <c r="A33" s="2">
        <v>29</v>
      </c>
      <c r="B33" s="4" t="s">
        <v>285</v>
      </c>
      <c r="C33" s="2" t="s">
        <v>9</v>
      </c>
      <c r="D33" s="2"/>
      <c r="E33" s="5">
        <v>5.3</v>
      </c>
      <c r="F33" s="5">
        <f t="shared" si="1"/>
        <v>0</v>
      </c>
      <c r="G33" s="2">
        <v>67</v>
      </c>
      <c r="H33" s="4" t="s">
        <v>286</v>
      </c>
      <c r="I33" s="2" t="s">
        <v>9</v>
      </c>
      <c r="J33" s="4"/>
      <c r="K33" s="2">
        <v>2.2000000000000002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5.75</v>
      </c>
      <c r="F34" s="5">
        <f t="shared" si="1"/>
        <v>0</v>
      </c>
      <c r="G34" s="2">
        <v>68</v>
      </c>
      <c r="H34" s="4" t="s">
        <v>287</v>
      </c>
      <c r="I34" s="2" t="s">
        <v>9</v>
      </c>
      <c r="J34" s="4"/>
      <c r="K34" s="2">
        <v>3.4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5.3</v>
      </c>
      <c r="F35" s="20">
        <f t="shared" si="1"/>
        <v>0</v>
      </c>
      <c r="G35" s="2">
        <v>69</v>
      </c>
      <c r="H35" s="4" t="s">
        <v>288</v>
      </c>
      <c r="I35" s="2" t="s">
        <v>9</v>
      </c>
      <c r="J35" s="4"/>
      <c r="K35" s="2">
        <v>3.4</v>
      </c>
      <c r="L35" s="5">
        <f t="shared" si="0"/>
        <v>0</v>
      </c>
    </row>
    <row r="36" spans="1:12" ht="13.15" customHeight="1">
      <c r="A36" s="2">
        <v>32</v>
      </c>
      <c r="B36" s="4" t="s">
        <v>74</v>
      </c>
      <c r="C36" s="2" t="s">
        <v>9</v>
      </c>
      <c r="D36" s="2"/>
      <c r="E36" s="2">
        <v>2.2999999999999998</v>
      </c>
      <c r="F36" s="20">
        <f t="shared" si="1"/>
        <v>0</v>
      </c>
      <c r="G36" s="2">
        <v>70</v>
      </c>
      <c r="H36" s="4" t="s">
        <v>289</v>
      </c>
      <c r="I36" s="2" t="s">
        <v>9</v>
      </c>
      <c r="J36" s="4"/>
      <c r="K36" s="2">
        <v>34.25</v>
      </c>
      <c r="L36" s="5">
        <f t="shared" si="0"/>
        <v>0</v>
      </c>
    </row>
    <row r="37" spans="1:12" ht="13.15" customHeight="1">
      <c r="A37" s="2">
        <v>33</v>
      </c>
      <c r="B37" s="4" t="s">
        <v>76</v>
      </c>
      <c r="C37" s="2" t="s">
        <v>9</v>
      </c>
      <c r="D37" s="2"/>
      <c r="E37" s="2">
        <v>3.25</v>
      </c>
      <c r="F37" s="20">
        <f t="shared" si="1"/>
        <v>0</v>
      </c>
      <c r="G37" s="2">
        <v>71</v>
      </c>
      <c r="H37" s="4" t="s">
        <v>290</v>
      </c>
      <c r="I37" s="2" t="s">
        <v>9</v>
      </c>
      <c r="J37" s="4"/>
      <c r="K37" s="2">
        <v>3.75</v>
      </c>
      <c r="L37" s="5">
        <f t="shared" si="0"/>
        <v>0</v>
      </c>
    </row>
    <row r="38" spans="1:12" ht="13.15" customHeight="1">
      <c r="A38" s="2">
        <v>34</v>
      </c>
      <c r="B38" s="4" t="s">
        <v>78</v>
      </c>
      <c r="C38" s="2" t="s">
        <v>9</v>
      </c>
      <c r="D38" s="2"/>
      <c r="E38" s="2">
        <v>6.25</v>
      </c>
      <c r="F38" s="20">
        <f t="shared" si="1"/>
        <v>0</v>
      </c>
      <c r="G38" s="2">
        <v>72</v>
      </c>
      <c r="H38" s="4" t="s">
        <v>291</v>
      </c>
      <c r="I38" s="2" t="s">
        <v>9</v>
      </c>
      <c r="J38" s="4"/>
      <c r="K38" s="2">
        <v>6.25</v>
      </c>
      <c r="L38" s="5">
        <f t="shared" si="0"/>
        <v>0</v>
      </c>
    </row>
    <row r="39" spans="1:12" ht="13.15" customHeight="1">
      <c r="A39" s="2">
        <v>35</v>
      </c>
      <c r="B39" s="4" t="s">
        <v>80</v>
      </c>
      <c r="C39" s="2" t="s">
        <v>9</v>
      </c>
      <c r="D39" s="2"/>
      <c r="E39" s="2">
        <v>3.75</v>
      </c>
      <c r="F39" s="20">
        <f t="shared" si="1"/>
        <v>0</v>
      </c>
      <c r="G39" s="2">
        <v>73</v>
      </c>
      <c r="H39" s="4" t="s">
        <v>111</v>
      </c>
      <c r="I39" s="2" t="s">
        <v>9</v>
      </c>
      <c r="J39" s="4"/>
      <c r="K39" s="2">
        <v>3.2</v>
      </c>
      <c r="L39" s="5">
        <f t="shared" si="0"/>
        <v>0</v>
      </c>
    </row>
    <row r="40" spans="1:12" ht="13.15" customHeight="1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198.00000000000003</v>
      </c>
    </row>
    <row r="42" spans="1:12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>
  <dimension ref="A1:L42"/>
  <sheetViews>
    <sheetView tabSelected="1" workbookViewId="0">
      <selection activeCell="P11" sqref="P11"/>
    </sheetView>
  </sheetViews>
  <sheetFormatPr defaultRowHeight="13.15" customHeight="1"/>
  <cols>
    <col min="1" max="1" width="4.7109375" style="17" customWidth="1"/>
    <col min="2" max="2" width="23.7109375" customWidth="1"/>
    <col min="3" max="3" width="6.42578125" customWidth="1"/>
    <col min="4" max="4" width="8.140625" customWidth="1"/>
    <col min="5" max="5" width="8.42578125" customWidth="1"/>
    <col min="6" max="6" width="8.85546875" style="17"/>
    <col min="7" max="7" width="5.28515625" style="17" customWidth="1"/>
    <col min="8" max="8" width="24.5703125" customWidth="1"/>
    <col min="9" max="9" width="6.42578125" customWidth="1"/>
    <col min="10" max="10" width="7.42578125" customWidth="1"/>
    <col min="11" max="11" width="8.28515625" customWidth="1"/>
    <col min="12" max="12" width="8.28515625" style="17" customWidth="1"/>
  </cols>
  <sheetData>
    <row r="1" spans="1:12" ht="13.15" customHeight="1">
      <c r="A1" s="30" t="s">
        <v>262</v>
      </c>
      <c r="B1" s="30"/>
      <c r="C1" s="30"/>
      <c r="D1" s="36" t="s">
        <v>263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2.0499999999999998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6.35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1.9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4.45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7.5</v>
      </c>
      <c r="L6" s="5">
        <f t="shared" si="0"/>
        <v>0</v>
      </c>
    </row>
    <row r="7" spans="1:12" ht="13.15" customHeight="1">
      <c r="A7" s="2">
        <v>3</v>
      </c>
      <c r="B7" s="4" t="s">
        <v>264</v>
      </c>
      <c r="C7" s="2" t="s">
        <v>9</v>
      </c>
      <c r="D7" s="2"/>
      <c r="E7" s="5">
        <v>5.5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1.9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6.85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4.75</v>
      </c>
      <c r="F9" s="20">
        <f t="shared" si="1"/>
        <v>0</v>
      </c>
      <c r="G9" s="2">
        <v>43</v>
      </c>
      <c r="H9" s="4" t="s">
        <v>265</v>
      </c>
      <c r="I9" s="2" t="s">
        <v>9</v>
      </c>
      <c r="J9" s="2"/>
      <c r="K9" s="5">
        <v>3.4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5.5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266</v>
      </c>
      <c r="C11" s="2" t="s">
        <v>9</v>
      </c>
      <c r="D11" s="2"/>
      <c r="E11" s="5">
        <v>5.5</v>
      </c>
      <c r="F11" s="20">
        <f t="shared" si="1"/>
        <v>0</v>
      </c>
      <c r="G11" s="2">
        <v>45</v>
      </c>
      <c r="H11" s="4" t="s">
        <v>267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5.7</v>
      </c>
      <c r="F12" s="20">
        <f t="shared" si="1"/>
        <v>0</v>
      </c>
      <c r="G12" s="2">
        <v>46</v>
      </c>
      <c r="H12" s="4" t="s">
        <v>268</v>
      </c>
      <c r="I12" s="2" t="s">
        <v>9</v>
      </c>
      <c r="J12" s="2"/>
      <c r="K12" s="5">
        <v>2.35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5.8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5.65</v>
      </c>
      <c r="F14" s="20">
        <f t="shared" si="1"/>
        <v>0</v>
      </c>
      <c r="G14" s="2">
        <v>48</v>
      </c>
      <c r="H14" s="4" t="s">
        <v>269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128</v>
      </c>
      <c r="C15" s="2" t="s">
        <v>9</v>
      </c>
      <c r="D15" s="2"/>
      <c r="E15" s="5">
        <v>6.3</v>
      </c>
      <c r="F15" s="20">
        <f t="shared" si="1"/>
        <v>0</v>
      </c>
      <c r="G15" s="2">
        <v>49</v>
      </c>
      <c r="H15" s="4" t="s">
        <v>270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271</v>
      </c>
      <c r="C16" s="2" t="s">
        <v>9</v>
      </c>
      <c r="D16" s="2"/>
      <c r="E16" s="5">
        <v>5.8</v>
      </c>
      <c r="F16" s="20">
        <f t="shared" si="1"/>
        <v>0</v>
      </c>
      <c r="G16" s="2">
        <v>50</v>
      </c>
      <c r="H16" s="4" t="s">
        <v>272</v>
      </c>
      <c r="I16" s="2" t="s">
        <v>9</v>
      </c>
      <c r="J16" s="2"/>
      <c r="K16" s="5">
        <v>7.75</v>
      </c>
      <c r="L16" s="5">
        <f t="shared" si="0"/>
        <v>0</v>
      </c>
    </row>
    <row r="17" spans="1:12" ht="13.15" customHeight="1">
      <c r="A17" s="2">
        <v>13</v>
      </c>
      <c r="B17" s="4" t="s">
        <v>273</v>
      </c>
      <c r="C17" s="2" t="s">
        <v>9</v>
      </c>
      <c r="D17" s="2"/>
      <c r="E17" s="5">
        <v>6.3</v>
      </c>
      <c r="F17" s="20">
        <f t="shared" si="1"/>
        <v>0</v>
      </c>
      <c r="G17" s="2">
        <v>51</v>
      </c>
      <c r="H17" s="4" t="s">
        <v>274</v>
      </c>
      <c r="I17" s="2" t="s">
        <v>9</v>
      </c>
      <c r="J17" s="2"/>
      <c r="K17" s="5">
        <v>6.25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4.5999999999999996</v>
      </c>
      <c r="F18" s="20">
        <f t="shared" si="1"/>
        <v>0</v>
      </c>
      <c r="G18" s="2">
        <v>52</v>
      </c>
      <c r="H18" s="4" t="s">
        <v>275</v>
      </c>
      <c r="I18" s="2" t="s">
        <v>9</v>
      </c>
      <c r="J18" s="2"/>
      <c r="K18" s="5">
        <v>6.1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5.0999999999999996</v>
      </c>
      <c r="F19" s="20">
        <f t="shared" si="1"/>
        <v>0</v>
      </c>
      <c r="G19" s="2">
        <v>53</v>
      </c>
      <c r="H19" s="4" t="s">
        <v>276</v>
      </c>
      <c r="I19" s="2" t="s">
        <v>9</v>
      </c>
      <c r="J19" s="2"/>
      <c r="K19" s="5">
        <v>7.5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2.2999999999999998</v>
      </c>
      <c r="F20" s="20">
        <f t="shared" si="1"/>
        <v>0</v>
      </c>
      <c r="G20" s="2">
        <v>54</v>
      </c>
      <c r="H20" s="4" t="s">
        <v>277</v>
      </c>
      <c r="I20" s="2" t="s">
        <v>9</v>
      </c>
      <c r="J20" s="2"/>
      <c r="K20" s="5">
        <v>8.5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1.25</v>
      </c>
      <c r="F21" s="20">
        <f t="shared" si="1"/>
        <v>0</v>
      </c>
      <c r="G21" s="2">
        <v>55</v>
      </c>
      <c r="H21" s="4" t="s">
        <v>106</v>
      </c>
      <c r="I21" s="2" t="s">
        <v>9</v>
      </c>
      <c r="J21" s="2"/>
      <c r="K21" s="5">
        <v>7.5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5.5</v>
      </c>
      <c r="F22" s="20">
        <f t="shared" si="1"/>
        <v>0</v>
      </c>
      <c r="G22" s="2">
        <v>56</v>
      </c>
      <c r="H22" s="4" t="s">
        <v>278</v>
      </c>
      <c r="I22" s="2" t="s">
        <v>9</v>
      </c>
      <c r="J22" s="2"/>
      <c r="K22" s="5">
        <v>2.1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6.25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4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5.9</v>
      </c>
      <c r="F24" s="20">
        <f t="shared" si="1"/>
        <v>0</v>
      </c>
      <c r="G24" s="2">
        <v>58</v>
      </c>
      <c r="H24" s="4" t="s">
        <v>279</v>
      </c>
      <c r="I24" s="2" t="s">
        <v>9</v>
      </c>
      <c r="J24" s="4"/>
      <c r="K24" s="2">
        <v>2.1</v>
      </c>
      <c r="L24" s="5">
        <f t="shared" si="0"/>
        <v>0</v>
      </c>
    </row>
    <row r="25" spans="1:12" ht="13.15" customHeight="1">
      <c r="A25" s="2">
        <v>21</v>
      </c>
      <c r="B25" s="4" t="s">
        <v>96</v>
      </c>
      <c r="C25" s="2" t="s">
        <v>9</v>
      </c>
      <c r="D25" s="2"/>
      <c r="E25" s="5">
        <v>6.6</v>
      </c>
      <c r="F25" s="20">
        <f t="shared" si="1"/>
        <v>0</v>
      </c>
      <c r="G25" s="2">
        <v>59</v>
      </c>
      <c r="H25" s="4" t="s">
        <v>280</v>
      </c>
      <c r="I25" s="2" t="s">
        <v>9</v>
      </c>
      <c r="J25" s="4"/>
      <c r="K25" s="2">
        <v>8.75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5.2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5.75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4.25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4"/>
      <c r="K27" s="2">
        <v>3.35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4.75</v>
      </c>
      <c r="F28" s="20">
        <f t="shared" si="1"/>
        <v>0</v>
      </c>
      <c r="G28" s="2">
        <v>62</v>
      </c>
      <c r="H28" s="4" t="s">
        <v>281</v>
      </c>
      <c r="I28" s="2" t="s">
        <v>9</v>
      </c>
      <c r="J28" s="4"/>
      <c r="K28" s="2">
        <v>4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5.5</v>
      </c>
      <c r="F29" s="20">
        <f t="shared" si="1"/>
        <v>0</v>
      </c>
      <c r="G29" s="2">
        <v>63</v>
      </c>
      <c r="H29" s="4" t="s">
        <v>140</v>
      </c>
      <c r="I29" s="2" t="s">
        <v>9</v>
      </c>
      <c r="J29" s="4"/>
      <c r="K29" s="2">
        <v>7.5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4.4000000000000004</v>
      </c>
      <c r="F30" s="5">
        <f t="shared" si="1"/>
        <v>0</v>
      </c>
      <c r="G30" s="2">
        <v>64</v>
      </c>
      <c r="H30" s="4" t="s">
        <v>282</v>
      </c>
      <c r="I30" s="2" t="s">
        <v>9</v>
      </c>
      <c r="J30" s="4"/>
      <c r="K30" s="2">
        <v>4.25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5.75</v>
      </c>
      <c r="F31" s="5">
        <f t="shared" si="1"/>
        <v>0</v>
      </c>
      <c r="G31" s="2">
        <v>65</v>
      </c>
      <c r="H31" s="4" t="s">
        <v>283</v>
      </c>
      <c r="I31" s="2" t="s">
        <v>9</v>
      </c>
      <c r="J31" s="4"/>
      <c r="K31" s="2">
        <v>3.4</v>
      </c>
      <c r="L31" s="5">
        <f t="shared" si="0"/>
        <v>0</v>
      </c>
    </row>
    <row r="32" spans="1:12" ht="13.15" customHeight="1">
      <c r="A32" s="2">
        <v>28</v>
      </c>
      <c r="B32" s="4" t="s">
        <v>104</v>
      </c>
      <c r="C32" s="2" t="s">
        <v>9</v>
      </c>
      <c r="D32" s="2"/>
      <c r="E32" s="5">
        <v>7.5</v>
      </c>
      <c r="F32" s="20">
        <f t="shared" si="1"/>
        <v>0</v>
      </c>
      <c r="G32" s="2">
        <v>66</v>
      </c>
      <c r="H32" s="4" t="s">
        <v>284</v>
      </c>
      <c r="I32" s="2" t="s">
        <v>9</v>
      </c>
      <c r="J32" s="4"/>
      <c r="K32" s="2">
        <v>5.75</v>
      </c>
      <c r="L32" s="5">
        <f t="shared" si="0"/>
        <v>0</v>
      </c>
    </row>
    <row r="33" spans="1:12" ht="13.15" customHeight="1">
      <c r="A33" s="2">
        <v>29</v>
      </c>
      <c r="B33" s="4" t="s">
        <v>285</v>
      </c>
      <c r="C33" s="2" t="s">
        <v>9</v>
      </c>
      <c r="D33" s="2"/>
      <c r="E33" s="5">
        <v>5.3</v>
      </c>
      <c r="F33" s="5">
        <f t="shared" si="1"/>
        <v>0</v>
      </c>
      <c r="G33" s="2">
        <v>67</v>
      </c>
      <c r="H33" s="4" t="s">
        <v>286</v>
      </c>
      <c r="I33" s="2" t="s">
        <v>9</v>
      </c>
      <c r="J33" s="4"/>
      <c r="K33" s="2">
        <v>2.2000000000000002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5.75</v>
      </c>
      <c r="F34" s="5">
        <f t="shared" si="1"/>
        <v>0</v>
      </c>
      <c r="G34" s="2">
        <v>68</v>
      </c>
      <c r="H34" s="4" t="s">
        <v>287</v>
      </c>
      <c r="I34" s="2" t="s">
        <v>9</v>
      </c>
      <c r="J34" s="4"/>
      <c r="K34" s="2">
        <v>3.4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5.3</v>
      </c>
      <c r="F35" s="20">
        <f t="shared" si="1"/>
        <v>0</v>
      </c>
      <c r="G35" s="2">
        <v>69</v>
      </c>
      <c r="H35" s="4" t="s">
        <v>288</v>
      </c>
      <c r="I35" s="2" t="s">
        <v>9</v>
      </c>
      <c r="J35" s="4"/>
      <c r="K35" s="2">
        <v>3.4</v>
      </c>
      <c r="L35" s="5">
        <f t="shared" si="0"/>
        <v>0</v>
      </c>
    </row>
    <row r="36" spans="1:12" ht="13.15" customHeight="1">
      <c r="A36" s="2">
        <v>32</v>
      </c>
      <c r="B36" s="4" t="s">
        <v>74</v>
      </c>
      <c r="C36" s="2" t="s">
        <v>9</v>
      </c>
      <c r="D36" s="2"/>
      <c r="E36" s="2">
        <v>2.2999999999999998</v>
      </c>
      <c r="F36" s="20">
        <f t="shared" si="1"/>
        <v>0</v>
      </c>
      <c r="G36" s="2">
        <v>70</v>
      </c>
      <c r="H36" s="4" t="s">
        <v>289</v>
      </c>
      <c r="I36" s="2" t="s">
        <v>9</v>
      </c>
      <c r="J36" s="4"/>
      <c r="K36" s="2">
        <v>34.25</v>
      </c>
      <c r="L36" s="5">
        <f t="shared" si="0"/>
        <v>0</v>
      </c>
    </row>
    <row r="37" spans="1:12" ht="13.15" customHeight="1">
      <c r="A37" s="2">
        <v>33</v>
      </c>
      <c r="B37" s="4" t="s">
        <v>76</v>
      </c>
      <c r="C37" s="2" t="s">
        <v>9</v>
      </c>
      <c r="D37" s="2"/>
      <c r="E37" s="2">
        <v>3.25</v>
      </c>
      <c r="F37" s="20">
        <f t="shared" si="1"/>
        <v>0</v>
      </c>
      <c r="G37" s="2">
        <v>71</v>
      </c>
      <c r="H37" s="4" t="s">
        <v>290</v>
      </c>
      <c r="I37" s="2" t="s">
        <v>9</v>
      </c>
      <c r="J37" s="4"/>
      <c r="K37" s="2">
        <v>3.75</v>
      </c>
      <c r="L37" s="5">
        <f t="shared" si="0"/>
        <v>0</v>
      </c>
    </row>
    <row r="38" spans="1:12" ht="13.15" customHeight="1">
      <c r="A38" s="2">
        <v>34</v>
      </c>
      <c r="B38" s="4" t="s">
        <v>78</v>
      </c>
      <c r="C38" s="2" t="s">
        <v>9</v>
      </c>
      <c r="D38" s="2"/>
      <c r="E38" s="2">
        <v>6.25</v>
      </c>
      <c r="F38" s="20">
        <f t="shared" si="1"/>
        <v>0</v>
      </c>
      <c r="G38" s="2">
        <v>72</v>
      </c>
      <c r="H38" s="4" t="s">
        <v>291</v>
      </c>
      <c r="I38" s="2" t="s">
        <v>9</v>
      </c>
      <c r="J38" s="4"/>
      <c r="K38" s="2">
        <v>6.25</v>
      </c>
      <c r="L38" s="5">
        <f t="shared" si="0"/>
        <v>0</v>
      </c>
    </row>
    <row r="39" spans="1:12" ht="13.15" customHeight="1">
      <c r="A39" s="2">
        <v>35</v>
      </c>
      <c r="B39" s="4" t="s">
        <v>80</v>
      </c>
      <c r="C39" s="2" t="s">
        <v>9</v>
      </c>
      <c r="D39" s="2"/>
      <c r="E39" s="2">
        <v>3.75</v>
      </c>
      <c r="F39" s="20">
        <f t="shared" si="1"/>
        <v>0</v>
      </c>
      <c r="G39" s="2">
        <v>73</v>
      </c>
      <c r="H39" s="4" t="s">
        <v>111</v>
      </c>
      <c r="I39" s="2" t="s">
        <v>9</v>
      </c>
      <c r="J39" s="4"/>
      <c r="K39" s="2">
        <v>3.2</v>
      </c>
      <c r="L39" s="5">
        <f t="shared" si="0"/>
        <v>0</v>
      </c>
    </row>
    <row r="40" spans="1:12" ht="13.15" customHeight="1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0</v>
      </c>
    </row>
    <row r="42" spans="1:12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>
  <dimension ref="A1:L42"/>
  <sheetViews>
    <sheetView topLeftCell="A22" workbookViewId="0">
      <selection activeCell="P11" sqref="P11"/>
    </sheetView>
  </sheetViews>
  <sheetFormatPr defaultRowHeight="13.15" customHeight="1"/>
  <cols>
    <col min="1" max="1" width="4.7109375" style="17" customWidth="1"/>
    <col min="2" max="2" width="23.7109375" customWidth="1"/>
    <col min="3" max="3" width="6.42578125" customWidth="1"/>
    <col min="4" max="4" width="8.140625" customWidth="1"/>
    <col min="5" max="5" width="8.42578125" customWidth="1"/>
    <col min="6" max="6" width="8.85546875" style="17"/>
    <col min="7" max="7" width="5.28515625" style="17" customWidth="1"/>
    <col min="8" max="8" width="24.5703125" customWidth="1"/>
    <col min="9" max="9" width="6.42578125" customWidth="1"/>
    <col min="10" max="10" width="7.42578125" customWidth="1"/>
    <col min="11" max="11" width="8.28515625" customWidth="1"/>
    <col min="12" max="12" width="8.28515625" style="17" customWidth="1"/>
  </cols>
  <sheetData>
    <row r="1" spans="1:12" ht="13.15" customHeight="1">
      <c r="A1" s="30" t="s">
        <v>262</v>
      </c>
      <c r="B1" s="30"/>
      <c r="C1" s="30"/>
      <c r="D1" s="36" t="s">
        <v>263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2.0499999999999998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6.35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1.9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4.45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7.5</v>
      </c>
      <c r="L6" s="5">
        <f t="shared" si="0"/>
        <v>0</v>
      </c>
    </row>
    <row r="7" spans="1:12" ht="13.15" customHeight="1">
      <c r="A7" s="2">
        <v>3</v>
      </c>
      <c r="B7" s="4" t="s">
        <v>264</v>
      </c>
      <c r="C7" s="2" t="s">
        <v>9</v>
      </c>
      <c r="D7" s="2"/>
      <c r="E7" s="5">
        <v>5.5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1.9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6.85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4.75</v>
      </c>
      <c r="F9" s="20">
        <f t="shared" si="1"/>
        <v>0</v>
      </c>
      <c r="G9" s="2">
        <v>43</v>
      </c>
      <c r="H9" s="4" t="s">
        <v>265</v>
      </c>
      <c r="I9" s="2" t="s">
        <v>9</v>
      </c>
      <c r="J9" s="2"/>
      <c r="K9" s="5">
        <v>3.4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5.5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266</v>
      </c>
      <c r="C11" s="2" t="s">
        <v>9</v>
      </c>
      <c r="D11" s="2"/>
      <c r="E11" s="5">
        <v>5.5</v>
      </c>
      <c r="F11" s="20">
        <f t="shared" si="1"/>
        <v>0</v>
      </c>
      <c r="G11" s="2">
        <v>45</v>
      </c>
      <c r="H11" s="4" t="s">
        <v>267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5.7</v>
      </c>
      <c r="F12" s="20">
        <f t="shared" si="1"/>
        <v>0</v>
      </c>
      <c r="G12" s="2">
        <v>46</v>
      </c>
      <c r="H12" s="4" t="s">
        <v>268</v>
      </c>
      <c r="I12" s="2" t="s">
        <v>9</v>
      </c>
      <c r="J12" s="2"/>
      <c r="K12" s="5">
        <v>2.35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5.8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5.65</v>
      </c>
      <c r="F14" s="20">
        <f t="shared" si="1"/>
        <v>0</v>
      </c>
      <c r="G14" s="2">
        <v>48</v>
      </c>
      <c r="H14" s="4" t="s">
        <v>269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128</v>
      </c>
      <c r="C15" s="2" t="s">
        <v>9</v>
      </c>
      <c r="D15" s="2"/>
      <c r="E15" s="5">
        <v>6.3</v>
      </c>
      <c r="F15" s="20">
        <f t="shared" si="1"/>
        <v>0</v>
      </c>
      <c r="G15" s="2">
        <v>49</v>
      </c>
      <c r="H15" s="4" t="s">
        <v>270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271</v>
      </c>
      <c r="C16" s="2" t="s">
        <v>9</v>
      </c>
      <c r="D16" s="2"/>
      <c r="E16" s="5">
        <v>5.8</v>
      </c>
      <c r="F16" s="20">
        <f t="shared" si="1"/>
        <v>0</v>
      </c>
      <c r="G16" s="2">
        <v>50</v>
      </c>
      <c r="H16" s="4" t="s">
        <v>272</v>
      </c>
      <c r="I16" s="2" t="s">
        <v>9</v>
      </c>
      <c r="J16" s="2"/>
      <c r="K16" s="5">
        <v>7.75</v>
      </c>
      <c r="L16" s="5">
        <f t="shared" si="0"/>
        <v>0</v>
      </c>
    </row>
    <row r="17" spans="1:12" ht="13.15" customHeight="1">
      <c r="A17" s="2">
        <v>13</v>
      </c>
      <c r="B17" s="4" t="s">
        <v>273</v>
      </c>
      <c r="C17" s="2" t="s">
        <v>9</v>
      </c>
      <c r="D17" s="2"/>
      <c r="E17" s="5">
        <v>6.3</v>
      </c>
      <c r="F17" s="20">
        <f t="shared" si="1"/>
        <v>0</v>
      </c>
      <c r="G17" s="2">
        <v>51</v>
      </c>
      <c r="H17" s="4" t="s">
        <v>274</v>
      </c>
      <c r="I17" s="2" t="s">
        <v>9</v>
      </c>
      <c r="J17" s="2"/>
      <c r="K17" s="5">
        <v>6.25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4.5999999999999996</v>
      </c>
      <c r="F18" s="20">
        <f t="shared" si="1"/>
        <v>0</v>
      </c>
      <c r="G18" s="2">
        <v>52</v>
      </c>
      <c r="H18" s="4" t="s">
        <v>275</v>
      </c>
      <c r="I18" s="2" t="s">
        <v>9</v>
      </c>
      <c r="J18" s="2"/>
      <c r="K18" s="5">
        <v>6.1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5.0999999999999996</v>
      </c>
      <c r="F19" s="20">
        <f t="shared" si="1"/>
        <v>0</v>
      </c>
      <c r="G19" s="2">
        <v>53</v>
      </c>
      <c r="H19" s="4" t="s">
        <v>276</v>
      </c>
      <c r="I19" s="2" t="s">
        <v>9</v>
      </c>
      <c r="J19" s="2"/>
      <c r="K19" s="5">
        <v>7.5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2.2999999999999998</v>
      </c>
      <c r="F20" s="20">
        <f t="shared" si="1"/>
        <v>0</v>
      </c>
      <c r="G20" s="2">
        <v>54</v>
      </c>
      <c r="H20" s="4" t="s">
        <v>277</v>
      </c>
      <c r="I20" s="2" t="s">
        <v>9</v>
      </c>
      <c r="J20" s="2"/>
      <c r="K20" s="5">
        <v>8.5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1.25</v>
      </c>
      <c r="F21" s="20">
        <f t="shared" si="1"/>
        <v>0</v>
      </c>
      <c r="G21" s="2">
        <v>55</v>
      </c>
      <c r="H21" s="4" t="s">
        <v>106</v>
      </c>
      <c r="I21" s="2" t="s">
        <v>9</v>
      </c>
      <c r="J21" s="2"/>
      <c r="K21" s="5">
        <v>7.5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5.5</v>
      </c>
      <c r="F22" s="20">
        <f t="shared" si="1"/>
        <v>0</v>
      </c>
      <c r="G22" s="2">
        <v>56</v>
      </c>
      <c r="H22" s="4" t="s">
        <v>278</v>
      </c>
      <c r="I22" s="2" t="s">
        <v>9</v>
      </c>
      <c r="J22" s="2"/>
      <c r="K22" s="5">
        <v>2.1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6.25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4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5.9</v>
      </c>
      <c r="F24" s="20">
        <f t="shared" si="1"/>
        <v>0</v>
      </c>
      <c r="G24" s="2">
        <v>58</v>
      </c>
      <c r="H24" s="4" t="s">
        <v>279</v>
      </c>
      <c r="I24" s="2" t="s">
        <v>9</v>
      </c>
      <c r="J24" s="4"/>
      <c r="K24" s="2">
        <v>2.1</v>
      </c>
      <c r="L24" s="5">
        <f t="shared" si="0"/>
        <v>0</v>
      </c>
    </row>
    <row r="25" spans="1:12" ht="13.15" customHeight="1">
      <c r="A25" s="2">
        <v>21</v>
      </c>
      <c r="B25" s="4" t="s">
        <v>96</v>
      </c>
      <c r="C25" s="2" t="s">
        <v>9</v>
      </c>
      <c r="D25" s="2"/>
      <c r="E25" s="5">
        <v>6.6</v>
      </c>
      <c r="F25" s="20">
        <f t="shared" si="1"/>
        <v>0</v>
      </c>
      <c r="G25" s="2">
        <v>59</v>
      </c>
      <c r="H25" s="4" t="s">
        <v>280</v>
      </c>
      <c r="I25" s="2" t="s">
        <v>9</v>
      </c>
      <c r="J25" s="4"/>
      <c r="K25" s="2">
        <v>8.75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5.2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5.75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4.25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4"/>
      <c r="K27" s="2">
        <v>3.35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4.75</v>
      </c>
      <c r="F28" s="20">
        <f t="shared" si="1"/>
        <v>0</v>
      </c>
      <c r="G28" s="2">
        <v>62</v>
      </c>
      <c r="H28" s="4" t="s">
        <v>281</v>
      </c>
      <c r="I28" s="2" t="s">
        <v>9</v>
      </c>
      <c r="J28" s="4"/>
      <c r="K28" s="2">
        <v>4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5.5</v>
      </c>
      <c r="F29" s="20">
        <f t="shared" si="1"/>
        <v>0</v>
      </c>
      <c r="G29" s="2">
        <v>63</v>
      </c>
      <c r="H29" s="4" t="s">
        <v>140</v>
      </c>
      <c r="I29" s="2" t="s">
        <v>9</v>
      </c>
      <c r="J29" s="4"/>
      <c r="K29" s="2">
        <v>7.5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4.4000000000000004</v>
      </c>
      <c r="F30" s="5">
        <f t="shared" si="1"/>
        <v>0</v>
      </c>
      <c r="G30" s="2">
        <v>64</v>
      </c>
      <c r="H30" s="4" t="s">
        <v>282</v>
      </c>
      <c r="I30" s="2" t="s">
        <v>9</v>
      </c>
      <c r="J30" s="4"/>
      <c r="K30" s="2">
        <v>4.25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5.75</v>
      </c>
      <c r="F31" s="5">
        <f t="shared" si="1"/>
        <v>0</v>
      </c>
      <c r="G31" s="2">
        <v>65</v>
      </c>
      <c r="H31" s="4" t="s">
        <v>283</v>
      </c>
      <c r="I31" s="2" t="s">
        <v>9</v>
      </c>
      <c r="J31" s="4"/>
      <c r="K31" s="2">
        <v>3.4</v>
      </c>
      <c r="L31" s="5">
        <f t="shared" si="0"/>
        <v>0</v>
      </c>
    </row>
    <row r="32" spans="1:12" ht="13.15" customHeight="1">
      <c r="A32" s="2">
        <v>28</v>
      </c>
      <c r="B32" s="4" t="s">
        <v>104</v>
      </c>
      <c r="C32" s="2" t="s">
        <v>9</v>
      </c>
      <c r="D32" s="2"/>
      <c r="E32" s="5">
        <v>7.5</v>
      </c>
      <c r="F32" s="20">
        <f t="shared" si="1"/>
        <v>0</v>
      </c>
      <c r="G32" s="2">
        <v>66</v>
      </c>
      <c r="H32" s="4" t="s">
        <v>284</v>
      </c>
      <c r="I32" s="2" t="s">
        <v>9</v>
      </c>
      <c r="J32" s="4"/>
      <c r="K32" s="2">
        <v>5.75</v>
      </c>
      <c r="L32" s="5">
        <f t="shared" si="0"/>
        <v>0</v>
      </c>
    </row>
    <row r="33" spans="1:12" ht="13.15" customHeight="1">
      <c r="A33" s="2">
        <v>29</v>
      </c>
      <c r="B33" s="4" t="s">
        <v>285</v>
      </c>
      <c r="C33" s="2" t="s">
        <v>9</v>
      </c>
      <c r="D33" s="2"/>
      <c r="E33" s="5">
        <v>5.3</v>
      </c>
      <c r="F33" s="5">
        <f t="shared" si="1"/>
        <v>0</v>
      </c>
      <c r="G33" s="2">
        <v>67</v>
      </c>
      <c r="H33" s="4" t="s">
        <v>286</v>
      </c>
      <c r="I33" s="2" t="s">
        <v>9</v>
      </c>
      <c r="J33" s="4"/>
      <c r="K33" s="2">
        <v>2.2000000000000002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5.75</v>
      </c>
      <c r="F34" s="5">
        <f t="shared" si="1"/>
        <v>0</v>
      </c>
      <c r="G34" s="2">
        <v>68</v>
      </c>
      <c r="H34" s="4" t="s">
        <v>287</v>
      </c>
      <c r="I34" s="2" t="s">
        <v>9</v>
      </c>
      <c r="J34" s="4"/>
      <c r="K34" s="2">
        <v>3.4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5.3</v>
      </c>
      <c r="F35" s="20">
        <f t="shared" si="1"/>
        <v>0</v>
      </c>
      <c r="G35" s="2">
        <v>69</v>
      </c>
      <c r="H35" s="4" t="s">
        <v>288</v>
      </c>
      <c r="I35" s="2" t="s">
        <v>9</v>
      </c>
      <c r="J35" s="4"/>
      <c r="K35" s="2">
        <v>3.4</v>
      </c>
      <c r="L35" s="5">
        <f t="shared" si="0"/>
        <v>0</v>
      </c>
    </row>
    <row r="36" spans="1:12" ht="13.15" customHeight="1">
      <c r="A36" s="2">
        <v>32</v>
      </c>
      <c r="B36" s="4" t="s">
        <v>74</v>
      </c>
      <c r="C36" s="2" t="s">
        <v>9</v>
      </c>
      <c r="D36" s="2"/>
      <c r="E36" s="2">
        <v>2.2999999999999998</v>
      </c>
      <c r="F36" s="20">
        <f t="shared" si="1"/>
        <v>0</v>
      </c>
      <c r="G36" s="2">
        <v>70</v>
      </c>
      <c r="H36" s="4" t="s">
        <v>289</v>
      </c>
      <c r="I36" s="2" t="s">
        <v>9</v>
      </c>
      <c r="J36" s="4"/>
      <c r="K36" s="2">
        <v>34.25</v>
      </c>
      <c r="L36" s="5">
        <f t="shared" si="0"/>
        <v>0</v>
      </c>
    </row>
    <row r="37" spans="1:12" ht="13.15" customHeight="1">
      <c r="A37" s="2">
        <v>33</v>
      </c>
      <c r="B37" s="4" t="s">
        <v>76</v>
      </c>
      <c r="C37" s="2" t="s">
        <v>9</v>
      </c>
      <c r="D37" s="2"/>
      <c r="E37" s="2">
        <v>3.25</v>
      </c>
      <c r="F37" s="20">
        <f t="shared" si="1"/>
        <v>0</v>
      </c>
      <c r="G37" s="2">
        <v>71</v>
      </c>
      <c r="H37" s="4" t="s">
        <v>290</v>
      </c>
      <c r="I37" s="2" t="s">
        <v>9</v>
      </c>
      <c r="J37" s="4"/>
      <c r="K37" s="2">
        <v>3.75</v>
      </c>
      <c r="L37" s="5">
        <f t="shared" si="0"/>
        <v>0</v>
      </c>
    </row>
    <row r="38" spans="1:12" ht="13.15" customHeight="1">
      <c r="A38" s="2">
        <v>34</v>
      </c>
      <c r="B38" s="4" t="s">
        <v>78</v>
      </c>
      <c r="C38" s="2" t="s">
        <v>9</v>
      </c>
      <c r="D38" s="2"/>
      <c r="E38" s="2">
        <v>6.25</v>
      </c>
      <c r="F38" s="20">
        <f t="shared" si="1"/>
        <v>0</v>
      </c>
      <c r="G38" s="2">
        <v>72</v>
      </c>
      <c r="H38" s="4" t="s">
        <v>291</v>
      </c>
      <c r="I38" s="2" t="s">
        <v>9</v>
      </c>
      <c r="J38" s="4"/>
      <c r="K38" s="2">
        <v>6.25</v>
      </c>
      <c r="L38" s="5">
        <f t="shared" si="0"/>
        <v>0</v>
      </c>
    </row>
    <row r="39" spans="1:12" ht="13.15" customHeight="1">
      <c r="A39" s="2">
        <v>35</v>
      </c>
      <c r="B39" s="4" t="s">
        <v>80</v>
      </c>
      <c r="C39" s="2" t="s">
        <v>9</v>
      </c>
      <c r="D39" s="2"/>
      <c r="E39" s="2">
        <v>3.75</v>
      </c>
      <c r="F39" s="20">
        <f t="shared" si="1"/>
        <v>0</v>
      </c>
      <c r="G39" s="2">
        <v>73</v>
      </c>
      <c r="H39" s="4" t="s">
        <v>111</v>
      </c>
      <c r="I39" s="2" t="s">
        <v>9</v>
      </c>
      <c r="J39" s="4"/>
      <c r="K39" s="2">
        <v>3.2</v>
      </c>
      <c r="L39" s="5">
        <f t="shared" si="0"/>
        <v>0</v>
      </c>
    </row>
    <row r="40" spans="1:12" ht="13.15" customHeight="1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0</v>
      </c>
    </row>
    <row r="42" spans="1:12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>
  <dimension ref="A1:L42"/>
  <sheetViews>
    <sheetView topLeftCell="A22" workbookViewId="0">
      <selection activeCell="P11" sqref="P11"/>
    </sheetView>
  </sheetViews>
  <sheetFormatPr defaultRowHeight="13.15" customHeight="1"/>
  <cols>
    <col min="1" max="1" width="4.7109375" style="17" customWidth="1"/>
    <col min="2" max="2" width="23.7109375" customWidth="1"/>
    <col min="3" max="3" width="6.42578125" customWidth="1"/>
    <col min="4" max="4" width="8.140625" customWidth="1"/>
    <col min="5" max="5" width="8.42578125" customWidth="1"/>
    <col min="6" max="6" width="8.85546875" style="17"/>
    <col min="7" max="7" width="5.28515625" style="17" customWidth="1"/>
    <col min="8" max="8" width="24.5703125" customWidth="1"/>
    <col min="9" max="9" width="6.42578125" customWidth="1"/>
    <col min="10" max="10" width="7.42578125" customWidth="1"/>
    <col min="11" max="11" width="8.28515625" customWidth="1"/>
    <col min="12" max="12" width="8.28515625" style="17" customWidth="1"/>
  </cols>
  <sheetData>
    <row r="1" spans="1:12" ht="13.15" customHeight="1">
      <c r="A1" s="30" t="s">
        <v>262</v>
      </c>
      <c r="B1" s="30"/>
      <c r="C1" s="30"/>
      <c r="D1" s="36" t="s">
        <v>263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2.0499999999999998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6.35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1.9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4.45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7.5</v>
      </c>
      <c r="L6" s="5">
        <f t="shared" si="0"/>
        <v>0</v>
      </c>
    </row>
    <row r="7" spans="1:12" ht="13.15" customHeight="1">
      <c r="A7" s="2">
        <v>3</v>
      </c>
      <c r="B7" s="4" t="s">
        <v>264</v>
      </c>
      <c r="C7" s="2" t="s">
        <v>9</v>
      </c>
      <c r="D7" s="2"/>
      <c r="E7" s="5">
        <v>5.5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1.9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6.85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4.75</v>
      </c>
      <c r="F9" s="20">
        <f t="shared" si="1"/>
        <v>0</v>
      </c>
      <c r="G9" s="2">
        <v>43</v>
      </c>
      <c r="H9" s="4" t="s">
        <v>265</v>
      </c>
      <c r="I9" s="2" t="s">
        <v>9</v>
      </c>
      <c r="J9" s="2"/>
      <c r="K9" s="5">
        <v>3.4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5.5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266</v>
      </c>
      <c r="C11" s="2" t="s">
        <v>9</v>
      </c>
      <c r="D11" s="2"/>
      <c r="E11" s="5">
        <v>5.5</v>
      </c>
      <c r="F11" s="20">
        <f t="shared" si="1"/>
        <v>0</v>
      </c>
      <c r="G11" s="2">
        <v>45</v>
      </c>
      <c r="H11" s="4" t="s">
        <v>267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5.7</v>
      </c>
      <c r="F12" s="20">
        <f t="shared" si="1"/>
        <v>0</v>
      </c>
      <c r="G12" s="2">
        <v>46</v>
      </c>
      <c r="H12" s="4" t="s">
        <v>268</v>
      </c>
      <c r="I12" s="2" t="s">
        <v>9</v>
      </c>
      <c r="J12" s="2"/>
      <c r="K12" s="5">
        <v>2.35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5.8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5.65</v>
      </c>
      <c r="F14" s="20">
        <f t="shared" si="1"/>
        <v>0</v>
      </c>
      <c r="G14" s="2">
        <v>48</v>
      </c>
      <c r="H14" s="4" t="s">
        <v>269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128</v>
      </c>
      <c r="C15" s="2" t="s">
        <v>9</v>
      </c>
      <c r="D15" s="2"/>
      <c r="E15" s="5">
        <v>6.3</v>
      </c>
      <c r="F15" s="20">
        <f t="shared" si="1"/>
        <v>0</v>
      </c>
      <c r="G15" s="2">
        <v>49</v>
      </c>
      <c r="H15" s="4" t="s">
        <v>270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271</v>
      </c>
      <c r="C16" s="2" t="s">
        <v>9</v>
      </c>
      <c r="D16" s="2"/>
      <c r="E16" s="5">
        <v>5.8</v>
      </c>
      <c r="F16" s="20">
        <f t="shared" si="1"/>
        <v>0</v>
      </c>
      <c r="G16" s="2">
        <v>50</v>
      </c>
      <c r="H16" s="4" t="s">
        <v>272</v>
      </c>
      <c r="I16" s="2" t="s">
        <v>9</v>
      </c>
      <c r="J16" s="2"/>
      <c r="K16" s="5">
        <v>7.75</v>
      </c>
      <c r="L16" s="5">
        <f t="shared" si="0"/>
        <v>0</v>
      </c>
    </row>
    <row r="17" spans="1:12" ht="13.15" customHeight="1">
      <c r="A17" s="2">
        <v>13</v>
      </c>
      <c r="B17" s="4" t="s">
        <v>273</v>
      </c>
      <c r="C17" s="2" t="s">
        <v>9</v>
      </c>
      <c r="D17" s="2"/>
      <c r="E17" s="5">
        <v>6.3</v>
      </c>
      <c r="F17" s="20">
        <f t="shared" si="1"/>
        <v>0</v>
      </c>
      <c r="G17" s="2">
        <v>51</v>
      </c>
      <c r="H17" s="4" t="s">
        <v>274</v>
      </c>
      <c r="I17" s="2" t="s">
        <v>9</v>
      </c>
      <c r="J17" s="2"/>
      <c r="K17" s="5">
        <v>6.25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4.5999999999999996</v>
      </c>
      <c r="F18" s="20">
        <f t="shared" si="1"/>
        <v>0</v>
      </c>
      <c r="G18" s="2">
        <v>52</v>
      </c>
      <c r="H18" s="4" t="s">
        <v>275</v>
      </c>
      <c r="I18" s="2" t="s">
        <v>9</v>
      </c>
      <c r="J18" s="2"/>
      <c r="K18" s="5">
        <v>6.1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5.0999999999999996</v>
      </c>
      <c r="F19" s="20">
        <f t="shared" si="1"/>
        <v>0</v>
      </c>
      <c r="G19" s="2">
        <v>53</v>
      </c>
      <c r="H19" s="4" t="s">
        <v>276</v>
      </c>
      <c r="I19" s="2" t="s">
        <v>9</v>
      </c>
      <c r="J19" s="2"/>
      <c r="K19" s="5">
        <v>7.5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2.2999999999999998</v>
      </c>
      <c r="F20" s="20">
        <f t="shared" si="1"/>
        <v>0</v>
      </c>
      <c r="G20" s="2">
        <v>54</v>
      </c>
      <c r="H20" s="4" t="s">
        <v>277</v>
      </c>
      <c r="I20" s="2" t="s">
        <v>9</v>
      </c>
      <c r="J20" s="2"/>
      <c r="K20" s="5">
        <v>8.5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1.25</v>
      </c>
      <c r="F21" s="20">
        <f t="shared" si="1"/>
        <v>0</v>
      </c>
      <c r="G21" s="2">
        <v>55</v>
      </c>
      <c r="H21" s="4" t="s">
        <v>106</v>
      </c>
      <c r="I21" s="2" t="s">
        <v>9</v>
      </c>
      <c r="J21" s="2"/>
      <c r="K21" s="5">
        <v>7.5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5.5</v>
      </c>
      <c r="F22" s="20">
        <f t="shared" si="1"/>
        <v>0</v>
      </c>
      <c r="G22" s="2">
        <v>56</v>
      </c>
      <c r="H22" s="4" t="s">
        <v>278</v>
      </c>
      <c r="I22" s="2" t="s">
        <v>9</v>
      </c>
      <c r="J22" s="2"/>
      <c r="K22" s="5">
        <v>2.1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6.25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4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5.9</v>
      </c>
      <c r="F24" s="20">
        <f t="shared" si="1"/>
        <v>0</v>
      </c>
      <c r="G24" s="2">
        <v>58</v>
      </c>
      <c r="H24" s="4" t="s">
        <v>279</v>
      </c>
      <c r="I24" s="2" t="s">
        <v>9</v>
      </c>
      <c r="J24" s="4"/>
      <c r="K24" s="2">
        <v>2.1</v>
      </c>
      <c r="L24" s="5">
        <f t="shared" si="0"/>
        <v>0</v>
      </c>
    </row>
    <row r="25" spans="1:12" ht="13.15" customHeight="1">
      <c r="A25" s="2">
        <v>21</v>
      </c>
      <c r="B25" s="4" t="s">
        <v>96</v>
      </c>
      <c r="C25" s="2" t="s">
        <v>9</v>
      </c>
      <c r="D25" s="2"/>
      <c r="E25" s="5">
        <v>6.6</v>
      </c>
      <c r="F25" s="20">
        <f t="shared" si="1"/>
        <v>0</v>
      </c>
      <c r="G25" s="2">
        <v>59</v>
      </c>
      <c r="H25" s="4" t="s">
        <v>280</v>
      </c>
      <c r="I25" s="2" t="s">
        <v>9</v>
      </c>
      <c r="J25" s="4"/>
      <c r="K25" s="2">
        <v>8.75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5.2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5.75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4.25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4"/>
      <c r="K27" s="2">
        <v>3.35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4.75</v>
      </c>
      <c r="F28" s="20">
        <f t="shared" si="1"/>
        <v>0</v>
      </c>
      <c r="G28" s="2">
        <v>62</v>
      </c>
      <c r="H28" s="4" t="s">
        <v>281</v>
      </c>
      <c r="I28" s="2" t="s">
        <v>9</v>
      </c>
      <c r="J28" s="4"/>
      <c r="K28" s="2">
        <v>4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5.5</v>
      </c>
      <c r="F29" s="20">
        <f t="shared" si="1"/>
        <v>0</v>
      </c>
      <c r="G29" s="2">
        <v>63</v>
      </c>
      <c r="H29" s="4" t="s">
        <v>140</v>
      </c>
      <c r="I29" s="2" t="s">
        <v>9</v>
      </c>
      <c r="J29" s="4"/>
      <c r="K29" s="2">
        <v>7.5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4.4000000000000004</v>
      </c>
      <c r="F30" s="5">
        <f t="shared" si="1"/>
        <v>0</v>
      </c>
      <c r="G30" s="2">
        <v>64</v>
      </c>
      <c r="H30" s="4" t="s">
        <v>282</v>
      </c>
      <c r="I30" s="2" t="s">
        <v>9</v>
      </c>
      <c r="J30" s="4"/>
      <c r="K30" s="2">
        <v>4.25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5.75</v>
      </c>
      <c r="F31" s="5">
        <f t="shared" si="1"/>
        <v>0</v>
      </c>
      <c r="G31" s="2">
        <v>65</v>
      </c>
      <c r="H31" s="4" t="s">
        <v>283</v>
      </c>
      <c r="I31" s="2" t="s">
        <v>9</v>
      </c>
      <c r="J31" s="4"/>
      <c r="K31" s="2">
        <v>3.4</v>
      </c>
      <c r="L31" s="5">
        <f t="shared" si="0"/>
        <v>0</v>
      </c>
    </row>
    <row r="32" spans="1:12" ht="13.15" customHeight="1">
      <c r="A32" s="2">
        <v>28</v>
      </c>
      <c r="B32" s="4" t="s">
        <v>104</v>
      </c>
      <c r="C32" s="2" t="s">
        <v>9</v>
      </c>
      <c r="D32" s="2"/>
      <c r="E32" s="5">
        <v>7.5</v>
      </c>
      <c r="F32" s="20">
        <f t="shared" si="1"/>
        <v>0</v>
      </c>
      <c r="G32" s="2">
        <v>66</v>
      </c>
      <c r="H32" s="4" t="s">
        <v>284</v>
      </c>
      <c r="I32" s="2" t="s">
        <v>9</v>
      </c>
      <c r="J32" s="4"/>
      <c r="K32" s="2">
        <v>5.75</v>
      </c>
      <c r="L32" s="5">
        <f t="shared" si="0"/>
        <v>0</v>
      </c>
    </row>
    <row r="33" spans="1:12" ht="13.15" customHeight="1">
      <c r="A33" s="2">
        <v>29</v>
      </c>
      <c r="B33" s="4" t="s">
        <v>285</v>
      </c>
      <c r="C33" s="2" t="s">
        <v>9</v>
      </c>
      <c r="D33" s="2"/>
      <c r="E33" s="5">
        <v>5.3</v>
      </c>
      <c r="F33" s="5">
        <f t="shared" si="1"/>
        <v>0</v>
      </c>
      <c r="G33" s="2">
        <v>67</v>
      </c>
      <c r="H33" s="4" t="s">
        <v>286</v>
      </c>
      <c r="I33" s="2" t="s">
        <v>9</v>
      </c>
      <c r="J33" s="4"/>
      <c r="K33" s="2">
        <v>2.2000000000000002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5.75</v>
      </c>
      <c r="F34" s="5">
        <f t="shared" si="1"/>
        <v>0</v>
      </c>
      <c r="G34" s="2">
        <v>68</v>
      </c>
      <c r="H34" s="4" t="s">
        <v>287</v>
      </c>
      <c r="I34" s="2" t="s">
        <v>9</v>
      </c>
      <c r="J34" s="4"/>
      <c r="K34" s="2">
        <v>3.4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5.3</v>
      </c>
      <c r="F35" s="20">
        <f t="shared" si="1"/>
        <v>0</v>
      </c>
      <c r="G35" s="2">
        <v>69</v>
      </c>
      <c r="H35" s="4" t="s">
        <v>288</v>
      </c>
      <c r="I35" s="2" t="s">
        <v>9</v>
      </c>
      <c r="J35" s="4"/>
      <c r="K35" s="2">
        <v>3.4</v>
      </c>
      <c r="L35" s="5">
        <f t="shared" si="0"/>
        <v>0</v>
      </c>
    </row>
    <row r="36" spans="1:12" ht="13.15" customHeight="1">
      <c r="A36" s="2">
        <v>32</v>
      </c>
      <c r="B36" s="4" t="s">
        <v>74</v>
      </c>
      <c r="C36" s="2" t="s">
        <v>9</v>
      </c>
      <c r="D36" s="2"/>
      <c r="E36" s="2">
        <v>2.2999999999999998</v>
      </c>
      <c r="F36" s="20">
        <f t="shared" si="1"/>
        <v>0</v>
      </c>
      <c r="G36" s="2">
        <v>70</v>
      </c>
      <c r="H36" s="4" t="s">
        <v>289</v>
      </c>
      <c r="I36" s="2" t="s">
        <v>9</v>
      </c>
      <c r="J36" s="4"/>
      <c r="K36" s="2">
        <v>34.25</v>
      </c>
      <c r="L36" s="5">
        <f t="shared" si="0"/>
        <v>0</v>
      </c>
    </row>
    <row r="37" spans="1:12" ht="13.15" customHeight="1">
      <c r="A37" s="2">
        <v>33</v>
      </c>
      <c r="B37" s="4" t="s">
        <v>76</v>
      </c>
      <c r="C37" s="2" t="s">
        <v>9</v>
      </c>
      <c r="D37" s="2"/>
      <c r="E37" s="2">
        <v>3.25</v>
      </c>
      <c r="F37" s="20">
        <f t="shared" si="1"/>
        <v>0</v>
      </c>
      <c r="G37" s="2">
        <v>71</v>
      </c>
      <c r="H37" s="4" t="s">
        <v>290</v>
      </c>
      <c r="I37" s="2" t="s">
        <v>9</v>
      </c>
      <c r="J37" s="4"/>
      <c r="K37" s="2">
        <v>3.75</v>
      </c>
      <c r="L37" s="5">
        <f t="shared" si="0"/>
        <v>0</v>
      </c>
    </row>
    <row r="38" spans="1:12" ht="13.15" customHeight="1">
      <c r="A38" s="2">
        <v>34</v>
      </c>
      <c r="B38" s="4" t="s">
        <v>78</v>
      </c>
      <c r="C38" s="2" t="s">
        <v>9</v>
      </c>
      <c r="D38" s="2"/>
      <c r="E38" s="2">
        <v>6.25</v>
      </c>
      <c r="F38" s="20">
        <f t="shared" si="1"/>
        <v>0</v>
      </c>
      <c r="G38" s="2">
        <v>72</v>
      </c>
      <c r="H38" s="4" t="s">
        <v>291</v>
      </c>
      <c r="I38" s="2" t="s">
        <v>9</v>
      </c>
      <c r="J38" s="4"/>
      <c r="K38" s="2">
        <v>6.25</v>
      </c>
      <c r="L38" s="5">
        <f t="shared" si="0"/>
        <v>0</v>
      </c>
    </row>
    <row r="39" spans="1:12" ht="13.15" customHeight="1">
      <c r="A39" s="2">
        <v>35</v>
      </c>
      <c r="B39" s="4" t="s">
        <v>80</v>
      </c>
      <c r="C39" s="2" t="s">
        <v>9</v>
      </c>
      <c r="D39" s="2"/>
      <c r="E39" s="2">
        <v>3.75</v>
      </c>
      <c r="F39" s="20">
        <f t="shared" si="1"/>
        <v>0</v>
      </c>
      <c r="G39" s="2">
        <v>73</v>
      </c>
      <c r="H39" s="4" t="s">
        <v>111</v>
      </c>
      <c r="I39" s="2" t="s">
        <v>9</v>
      </c>
      <c r="J39" s="4"/>
      <c r="K39" s="2">
        <v>3.2</v>
      </c>
      <c r="L39" s="5">
        <f t="shared" si="0"/>
        <v>0</v>
      </c>
    </row>
    <row r="40" spans="1:12" ht="13.15" customHeight="1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0</v>
      </c>
    </row>
    <row r="42" spans="1:12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>
  <dimension ref="A1:L42"/>
  <sheetViews>
    <sheetView topLeftCell="A22" workbookViewId="0">
      <selection activeCell="P11" sqref="P11"/>
    </sheetView>
  </sheetViews>
  <sheetFormatPr defaultRowHeight="13.15" customHeight="1"/>
  <cols>
    <col min="1" max="1" width="4.7109375" style="17" customWidth="1"/>
    <col min="2" max="2" width="23.7109375" customWidth="1"/>
    <col min="3" max="3" width="6.42578125" customWidth="1"/>
    <col min="4" max="4" width="8.140625" customWidth="1"/>
    <col min="5" max="5" width="8.42578125" customWidth="1"/>
    <col min="6" max="6" width="8.85546875" style="17"/>
    <col min="7" max="7" width="5.28515625" style="17" customWidth="1"/>
    <col min="8" max="8" width="24.5703125" customWidth="1"/>
    <col min="9" max="9" width="6.42578125" customWidth="1"/>
    <col min="10" max="10" width="7.42578125" customWidth="1"/>
    <col min="11" max="11" width="8.28515625" customWidth="1"/>
    <col min="12" max="12" width="8.28515625" style="17" customWidth="1"/>
  </cols>
  <sheetData>
    <row r="1" spans="1:12" ht="13.15" customHeight="1">
      <c r="A1" s="30" t="s">
        <v>262</v>
      </c>
      <c r="B1" s="30"/>
      <c r="C1" s="30"/>
      <c r="D1" s="36" t="s">
        <v>263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2.0499999999999998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6.35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1.9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4.45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7.5</v>
      </c>
      <c r="L6" s="5">
        <f t="shared" si="0"/>
        <v>0</v>
      </c>
    </row>
    <row r="7" spans="1:12" ht="13.15" customHeight="1">
      <c r="A7" s="2">
        <v>3</v>
      </c>
      <c r="B7" s="4" t="s">
        <v>264</v>
      </c>
      <c r="C7" s="2" t="s">
        <v>9</v>
      </c>
      <c r="D7" s="2"/>
      <c r="E7" s="5">
        <v>5.5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1.9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6.85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4.75</v>
      </c>
      <c r="F9" s="20">
        <f t="shared" si="1"/>
        <v>0</v>
      </c>
      <c r="G9" s="2">
        <v>43</v>
      </c>
      <c r="H9" s="4" t="s">
        <v>265</v>
      </c>
      <c r="I9" s="2" t="s">
        <v>9</v>
      </c>
      <c r="J9" s="2"/>
      <c r="K9" s="5">
        <v>3.4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5.5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266</v>
      </c>
      <c r="C11" s="2" t="s">
        <v>9</v>
      </c>
      <c r="D11" s="2"/>
      <c r="E11" s="5">
        <v>5.5</v>
      </c>
      <c r="F11" s="20">
        <f t="shared" si="1"/>
        <v>0</v>
      </c>
      <c r="G11" s="2">
        <v>45</v>
      </c>
      <c r="H11" s="4" t="s">
        <v>267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5.7</v>
      </c>
      <c r="F12" s="20">
        <f t="shared" si="1"/>
        <v>0</v>
      </c>
      <c r="G12" s="2">
        <v>46</v>
      </c>
      <c r="H12" s="4" t="s">
        <v>268</v>
      </c>
      <c r="I12" s="2" t="s">
        <v>9</v>
      </c>
      <c r="J12" s="2"/>
      <c r="K12" s="5">
        <v>2.35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5.8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5.65</v>
      </c>
      <c r="F14" s="20">
        <f t="shared" si="1"/>
        <v>0</v>
      </c>
      <c r="G14" s="2">
        <v>48</v>
      </c>
      <c r="H14" s="4" t="s">
        <v>269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128</v>
      </c>
      <c r="C15" s="2" t="s">
        <v>9</v>
      </c>
      <c r="D15" s="2"/>
      <c r="E15" s="5">
        <v>6.3</v>
      </c>
      <c r="F15" s="20">
        <f t="shared" si="1"/>
        <v>0</v>
      </c>
      <c r="G15" s="2">
        <v>49</v>
      </c>
      <c r="H15" s="4" t="s">
        <v>270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271</v>
      </c>
      <c r="C16" s="2" t="s">
        <v>9</v>
      </c>
      <c r="D16" s="2"/>
      <c r="E16" s="5">
        <v>5.8</v>
      </c>
      <c r="F16" s="20">
        <f t="shared" si="1"/>
        <v>0</v>
      </c>
      <c r="G16" s="2">
        <v>50</v>
      </c>
      <c r="H16" s="4" t="s">
        <v>272</v>
      </c>
      <c r="I16" s="2" t="s">
        <v>9</v>
      </c>
      <c r="J16" s="2"/>
      <c r="K16" s="5">
        <v>7.75</v>
      </c>
      <c r="L16" s="5">
        <f t="shared" si="0"/>
        <v>0</v>
      </c>
    </row>
    <row r="17" spans="1:12" ht="13.15" customHeight="1">
      <c r="A17" s="2">
        <v>13</v>
      </c>
      <c r="B17" s="4" t="s">
        <v>273</v>
      </c>
      <c r="C17" s="2" t="s">
        <v>9</v>
      </c>
      <c r="D17" s="2"/>
      <c r="E17" s="5">
        <v>6.3</v>
      </c>
      <c r="F17" s="20">
        <f t="shared" si="1"/>
        <v>0</v>
      </c>
      <c r="G17" s="2">
        <v>51</v>
      </c>
      <c r="H17" s="4" t="s">
        <v>274</v>
      </c>
      <c r="I17" s="2" t="s">
        <v>9</v>
      </c>
      <c r="J17" s="2"/>
      <c r="K17" s="5">
        <v>6.25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4.5999999999999996</v>
      </c>
      <c r="F18" s="20">
        <f t="shared" si="1"/>
        <v>0</v>
      </c>
      <c r="G18" s="2">
        <v>52</v>
      </c>
      <c r="H18" s="4" t="s">
        <v>275</v>
      </c>
      <c r="I18" s="2" t="s">
        <v>9</v>
      </c>
      <c r="J18" s="2"/>
      <c r="K18" s="5">
        <v>6.1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5.0999999999999996</v>
      </c>
      <c r="F19" s="20">
        <f t="shared" si="1"/>
        <v>0</v>
      </c>
      <c r="G19" s="2">
        <v>53</v>
      </c>
      <c r="H19" s="4" t="s">
        <v>276</v>
      </c>
      <c r="I19" s="2" t="s">
        <v>9</v>
      </c>
      <c r="J19" s="2"/>
      <c r="K19" s="5">
        <v>7.5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2.2999999999999998</v>
      </c>
      <c r="F20" s="20">
        <f t="shared" si="1"/>
        <v>0</v>
      </c>
      <c r="G20" s="2">
        <v>54</v>
      </c>
      <c r="H20" s="4" t="s">
        <v>277</v>
      </c>
      <c r="I20" s="2" t="s">
        <v>9</v>
      </c>
      <c r="J20" s="2"/>
      <c r="K20" s="5">
        <v>8.5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1.25</v>
      </c>
      <c r="F21" s="20">
        <f t="shared" si="1"/>
        <v>0</v>
      </c>
      <c r="G21" s="2">
        <v>55</v>
      </c>
      <c r="H21" s="4" t="s">
        <v>106</v>
      </c>
      <c r="I21" s="2" t="s">
        <v>9</v>
      </c>
      <c r="J21" s="2"/>
      <c r="K21" s="5">
        <v>7.5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5.5</v>
      </c>
      <c r="F22" s="20">
        <f t="shared" si="1"/>
        <v>0</v>
      </c>
      <c r="G22" s="2">
        <v>56</v>
      </c>
      <c r="H22" s="4" t="s">
        <v>278</v>
      </c>
      <c r="I22" s="2" t="s">
        <v>9</v>
      </c>
      <c r="J22" s="2"/>
      <c r="K22" s="5">
        <v>2.1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6.25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4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5.9</v>
      </c>
      <c r="F24" s="20">
        <f t="shared" si="1"/>
        <v>0</v>
      </c>
      <c r="G24" s="2">
        <v>58</v>
      </c>
      <c r="H24" s="4" t="s">
        <v>279</v>
      </c>
      <c r="I24" s="2" t="s">
        <v>9</v>
      </c>
      <c r="J24" s="4"/>
      <c r="K24" s="2">
        <v>2.1</v>
      </c>
      <c r="L24" s="5">
        <f t="shared" si="0"/>
        <v>0</v>
      </c>
    </row>
    <row r="25" spans="1:12" ht="13.15" customHeight="1">
      <c r="A25" s="2">
        <v>21</v>
      </c>
      <c r="B25" s="4" t="s">
        <v>96</v>
      </c>
      <c r="C25" s="2" t="s">
        <v>9</v>
      </c>
      <c r="D25" s="2"/>
      <c r="E25" s="5">
        <v>6.6</v>
      </c>
      <c r="F25" s="20">
        <f t="shared" si="1"/>
        <v>0</v>
      </c>
      <c r="G25" s="2">
        <v>59</v>
      </c>
      <c r="H25" s="4" t="s">
        <v>280</v>
      </c>
      <c r="I25" s="2" t="s">
        <v>9</v>
      </c>
      <c r="J25" s="4"/>
      <c r="K25" s="2">
        <v>8.75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5.2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5.75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4.25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4"/>
      <c r="K27" s="2">
        <v>3.35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4.75</v>
      </c>
      <c r="F28" s="20">
        <f t="shared" si="1"/>
        <v>0</v>
      </c>
      <c r="G28" s="2">
        <v>62</v>
      </c>
      <c r="H28" s="4" t="s">
        <v>281</v>
      </c>
      <c r="I28" s="2" t="s">
        <v>9</v>
      </c>
      <c r="J28" s="4"/>
      <c r="K28" s="2">
        <v>4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5.5</v>
      </c>
      <c r="F29" s="20">
        <f t="shared" si="1"/>
        <v>0</v>
      </c>
      <c r="G29" s="2">
        <v>63</v>
      </c>
      <c r="H29" s="4" t="s">
        <v>140</v>
      </c>
      <c r="I29" s="2" t="s">
        <v>9</v>
      </c>
      <c r="J29" s="4"/>
      <c r="K29" s="2">
        <v>7.5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4.4000000000000004</v>
      </c>
      <c r="F30" s="5">
        <f t="shared" si="1"/>
        <v>0</v>
      </c>
      <c r="G30" s="2">
        <v>64</v>
      </c>
      <c r="H30" s="4" t="s">
        <v>282</v>
      </c>
      <c r="I30" s="2" t="s">
        <v>9</v>
      </c>
      <c r="J30" s="4"/>
      <c r="K30" s="2">
        <v>4.25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5.75</v>
      </c>
      <c r="F31" s="5">
        <f t="shared" si="1"/>
        <v>0</v>
      </c>
      <c r="G31" s="2">
        <v>65</v>
      </c>
      <c r="H31" s="4" t="s">
        <v>283</v>
      </c>
      <c r="I31" s="2" t="s">
        <v>9</v>
      </c>
      <c r="J31" s="4"/>
      <c r="K31" s="2">
        <v>3.4</v>
      </c>
      <c r="L31" s="5">
        <f t="shared" si="0"/>
        <v>0</v>
      </c>
    </row>
    <row r="32" spans="1:12" ht="13.15" customHeight="1">
      <c r="A32" s="2">
        <v>28</v>
      </c>
      <c r="B32" s="4" t="s">
        <v>104</v>
      </c>
      <c r="C32" s="2" t="s">
        <v>9</v>
      </c>
      <c r="D32" s="2"/>
      <c r="E32" s="5">
        <v>7.5</v>
      </c>
      <c r="F32" s="20">
        <f t="shared" si="1"/>
        <v>0</v>
      </c>
      <c r="G32" s="2">
        <v>66</v>
      </c>
      <c r="H32" s="4" t="s">
        <v>284</v>
      </c>
      <c r="I32" s="2" t="s">
        <v>9</v>
      </c>
      <c r="J32" s="4"/>
      <c r="K32" s="2">
        <v>5.75</v>
      </c>
      <c r="L32" s="5">
        <f t="shared" si="0"/>
        <v>0</v>
      </c>
    </row>
    <row r="33" spans="1:12" ht="13.15" customHeight="1">
      <c r="A33" s="2">
        <v>29</v>
      </c>
      <c r="B33" s="4" t="s">
        <v>285</v>
      </c>
      <c r="C33" s="2" t="s">
        <v>9</v>
      </c>
      <c r="D33" s="2"/>
      <c r="E33" s="5">
        <v>5.3</v>
      </c>
      <c r="F33" s="5">
        <f t="shared" si="1"/>
        <v>0</v>
      </c>
      <c r="G33" s="2">
        <v>67</v>
      </c>
      <c r="H33" s="4" t="s">
        <v>286</v>
      </c>
      <c r="I33" s="2" t="s">
        <v>9</v>
      </c>
      <c r="J33" s="4"/>
      <c r="K33" s="2">
        <v>2.2000000000000002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5.75</v>
      </c>
      <c r="F34" s="5">
        <f t="shared" si="1"/>
        <v>0</v>
      </c>
      <c r="G34" s="2">
        <v>68</v>
      </c>
      <c r="H34" s="4" t="s">
        <v>287</v>
      </c>
      <c r="I34" s="2" t="s">
        <v>9</v>
      </c>
      <c r="J34" s="4"/>
      <c r="K34" s="2">
        <v>3.4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5.3</v>
      </c>
      <c r="F35" s="20">
        <f t="shared" si="1"/>
        <v>0</v>
      </c>
      <c r="G35" s="2">
        <v>69</v>
      </c>
      <c r="H35" s="4" t="s">
        <v>288</v>
      </c>
      <c r="I35" s="2" t="s">
        <v>9</v>
      </c>
      <c r="J35" s="4"/>
      <c r="K35" s="2">
        <v>3.4</v>
      </c>
      <c r="L35" s="5">
        <f t="shared" si="0"/>
        <v>0</v>
      </c>
    </row>
    <row r="36" spans="1:12" ht="13.15" customHeight="1">
      <c r="A36" s="2">
        <v>32</v>
      </c>
      <c r="B36" s="4" t="s">
        <v>74</v>
      </c>
      <c r="C36" s="2" t="s">
        <v>9</v>
      </c>
      <c r="D36" s="2"/>
      <c r="E36" s="2">
        <v>2.2999999999999998</v>
      </c>
      <c r="F36" s="20">
        <f t="shared" si="1"/>
        <v>0</v>
      </c>
      <c r="G36" s="2">
        <v>70</v>
      </c>
      <c r="H36" s="4" t="s">
        <v>289</v>
      </c>
      <c r="I36" s="2" t="s">
        <v>9</v>
      </c>
      <c r="J36" s="4"/>
      <c r="K36" s="2">
        <v>34.25</v>
      </c>
      <c r="L36" s="5">
        <f t="shared" si="0"/>
        <v>0</v>
      </c>
    </row>
    <row r="37" spans="1:12" ht="13.15" customHeight="1">
      <c r="A37" s="2">
        <v>33</v>
      </c>
      <c r="B37" s="4" t="s">
        <v>76</v>
      </c>
      <c r="C37" s="2" t="s">
        <v>9</v>
      </c>
      <c r="D37" s="2"/>
      <c r="E37" s="2">
        <v>3.25</v>
      </c>
      <c r="F37" s="20">
        <f t="shared" si="1"/>
        <v>0</v>
      </c>
      <c r="G37" s="2">
        <v>71</v>
      </c>
      <c r="H37" s="4" t="s">
        <v>290</v>
      </c>
      <c r="I37" s="2" t="s">
        <v>9</v>
      </c>
      <c r="J37" s="4"/>
      <c r="K37" s="2">
        <v>3.75</v>
      </c>
      <c r="L37" s="5">
        <f t="shared" si="0"/>
        <v>0</v>
      </c>
    </row>
    <row r="38" spans="1:12" ht="13.15" customHeight="1">
      <c r="A38" s="2">
        <v>34</v>
      </c>
      <c r="B38" s="4" t="s">
        <v>78</v>
      </c>
      <c r="C38" s="2" t="s">
        <v>9</v>
      </c>
      <c r="D38" s="2"/>
      <c r="E38" s="2">
        <v>6.25</v>
      </c>
      <c r="F38" s="20">
        <f t="shared" si="1"/>
        <v>0</v>
      </c>
      <c r="G38" s="2">
        <v>72</v>
      </c>
      <c r="H38" s="4" t="s">
        <v>291</v>
      </c>
      <c r="I38" s="2" t="s">
        <v>9</v>
      </c>
      <c r="J38" s="4"/>
      <c r="K38" s="2">
        <v>6.25</v>
      </c>
      <c r="L38" s="5">
        <f t="shared" si="0"/>
        <v>0</v>
      </c>
    </row>
    <row r="39" spans="1:12" ht="13.15" customHeight="1">
      <c r="A39" s="2">
        <v>35</v>
      </c>
      <c r="B39" s="4" t="s">
        <v>80</v>
      </c>
      <c r="C39" s="2" t="s">
        <v>9</v>
      </c>
      <c r="D39" s="2"/>
      <c r="E39" s="2">
        <v>3.75</v>
      </c>
      <c r="F39" s="20">
        <f t="shared" si="1"/>
        <v>0</v>
      </c>
      <c r="G39" s="2">
        <v>73</v>
      </c>
      <c r="H39" s="4" t="s">
        <v>111</v>
      </c>
      <c r="I39" s="2" t="s">
        <v>9</v>
      </c>
      <c r="J39" s="4"/>
      <c r="K39" s="2">
        <v>3.2</v>
      </c>
      <c r="L39" s="5">
        <f t="shared" si="0"/>
        <v>0</v>
      </c>
    </row>
    <row r="40" spans="1:12" ht="13.15" customHeight="1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0</v>
      </c>
    </row>
    <row r="42" spans="1:12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>
  <dimension ref="A1:L42"/>
  <sheetViews>
    <sheetView topLeftCell="A22" workbookViewId="0">
      <selection activeCell="P11" sqref="P11"/>
    </sheetView>
  </sheetViews>
  <sheetFormatPr defaultRowHeight="13.15" customHeight="1"/>
  <cols>
    <col min="1" max="1" width="4.7109375" style="17" customWidth="1"/>
    <col min="2" max="2" width="23.7109375" customWidth="1"/>
    <col min="3" max="3" width="6.42578125" customWidth="1"/>
    <col min="4" max="4" width="8.140625" customWidth="1"/>
    <col min="5" max="5" width="8.42578125" customWidth="1"/>
    <col min="6" max="6" width="8.85546875" style="17"/>
    <col min="7" max="7" width="5.28515625" style="17" customWidth="1"/>
    <col min="8" max="8" width="24.5703125" customWidth="1"/>
    <col min="9" max="9" width="6.42578125" customWidth="1"/>
    <col min="10" max="10" width="7.42578125" customWidth="1"/>
    <col min="11" max="11" width="8.28515625" customWidth="1"/>
    <col min="12" max="12" width="8.28515625" style="17" customWidth="1"/>
  </cols>
  <sheetData>
    <row r="1" spans="1:12" ht="13.15" customHeight="1">
      <c r="A1" s="30" t="s">
        <v>262</v>
      </c>
      <c r="B1" s="30"/>
      <c r="C1" s="30"/>
      <c r="D1" s="36" t="s">
        <v>263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2.0499999999999998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6.35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1.9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4.45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7.5</v>
      </c>
      <c r="L6" s="5">
        <f t="shared" si="0"/>
        <v>0</v>
      </c>
    </row>
    <row r="7" spans="1:12" ht="13.15" customHeight="1">
      <c r="A7" s="2">
        <v>3</v>
      </c>
      <c r="B7" s="4" t="s">
        <v>264</v>
      </c>
      <c r="C7" s="2" t="s">
        <v>9</v>
      </c>
      <c r="D7" s="2"/>
      <c r="E7" s="5">
        <v>5.5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1.9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6.85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4.75</v>
      </c>
      <c r="F9" s="20">
        <f t="shared" si="1"/>
        <v>0</v>
      </c>
      <c r="G9" s="2">
        <v>43</v>
      </c>
      <c r="H9" s="4" t="s">
        <v>265</v>
      </c>
      <c r="I9" s="2" t="s">
        <v>9</v>
      </c>
      <c r="J9" s="2"/>
      <c r="K9" s="5">
        <v>3.4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5.5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266</v>
      </c>
      <c r="C11" s="2" t="s">
        <v>9</v>
      </c>
      <c r="D11" s="2"/>
      <c r="E11" s="5">
        <v>5.5</v>
      </c>
      <c r="F11" s="20">
        <f t="shared" si="1"/>
        <v>0</v>
      </c>
      <c r="G11" s="2">
        <v>45</v>
      </c>
      <c r="H11" s="4" t="s">
        <v>267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5.7</v>
      </c>
      <c r="F12" s="20">
        <f t="shared" si="1"/>
        <v>0</v>
      </c>
      <c r="G12" s="2">
        <v>46</v>
      </c>
      <c r="H12" s="4" t="s">
        <v>268</v>
      </c>
      <c r="I12" s="2" t="s">
        <v>9</v>
      </c>
      <c r="J12" s="2"/>
      <c r="K12" s="5">
        <v>2.35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5.8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5.65</v>
      </c>
      <c r="F14" s="20">
        <f t="shared" si="1"/>
        <v>0</v>
      </c>
      <c r="G14" s="2">
        <v>48</v>
      </c>
      <c r="H14" s="4" t="s">
        <v>269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128</v>
      </c>
      <c r="C15" s="2" t="s">
        <v>9</v>
      </c>
      <c r="D15" s="2"/>
      <c r="E15" s="5">
        <v>6.3</v>
      </c>
      <c r="F15" s="20">
        <f t="shared" si="1"/>
        <v>0</v>
      </c>
      <c r="G15" s="2">
        <v>49</v>
      </c>
      <c r="H15" s="4" t="s">
        <v>270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271</v>
      </c>
      <c r="C16" s="2" t="s">
        <v>9</v>
      </c>
      <c r="D16" s="2"/>
      <c r="E16" s="5">
        <v>5.8</v>
      </c>
      <c r="F16" s="20">
        <f t="shared" si="1"/>
        <v>0</v>
      </c>
      <c r="G16" s="2">
        <v>50</v>
      </c>
      <c r="H16" s="4" t="s">
        <v>272</v>
      </c>
      <c r="I16" s="2" t="s">
        <v>9</v>
      </c>
      <c r="J16" s="2"/>
      <c r="K16" s="5">
        <v>7.75</v>
      </c>
      <c r="L16" s="5">
        <f t="shared" si="0"/>
        <v>0</v>
      </c>
    </row>
    <row r="17" spans="1:12" ht="13.15" customHeight="1">
      <c r="A17" s="2">
        <v>13</v>
      </c>
      <c r="B17" s="4" t="s">
        <v>273</v>
      </c>
      <c r="C17" s="2" t="s">
        <v>9</v>
      </c>
      <c r="D17" s="2"/>
      <c r="E17" s="5">
        <v>6.3</v>
      </c>
      <c r="F17" s="20">
        <f t="shared" si="1"/>
        <v>0</v>
      </c>
      <c r="G17" s="2">
        <v>51</v>
      </c>
      <c r="H17" s="4" t="s">
        <v>274</v>
      </c>
      <c r="I17" s="2" t="s">
        <v>9</v>
      </c>
      <c r="J17" s="2"/>
      <c r="K17" s="5">
        <v>6.25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4.5999999999999996</v>
      </c>
      <c r="F18" s="20">
        <f t="shared" si="1"/>
        <v>0</v>
      </c>
      <c r="G18" s="2">
        <v>52</v>
      </c>
      <c r="H18" s="4" t="s">
        <v>275</v>
      </c>
      <c r="I18" s="2" t="s">
        <v>9</v>
      </c>
      <c r="J18" s="2"/>
      <c r="K18" s="5">
        <v>6.1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5.0999999999999996</v>
      </c>
      <c r="F19" s="20">
        <f t="shared" si="1"/>
        <v>0</v>
      </c>
      <c r="G19" s="2">
        <v>53</v>
      </c>
      <c r="H19" s="4" t="s">
        <v>276</v>
      </c>
      <c r="I19" s="2" t="s">
        <v>9</v>
      </c>
      <c r="J19" s="2"/>
      <c r="K19" s="5">
        <v>7.5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2.2999999999999998</v>
      </c>
      <c r="F20" s="20">
        <f t="shared" si="1"/>
        <v>0</v>
      </c>
      <c r="G20" s="2">
        <v>54</v>
      </c>
      <c r="H20" s="4" t="s">
        <v>277</v>
      </c>
      <c r="I20" s="2" t="s">
        <v>9</v>
      </c>
      <c r="J20" s="2"/>
      <c r="K20" s="5">
        <v>8.5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1.25</v>
      </c>
      <c r="F21" s="20">
        <f t="shared" si="1"/>
        <v>0</v>
      </c>
      <c r="G21" s="2">
        <v>55</v>
      </c>
      <c r="H21" s="4" t="s">
        <v>106</v>
      </c>
      <c r="I21" s="2" t="s">
        <v>9</v>
      </c>
      <c r="J21" s="2"/>
      <c r="K21" s="5">
        <v>7.5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5.5</v>
      </c>
      <c r="F22" s="20">
        <f t="shared" si="1"/>
        <v>0</v>
      </c>
      <c r="G22" s="2">
        <v>56</v>
      </c>
      <c r="H22" s="4" t="s">
        <v>278</v>
      </c>
      <c r="I22" s="2" t="s">
        <v>9</v>
      </c>
      <c r="J22" s="2"/>
      <c r="K22" s="5">
        <v>2.1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6.25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4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5.9</v>
      </c>
      <c r="F24" s="20">
        <f t="shared" si="1"/>
        <v>0</v>
      </c>
      <c r="G24" s="2">
        <v>58</v>
      </c>
      <c r="H24" s="4" t="s">
        <v>279</v>
      </c>
      <c r="I24" s="2" t="s">
        <v>9</v>
      </c>
      <c r="J24" s="4"/>
      <c r="K24" s="2">
        <v>2.1</v>
      </c>
      <c r="L24" s="5">
        <f t="shared" si="0"/>
        <v>0</v>
      </c>
    </row>
    <row r="25" spans="1:12" ht="13.15" customHeight="1">
      <c r="A25" s="2">
        <v>21</v>
      </c>
      <c r="B25" s="4" t="s">
        <v>96</v>
      </c>
      <c r="C25" s="2" t="s">
        <v>9</v>
      </c>
      <c r="D25" s="2"/>
      <c r="E25" s="5">
        <v>6.6</v>
      </c>
      <c r="F25" s="20">
        <f t="shared" si="1"/>
        <v>0</v>
      </c>
      <c r="G25" s="2">
        <v>59</v>
      </c>
      <c r="H25" s="4" t="s">
        <v>280</v>
      </c>
      <c r="I25" s="2" t="s">
        <v>9</v>
      </c>
      <c r="J25" s="4"/>
      <c r="K25" s="2">
        <v>8.75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5.2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5.75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4.25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4"/>
      <c r="K27" s="2">
        <v>3.35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4.75</v>
      </c>
      <c r="F28" s="20">
        <f t="shared" si="1"/>
        <v>0</v>
      </c>
      <c r="G28" s="2">
        <v>62</v>
      </c>
      <c r="H28" s="4" t="s">
        <v>281</v>
      </c>
      <c r="I28" s="2" t="s">
        <v>9</v>
      </c>
      <c r="J28" s="4"/>
      <c r="K28" s="2">
        <v>4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5.5</v>
      </c>
      <c r="F29" s="20">
        <f t="shared" si="1"/>
        <v>0</v>
      </c>
      <c r="G29" s="2">
        <v>63</v>
      </c>
      <c r="H29" s="4" t="s">
        <v>140</v>
      </c>
      <c r="I29" s="2" t="s">
        <v>9</v>
      </c>
      <c r="J29" s="4"/>
      <c r="K29" s="2">
        <v>7.5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4.4000000000000004</v>
      </c>
      <c r="F30" s="5">
        <f t="shared" si="1"/>
        <v>0</v>
      </c>
      <c r="G30" s="2">
        <v>64</v>
      </c>
      <c r="H30" s="4" t="s">
        <v>282</v>
      </c>
      <c r="I30" s="2" t="s">
        <v>9</v>
      </c>
      <c r="J30" s="4"/>
      <c r="K30" s="2">
        <v>4.25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5.75</v>
      </c>
      <c r="F31" s="5">
        <f t="shared" si="1"/>
        <v>0</v>
      </c>
      <c r="G31" s="2">
        <v>65</v>
      </c>
      <c r="H31" s="4" t="s">
        <v>283</v>
      </c>
      <c r="I31" s="2" t="s">
        <v>9</v>
      </c>
      <c r="J31" s="4"/>
      <c r="K31" s="2">
        <v>3.4</v>
      </c>
      <c r="L31" s="5">
        <f t="shared" si="0"/>
        <v>0</v>
      </c>
    </row>
    <row r="32" spans="1:12" ht="13.15" customHeight="1">
      <c r="A32" s="2">
        <v>28</v>
      </c>
      <c r="B32" s="4" t="s">
        <v>104</v>
      </c>
      <c r="C32" s="2" t="s">
        <v>9</v>
      </c>
      <c r="D32" s="2"/>
      <c r="E32" s="5">
        <v>7.5</v>
      </c>
      <c r="F32" s="20">
        <f t="shared" si="1"/>
        <v>0</v>
      </c>
      <c r="G32" s="2">
        <v>66</v>
      </c>
      <c r="H32" s="4" t="s">
        <v>284</v>
      </c>
      <c r="I32" s="2" t="s">
        <v>9</v>
      </c>
      <c r="J32" s="4"/>
      <c r="K32" s="2">
        <v>5.75</v>
      </c>
      <c r="L32" s="5">
        <f t="shared" si="0"/>
        <v>0</v>
      </c>
    </row>
    <row r="33" spans="1:12" ht="13.15" customHeight="1">
      <c r="A33" s="2">
        <v>29</v>
      </c>
      <c r="B33" s="4" t="s">
        <v>285</v>
      </c>
      <c r="C33" s="2" t="s">
        <v>9</v>
      </c>
      <c r="D33" s="2"/>
      <c r="E33" s="5">
        <v>5.3</v>
      </c>
      <c r="F33" s="5">
        <f t="shared" si="1"/>
        <v>0</v>
      </c>
      <c r="G33" s="2">
        <v>67</v>
      </c>
      <c r="H33" s="4" t="s">
        <v>286</v>
      </c>
      <c r="I33" s="2" t="s">
        <v>9</v>
      </c>
      <c r="J33" s="4"/>
      <c r="K33" s="2">
        <v>2.2000000000000002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5.75</v>
      </c>
      <c r="F34" s="5">
        <f t="shared" si="1"/>
        <v>0</v>
      </c>
      <c r="G34" s="2">
        <v>68</v>
      </c>
      <c r="H34" s="4" t="s">
        <v>287</v>
      </c>
      <c r="I34" s="2" t="s">
        <v>9</v>
      </c>
      <c r="J34" s="4"/>
      <c r="K34" s="2">
        <v>3.4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5.3</v>
      </c>
      <c r="F35" s="20">
        <f t="shared" si="1"/>
        <v>0</v>
      </c>
      <c r="G35" s="2">
        <v>69</v>
      </c>
      <c r="H35" s="4" t="s">
        <v>288</v>
      </c>
      <c r="I35" s="2" t="s">
        <v>9</v>
      </c>
      <c r="J35" s="4"/>
      <c r="K35" s="2">
        <v>3.4</v>
      </c>
      <c r="L35" s="5">
        <f t="shared" si="0"/>
        <v>0</v>
      </c>
    </row>
    <row r="36" spans="1:12" ht="13.15" customHeight="1">
      <c r="A36" s="2">
        <v>32</v>
      </c>
      <c r="B36" s="4" t="s">
        <v>74</v>
      </c>
      <c r="C36" s="2" t="s">
        <v>9</v>
      </c>
      <c r="D36" s="2"/>
      <c r="E36" s="2">
        <v>2.2999999999999998</v>
      </c>
      <c r="F36" s="20">
        <f t="shared" si="1"/>
        <v>0</v>
      </c>
      <c r="G36" s="2">
        <v>70</v>
      </c>
      <c r="H36" s="4" t="s">
        <v>289</v>
      </c>
      <c r="I36" s="2" t="s">
        <v>9</v>
      </c>
      <c r="J36" s="4"/>
      <c r="K36" s="2">
        <v>34.25</v>
      </c>
      <c r="L36" s="5">
        <f t="shared" si="0"/>
        <v>0</v>
      </c>
    </row>
    <row r="37" spans="1:12" ht="13.15" customHeight="1">
      <c r="A37" s="2">
        <v>33</v>
      </c>
      <c r="B37" s="4" t="s">
        <v>76</v>
      </c>
      <c r="C37" s="2" t="s">
        <v>9</v>
      </c>
      <c r="D37" s="2"/>
      <c r="E37" s="2">
        <v>3.25</v>
      </c>
      <c r="F37" s="20">
        <f t="shared" si="1"/>
        <v>0</v>
      </c>
      <c r="G37" s="2">
        <v>71</v>
      </c>
      <c r="H37" s="4" t="s">
        <v>290</v>
      </c>
      <c r="I37" s="2" t="s">
        <v>9</v>
      </c>
      <c r="J37" s="4"/>
      <c r="K37" s="2">
        <v>3.75</v>
      </c>
      <c r="L37" s="5">
        <f t="shared" si="0"/>
        <v>0</v>
      </c>
    </row>
    <row r="38" spans="1:12" ht="13.15" customHeight="1">
      <c r="A38" s="2">
        <v>34</v>
      </c>
      <c r="B38" s="4" t="s">
        <v>78</v>
      </c>
      <c r="C38" s="2" t="s">
        <v>9</v>
      </c>
      <c r="D38" s="2"/>
      <c r="E38" s="2">
        <v>6.25</v>
      </c>
      <c r="F38" s="20">
        <f t="shared" si="1"/>
        <v>0</v>
      </c>
      <c r="G38" s="2">
        <v>72</v>
      </c>
      <c r="H38" s="4" t="s">
        <v>291</v>
      </c>
      <c r="I38" s="2" t="s">
        <v>9</v>
      </c>
      <c r="J38" s="4"/>
      <c r="K38" s="2">
        <v>6.25</v>
      </c>
      <c r="L38" s="5">
        <f t="shared" si="0"/>
        <v>0</v>
      </c>
    </row>
    <row r="39" spans="1:12" ht="13.15" customHeight="1">
      <c r="A39" s="2">
        <v>35</v>
      </c>
      <c r="B39" s="4" t="s">
        <v>80</v>
      </c>
      <c r="C39" s="2" t="s">
        <v>9</v>
      </c>
      <c r="D39" s="2"/>
      <c r="E39" s="2">
        <v>3.75</v>
      </c>
      <c r="F39" s="20">
        <f t="shared" si="1"/>
        <v>0</v>
      </c>
      <c r="G39" s="2">
        <v>73</v>
      </c>
      <c r="H39" s="4" t="s">
        <v>111</v>
      </c>
      <c r="I39" s="2" t="s">
        <v>9</v>
      </c>
      <c r="J39" s="4"/>
      <c r="K39" s="2">
        <v>3.2</v>
      </c>
      <c r="L39" s="5">
        <f t="shared" si="0"/>
        <v>0</v>
      </c>
    </row>
    <row r="40" spans="1:12" ht="13.15" customHeight="1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0</v>
      </c>
    </row>
    <row r="42" spans="1:12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>
  <dimension ref="A1:L42"/>
  <sheetViews>
    <sheetView topLeftCell="A22" workbookViewId="0">
      <selection activeCell="P11" sqref="P11"/>
    </sheetView>
  </sheetViews>
  <sheetFormatPr defaultRowHeight="13.15" customHeight="1"/>
  <cols>
    <col min="1" max="1" width="4.7109375" style="17" customWidth="1"/>
    <col min="2" max="2" width="23.7109375" customWidth="1"/>
    <col min="3" max="3" width="6.42578125" customWidth="1"/>
    <col min="4" max="4" width="8.140625" customWidth="1"/>
    <col min="5" max="5" width="8.42578125" customWidth="1"/>
    <col min="6" max="6" width="8.85546875" style="17"/>
    <col min="7" max="7" width="5.28515625" style="17" customWidth="1"/>
    <col min="8" max="8" width="24.5703125" customWidth="1"/>
    <col min="9" max="9" width="6.42578125" customWidth="1"/>
    <col min="10" max="10" width="7.42578125" customWidth="1"/>
    <col min="11" max="11" width="8.28515625" customWidth="1"/>
    <col min="12" max="12" width="8.28515625" style="17" customWidth="1"/>
  </cols>
  <sheetData>
    <row r="1" spans="1:12" ht="13.15" customHeight="1">
      <c r="A1" s="30" t="s">
        <v>262</v>
      </c>
      <c r="B1" s="30"/>
      <c r="C1" s="30"/>
      <c r="D1" s="36" t="s">
        <v>263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2.0499999999999998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6.35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1.9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4.45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7.5</v>
      </c>
      <c r="L6" s="5">
        <f t="shared" si="0"/>
        <v>0</v>
      </c>
    </row>
    <row r="7" spans="1:12" ht="13.15" customHeight="1">
      <c r="A7" s="2">
        <v>3</v>
      </c>
      <c r="B7" s="4" t="s">
        <v>264</v>
      </c>
      <c r="C7" s="2" t="s">
        <v>9</v>
      </c>
      <c r="D7" s="2"/>
      <c r="E7" s="5">
        <v>5.5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1.9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6.85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4.75</v>
      </c>
      <c r="F9" s="20">
        <f t="shared" si="1"/>
        <v>0</v>
      </c>
      <c r="G9" s="2">
        <v>43</v>
      </c>
      <c r="H9" s="4" t="s">
        <v>265</v>
      </c>
      <c r="I9" s="2" t="s">
        <v>9</v>
      </c>
      <c r="J9" s="2"/>
      <c r="K9" s="5">
        <v>3.4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5.5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266</v>
      </c>
      <c r="C11" s="2" t="s">
        <v>9</v>
      </c>
      <c r="D11" s="2"/>
      <c r="E11" s="5">
        <v>5.5</v>
      </c>
      <c r="F11" s="20">
        <f t="shared" si="1"/>
        <v>0</v>
      </c>
      <c r="G11" s="2">
        <v>45</v>
      </c>
      <c r="H11" s="4" t="s">
        <v>267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5.7</v>
      </c>
      <c r="F12" s="20">
        <f t="shared" si="1"/>
        <v>0</v>
      </c>
      <c r="G12" s="2">
        <v>46</v>
      </c>
      <c r="H12" s="4" t="s">
        <v>268</v>
      </c>
      <c r="I12" s="2" t="s">
        <v>9</v>
      </c>
      <c r="J12" s="2"/>
      <c r="K12" s="5">
        <v>2.35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5.8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5.65</v>
      </c>
      <c r="F14" s="20">
        <f t="shared" si="1"/>
        <v>0</v>
      </c>
      <c r="G14" s="2">
        <v>48</v>
      </c>
      <c r="H14" s="4" t="s">
        <v>269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128</v>
      </c>
      <c r="C15" s="2" t="s">
        <v>9</v>
      </c>
      <c r="D15" s="2"/>
      <c r="E15" s="5">
        <v>6.3</v>
      </c>
      <c r="F15" s="20">
        <f t="shared" si="1"/>
        <v>0</v>
      </c>
      <c r="G15" s="2">
        <v>49</v>
      </c>
      <c r="H15" s="4" t="s">
        <v>270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271</v>
      </c>
      <c r="C16" s="2" t="s">
        <v>9</v>
      </c>
      <c r="D16" s="2"/>
      <c r="E16" s="5">
        <v>5.8</v>
      </c>
      <c r="F16" s="20">
        <f t="shared" si="1"/>
        <v>0</v>
      </c>
      <c r="G16" s="2">
        <v>50</v>
      </c>
      <c r="H16" s="4" t="s">
        <v>272</v>
      </c>
      <c r="I16" s="2" t="s">
        <v>9</v>
      </c>
      <c r="J16" s="2"/>
      <c r="K16" s="5">
        <v>7.75</v>
      </c>
      <c r="L16" s="5">
        <f t="shared" si="0"/>
        <v>0</v>
      </c>
    </row>
    <row r="17" spans="1:12" ht="13.15" customHeight="1">
      <c r="A17" s="2">
        <v>13</v>
      </c>
      <c r="B17" s="4" t="s">
        <v>273</v>
      </c>
      <c r="C17" s="2" t="s">
        <v>9</v>
      </c>
      <c r="D17" s="2"/>
      <c r="E17" s="5">
        <v>6.3</v>
      </c>
      <c r="F17" s="20">
        <f t="shared" si="1"/>
        <v>0</v>
      </c>
      <c r="G17" s="2">
        <v>51</v>
      </c>
      <c r="H17" s="4" t="s">
        <v>274</v>
      </c>
      <c r="I17" s="2" t="s">
        <v>9</v>
      </c>
      <c r="J17" s="2"/>
      <c r="K17" s="5">
        <v>6.25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4.5999999999999996</v>
      </c>
      <c r="F18" s="20">
        <f t="shared" si="1"/>
        <v>0</v>
      </c>
      <c r="G18" s="2">
        <v>52</v>
      </c>
      <c r="H18" s="4" t="s">
        <v>275</v>
      </c>
      <c r="I18" s="2" t="s">
        <v>9</v>
      </c>
      <c r="J18" s="2"/>
      <c r="K18" s="5">
        <v>6.1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5.0999999999999996</v>
      </c>
      <c r="F19" s="20">
        <f t="shared" si="1"/>
        <v>0</v>
      </c>
      <c r="G19" s="2">
        <v>53</v>
      </c>
      <c r="H19" s="4" t="s">
        <v>276</v>
      </c>
      <c r="I19" s="2" t="s">
        <v>9</v>
      </c>
      <c r="J19" s="2"/>
      <c r="K19" s="5">
        <v>7.5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2.2999999999999998</v>
      </c>
      <c r="F20" s="20">
        <f t="shared" si="1"/>
        <v>0</v>
      </c>
      <c r="G20" s="2">
        <v>54</v>
      </c>
      <c r="H20" s="4" t="s">
        <v>277</v>
      </c>
      <c r="I20" s="2" t="s">
        <v>9</v>
      </c>
      <c r="J20" s="2"/>
      <c r="K20" s="5">
        <v>8.5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1.25</v>
      </c>
      <c r="F21" s="20">
        <f t="shared" si="1"/>
        <v>0</v>
      </c>
      <c r="G21" s="2">
        <v>55</v>
      </c>
      <c r="H21" s="4" t="s">
        <v>106</v>
      </c>
      <c r="I21" s="2" t="s">
        <v>9</v>
      </c>
      <c r="J21" s="2"/>
      <c r="K21" s="5">
        <v>7.5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5.5</v>
      </c>
      <c r="F22" s="20">
        <f t="shared" si="1"/>
        <v>0</v>
      </c>
      <c r="G22" s="2">
        <v>56</v>
      </c>
      <c r="H22" s="4" t="s">
        <v>278</v>
      </c>
      <c r="I22" s="2" t="s">
        <v>9</v>
      </c>
      <c r="J22" s="2"/>
      <c r="K22" s="5">
        <v>2.1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6.25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4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5.9</v>
      </c>
      <c r="F24" s="20">
        <f t="shared" si="1"/>
        <v>0</v>
      </c>
      <c r="G24" s="2">
        <v>58</v>
      </c>
      <c r="H24" s="4" t="s">
        <v>279</v>
      </c>
      <c r="I24" s="2" t="s">
        <v>9</v>
      </c>
      <c r="J24" s="4"/>
      <c r="K24" s="2">
        <v>2.1</v>
      </c>
      <c r="L24" s="5">
        <f t="shared" si="0"/>
        <v>0</v>
      </c>
    </row>
    <row r="25" spans="1:12" ht="13.15" customHeight="1">
      <c r="A25" s="2">
        <v>21</v>
      </c>
      <c r="B25" s="4" t="s">
        <v>96</v>
      </c>
      <c r="C25" s="2" t="s">
        <v>9</v>
      </c>
      <c r="D25" s="2"/>
      <c r="E25" s="5">
        <v>6.6</v>
      </c>
      <c r="F25" s="20">
        <f t="shared" si="1"/>
        <v>0</v>
      </c>
      <c r="G25" s="2">
        <v>59</v>
      </c>
      <c r="H25" s="4" t="s">
        <v>280</v>
      </c>
      <c r="I25" s="2" t="s">
        <v>9</v>
      </c>
      <c r="J25" s="4"/>
      <c r="K25" s="2">
        <v>8.75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5.2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5.75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4.25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4"/>
      <c r="K27" s="2">
        <v>3.35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4.75</v>
      </c>
      <c r="F28" s="20">
        <f t="shared" si="1"/>
        <v>0</v>
      </c>
      <c r="G28" s="2">
        <v>62</v>
      </c>
      <c r="H28" s="4" t="s">
        <v>281</v>
      </c>
      <c r="I28" s="2" t="s">
        <v>9</v>
      </c>
      <c r="J28" s="4"/>
      <c r="K28" s="2">
        <v>4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5.5</v>
      </c>
      <c r="F29" s="20">
        <f t="shared" si="1"/>
        <v>0</v>
      </c>
      <c r="G29" s="2">
        <v>63</v>
      </c>
      <c r="H29" s="4" t="s">
        <v>140</v>
      </c>
      <c r="I29" s="2" t="s">
        <v>9</v>
      </c>
      <c r="J29" s="4"/>
      <c r="K29" s="2">
        <v>7.5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4.4000000000000004</v>
      </c>
      <c r="F30" s="5">
        <f t="shared" si="1"/>
        <v>0</v>
      </c>
      <c r="G30" s="2">
        <v>64</v>
      </c>
      <c r="H30" s="4" t="s">
        <v>282</v>
      </c>
      <c r="I30" s="2" t="s">
        <v>9</v>
      </c>
      <c r="J30" s="4"/>
      <c r="K30" s="2">
        <v>4.25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5.75</v>
      </c>
      <c r="F31" s="5">
        <f t="shared" si="1"/>
        <v>0</v>
      </c>
      <c r="G31" s="2">
        <v>65</v>
      </c>
      <c r="H31" s="4" t="s">
        <v>283</v>
      </c>
      <c r="I31" s="2" t="s">
        <v>9</v>
      </c>
      <c r="J31" s="4"/>
      <c r="K31" s="2">
        <v>3.4</v>
      </c>
      <c r="L31" s="5">
        <f t="shared" si="0"/>
        <v>0</v>
      </c>
    </row>
    <row r="32" spans="1:12" ht="13.15" customHeight="1">
      <c r="A32" s="2">
        <v>28</v>
      </c>
      <c r="B32" s="4" t="s">
        <v>104</v>
      </c>
      <c r="C32" s="2" t="s">
        <v>9</v>
      </c>
      <c r="D32" s="2"/>
      <c r="E32" s="5">
        <v>7.5</v>
      </c>
      <c r="F32" s="20">
        <f t="shared" si="1"/>
        <v>0</v>
      </c>
      <c r="G32" s="2">
        <v>66</v>
      </c>
      <c r="H32" s="4" t="s">
        <v>284</v>
      </c>
      <c r="I32" s="2" t="s">
        <v>9</v>
      </c>
      <c r="J32" s="4"/>
      <c r="K32" s="2">
        <v>5.75</v>
      </c>
      <c r="L32" s="5">
        <f t="shared" si="0"/>
        <v>0</v>
      </c>
    </row>
    <row r="33" spans="1:12" ht="13.15" customHeight="1">
      <c r="A33" s="2">
        <v>29</v>
      </c>
      <c r="B33" s="4" t="s">
        <v>285</v>
      </c>
      <c r="C33" s="2" t="s">
        <v>9</v>
      </c>
      <c r="D33" s="2"/>
      <c r="E33" s="5">
        <v>5.3</v>
      </c>
      <c r="F33" s="5">
        <f t="shared" si="1"/>
        <v>0</v>
      </c>
      <c r="G33" s="2">
        <v>67</v>
      </c>
      <c r="H33" s="4" t="s">
        <v>286</v>
      </c>
      <c r="I33" s="2" t="s">
        <v>9</v>
      </c>
      <c r="J33" s="4"/>
      <c r="K33" s="2">
        <v>2.2000000000000002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5.75</v>
      </c>
      <c r="F34" s="5">
        <f t="shared" si="1"/>
        <v>0</v>
      </c>
      <c r="G34" s="2">
        <v>68</v>
      </c>
      <c r="H34" s="4" t="s">
        <v>287</v>
      </c>
      <c r="I34" s="2" t="s">
        <v>9</v>
      </c>
      <c r="J34" s="4"/>
      <c r="K34" s="2">
        <v>3.4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5.3</v>
      </c>
      <c r="F35" s="20">
        <f t="shared" si="1"/>
        <v>0</v>
      </c>
      <c r="G35" s="2">
        <v>69</v>
      </c>
      <c r="H35" s="4" t="s">
        <v>288</v>
      </c>
      <c r="I35" s="2" t="s">
        <v>9</v>
      </c>
      <c r="J35" s="4"/>
      <c r="K35" s="2">
        <v>3.4</v>
      </c>
      <c r="L35" s="5">
        <f t="shared" si="0"/>
        <v>0</v>
      </c>
    </row>
    <row r="36" spans="1:12" ht="13.15" customHeight="1">
      <c r="A36" s="2">
        <v>32</v>
      </c>
      <c r="B36" s="4" t="s">
        <v>74</v>
      </c>
      <c r="C36" s="2" t="s">
        <v>9</v>
      </c>
      <c r="D36" s="2"/>
      <c r="E36" s="2">
        <v>2.2999999999999998</v>
      </c>
      <c r="F36" s="20">
        <f t="shared" si="1"/>
        <v>0</v>
      </c>
      <c r="G36" s="2">
        <v>70</v>
      </c>
      <c r="H36" s="4" t="s">
        <v>289</v>
      </c>
      <c r="I36" s="2" t="s">
        <v>9</v>
      </c>
      <c r="J36" s="4"/>
      <c r="K36" s="2">
        <v>34.25</v>
      </c>
      <c r="L36" s="5">
        <f t="shared" si="0"/>
        <v>0</v>
      </c>
    </row>
    <row r="37" spans="1:12" ht="13.15" customHeight="1">
      <c r="A37" s="2">
        <v>33</v>
      </c>
      <c r="B37" s="4" t="s">
        <v>76</v>
      </c>
      <c r="C37" s="2" t="s">
        <v>9</v>
      </c>
      <c r="D37" s="2"/>
      <c r="E37" s="2">
        <v>3.25</v>
      </c>
      <c r="F37" s="20">
        <f t="shared" si="1"/>
        <v>0</v>
      </c>
      <c r="G37" s="2">
        <v>71</v>
      </c>
      <c r="H37" s="4" t="s">
        <v>290</v>
      </c>
      <c r="I37" s="2" t="s">
        <v>9</v>
      </c>
      <c r="J37" s="4"/>
      <c r="K37" s="2">
        <v>3.75</v>
      </c>
      <c r="L37" s="5">
        <f t="shared" si="0"/>
        <v>0</v>
      </c>
    </row>
    <row r="38" spans="1:12" ht="13.15" customHeight="1">
      <c r="A38" s="2">
        <v>34</v>
      </c>
      <c r="B38" s="4" t="s">
        <v>78</v>
      </c>
      <c r="C38" s="2" t="s">
        <v>9</v>
      </c>
      <c r="D38" s="2"/>
      <c r="E38" s="2">
        <v>6.25</v>
      </c>
      <c r="F38" s="20">
        <f t="shared" si="1"/>
        <v>0</v>
      </c>
      <c r="G38" s="2">
        <v>72</v>
      </c>
      <c r="H38" s="4" t="s">
        <v>291</v>
      </c>
      <c r="I38" s="2" t="s">
        <v>9</v>
      </c>
      <c r="J38" s="4"/>
      <c r="K38" s="2">
        <v>6.25</v>
      </c>
      <c r="L38" s="5">
        <f t="shared" si="0"/>
        <v>0</v>
      </c>
    </row>
    <row r="39" spans="1:12" ht="13.15" customHeight="1">
      <c r="A39" s="2">
        <v>35</v>
      </c>
      <c r="B39" s="4" t="s">
        <v>80</v>
      </c>
      <c r="C39" s="2" t="s">
        <v>9</v>
      </c>
      <c r="D39" s="2"/>
      <c r="E39" s="2">
        <v>3.75</v>
      </c>
      <c r="F39" s="20">
        <f t="shared" si="1"/>
        <v>0</v>
      </c>
      <c r="G39" s="2">
        <v>73</v>
      </c>
      <c r="H39" s="4" t="s">
        <v>111</v>
      </c>
      <c r="I39" s="2" t="s">
        <v>9</v>
      </c>
      <c r="J39" s="4"/>
      <c r="K39" s="2">
        <v>3.2</v>
      </c>
      <c r="L39" s="5">
        <f t="shared" si="0"/>
        <v>0</v>
      </c>
    </row>
    <row r="40" spans="1:12" ht="13.15" customHeight="1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0</v>
      </c>
    </row>
    <row r="42" spans="1:12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>
  <dimension ref="A1:L42"/>
  <sheetViews>
    <sheetView topLeftCell="A22" workbookViewId="0">
      <selection activeCell="P11" sqref="P11"/>
    </sheetView>
  </sheetViews>
  <sheetFormatPr defaultRowHeight="13.15" customHeight="1"/>
  <cols>
    <col min="1" max="1" width="4.7109375" style="17" customWidth="1"/>
    <col min="2" max="2" width="23.7109375" customWidth="1"/>
    <col min="3" max="3" width="6.42578125" customWidth="1"/>
    <col min="4" max="4" width="8.140625" customWidth="1"/>
    <col min="5" max="5" width="8.42578125" customWidth="1"/>
    <col min="6" max="6" width="8.85546875" style="17"/>
    <col min="7" max="7" width="5.28515625" style="17" customWidth="1"/>
    <col min="8" max="8" width="24.5703125" customWidth="1"/>
    <col min="9" max="9" width="6.42578125" customWidth="1"/>
    <col min="10" max="10" width="7.42578125" customWidth="1"/>
    <col min="11" max="11" width="8.28515625" customWidth="1"/>
    <col min="12" max="12" width="8.28515625" style="17" customWidth="1"/>
  </cols>
  <sheetData>
    <row r="1" spans="1:12" ht="13.15" customHeight="1">
      <c r="A1" s="30" t="s">
        <v>262</v>
      </c>
      <c r="B1" s="30"/>
      <c r="C1" s="30"/>
      <c r="D1" s="36" t="s">
        <v>263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2.0499999999999998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6.35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1.9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4.45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7.5</v>
      </c>
      <c r="L6" s="5">
        <f t="shared" si="0"/>
        <v>0</v>
      </c>
    </row>
    <row r="7" spans="1:12" ht="13.15" customHeight="1">
      <c r="A7" s="2">
        <v>3</v>
      </c>
      <c r="B7" s="4" t="s">
        <v>264</v>
      </c>
      <c r="C7" s="2" t="s">
        <v>9</v>
      </c>
      <c r="D7" s="2"/>
      <c r="E7" s="5">
        <v>5.5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1.9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6.85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4.75</v>
      </c>
      <c r="F9" s="20">
        <f t="shared" si="1"/>
        <v>0</v>
      </c>
      <c r="G9" s="2">
        <v>43</v>
      </c>
      <c r="H9" s="4" t="s">
        <v>265</v>
      </c>
      <c r="I9" s="2" t="s">
        <v>9</v>
      </c>
      <c r="J9" s="2"/>
      <c r="K9" s="5">
        <v>3.4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5.5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266</v>
      </c>
      <c r="C11" s="2" t="s">
        <v>9</v>
      </c>
      <c r="D11" s="2"/>
      <c r="E11" s="5">
        <v>5.5</v>
      </c>
      <c r="F11" s="20">
        <f t="shared" si="1"/>
        <v>0</v>
      </c>
      <c r="G11" s="2">
        <v>45</v>
      </c>
      <c r="H11" s="4" t="s">
        <v>267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5.7</v>
      </c>
      <c r="F12" s="20">
        <f t="shared" si="1"/>
        <v>0</v>
      </c>
      <c r="G12" s="2">
        <v>46</v>
      </c>
      <c r="H12" s="4" t="s">
        <v>268</v>
      </c>
      <c r="I12" s="2" t="s">
        <v>9</v>
      </c>
      <c r="J12" s="2"/>
      <c r="K12" s="5">
        <v>2.35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5.8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5.65</v>
      </c>
      <c r="F14" s="20">
        <f t="shared" si="1"/>
        <v>0</v>
      </c>
      <c r="G14" s="2">
        <v>48</v>
      </c>
      <c r="H14" s="4" t="s">
        <v>269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128</v>
      </c>
      <c r="C15" s="2" t="s">
        <v>9</v>
      </c>
      <c r="D15" s="2"/>
      <c r="E15" s="5">
        <v>6.3</v>
      </c>
      <c r="F15" s="20">
        <f t="shared" si="1"/>
        <v>0</v>
      </c>
      <c r="G15" s="2">
        <v>49</v>
      </c>
      <c r="H15" s="4" t="s">
        <v>270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271</v>
      </c>
      <c r="C16" s="2" t="s">
        <v>9</v>
      </c>
      <c r="D16" s="2"/>
      <c r="E16" s="5">
        <v>5.8</v>
      </c>
      <c r="F16" s="20">
        <f t="shared" si="1"/>
        <v>0</v>
      </c>
      <c r="G16" s="2">
        <v>50</v>
      </c>
      <c r="H16" s="4" t="s">
        <v>272</v>
      </c>
      <c r="I16" s="2" t="s">
        <v>9</v>
      </c>
      <c r="J16" s="2"/>
      <c r="K16" s="5">
        <v>7.75</v>
      </c>
      <c r="L16" s="5">
        <f t="shared" si="0"/>
        <v>0</v>
      </c>
    </row>
    <row r="17" spans="1:12" ht="13.15" customHeight="1">
      <c r="A17" s="2">
        <v>13</v>
      </c>
      <c r="B17" s="4" t="s">
        <v>273</v>
      </c>
      <c r="C17" s="2" t="s">
        <v>9</v>
      </c>
      <c r="D17" s="2"/>
      <c r="E17" s="5">
        <v>6.3</v>
      </c>
      <c r="F17" s="20">
        <f t="shared" si="1"/>
        <v>0</v>
      </c>
      <c r="G17" s="2">
        <v>51</v>
      </c>
      <c r="H17" s="4" t="s">
        <v>274</v>
      </c>
      <c r="I17" s="2" t="s">
        <v>9</v>
      </c>
      <c r="J17" s="2"/>
      <c r="K17" s="5">
        <v>6.25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4.5999999999999996</v>
      </c>
      <c r="F18" s="20">
        <f t="shared" si="1"/>
        <v>0</v>
      </c>
      <c r="G18" s="2">
        <v>52</v>
      </c>
      <c r="H18" s="4" t="s">
        <v>275</v>
      </c>
      <c r="I18" s="2" t="s">
        <v>9</v>
      </c>
      <c r="J18" s="2"/>
      <c r="K18" s="5">
        <v>6.1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5.0999999999999996</v>
      </c>
      <c r="F19" s="20">
        <f t="shared" si="1"/>
        <v>0</v>
      </c>
      <c r="G19" s="2">
        <v>53</v>
      </c>
      <c r="H19" s="4" t="s">
        <v>276</v>
      </c>
      <c r="I19" s="2" t="s">
        <v>9</v>
      </c>
      <c r="J19" s="2"/>
      <c r="K19" s="5">
        <v>7.5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2.2999999999999998</v>
      </c>
      <c r="F20" s="20">
        <f t="shared" si="1"/>
        <v>0</v>
      </c>
      <c r="G20" s="2">
        <v>54</v>
      </c>
      <c r="H20" s="4" t="s">
        <v>277</v>
      </c>
      <c r="I20" s="2" t="s">
        <v>9</v>
      </c>
      <c r="J20" s="2"/>
      <c r="K20" s="5">
        <v>8.5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1.25</v>
      </c>
      <c r="F21" s="20">
        <f t="shared" si="1"/>
        <v>0</v>
      </c>
      <c r="G21" s="2">
        <v>55</v>
      </c>
      <c r="H21" s="4" t="s">
        <v>106</v>
      </c>
      <c r="I21" s="2" t="s">
        <v>9</v>
      </c>
      <c r="J21" s="2"/>
      <c r="K21" s="5">
        <v>7.5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5.5</v>
      </c>
      <c r="F22" s="20">
        <f t="shared" si="1"/>
        <v>0</v>
      </c>
      <c r="G22" s="2">
        <v>56</v>
      </c>
      <c r="H22" s="4" t="s">
        <v>278</v>
      </c>
      <c r="I22" s="2" t="s">
        <v>9</v>
      </c>
      <c r="J22" s="2"/>
      <c r="K22" s="5">
        <v>2.1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6.25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4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5.9</v>
      </c>
      <c r="F24" s="20">
        <f t="shared" si="1"/>
        <v>0</v>
      </c>
      <c r="G24" s="2">
        <v>58</v>
      </c>
      <c r="H24" s="4" t="s">
        <v>279</v>
      </c>
      <c r="I24" s="2" t="s">
        <v>9</v>
      </c>
      <c r="J24" s="4"/>
      <c r="K24" s="2">
        <v>2.1</v>
      </c>
      <c r="L24" s="5">
        <f t="shared" si="0"/>
        <v>0</v>
      </c>
    </row>
    <row r="25" spans="1:12" ht="13.15" customHeight="1">
      <c r="A25" s="2">
        <v>21</v>
      </c>
      <c r="B25" s="4" t="s">
        <v>96</v>
      </c>
      <c r="C25" s="2" t="s">
        <v>9</v>
      </c>
      <c r="D25" s="2"/>
      <c r="E25" s="5">
        <v>6.6</v>
      </c>
      <c r="F25" s="20">
        <f t="shared" si="1"/>
        <v>0</v>
      </c>
      <c r="G25" s="2">
        <v>59</v>
      </c>
      <c r="H25" s="4" t="s">
        <v>280</v>
      </c>
      <c r="I25" s="2" t="s">
        <v>9</v>
      </c>
      <c r="J25" s="4"/>
      <c r="K25" s="2">
        <v>8.75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5.2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5.75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4.25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4"/>
      <c r="K27" s="2">
        <v>3.35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4.75</v>
      </c>
      <c r="F28" s="20">
        <f t="shared" si="1"/>
        <v>0</v>
      </c>
      <c r="G28" s="2">
        <v>62</v>
      </c>
      <c r="H28" s="4" t="s">
        <v>281</v>
      </c>
      <c r="I28" s="2" t="s">
        <v>9</v>
      </c>
      <c r="J28" s="4"/>
      <c r="K28" s="2">
        <v>4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5.5</v>
      </c>
      <c r="F29" s="20">
        <f t="shared" si="1"/>
        <v>0</v>
      </c>
      <c r="G29" s="2">
        <v>63</v>
      </c>
      <c r="H29" s="4" t="s">
        <v>140</v>
      </c>
      <c r="I29" s="2" t="s">
        <v>9</v>
      </c>
      <c r="J29" s="4"/>
      <c r="K29" s="2">
        <v>7.5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4.4000000000000004</v>
      </c>
      <c r="F30" s="5">
        <f t="shared" si="1"/>
        <v>0</v>
      </c>
      <c r="G30" s="2">
        <v>64</v>
      </c>
      <c r="H30" s="4" t="s">
        <v>282</v>
      </c>
      <c r="I30" s="2" t="s">
        <v>9</v>
      </c>
      <c r="J30" s="4"/>
      <c r="K30" s="2">
        <v>4.25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5.75</v>
      </c>
      <c r="F31" s="5">
        <f t="shared" si="1"/>
        <v>0</v>
      </c>
      <c r="G31" s="2">
        <v>65</v>
      </c>
      <c r="H31" s="4" t="s">
        <v>283</v>
      </c>
      <c r="I31" s="2" t="s">
        <v>9</v>
      </c>
      <c r="J31" s="4"/>
      <c r="K31" s="2">
        <v>3.4</v>
      </c>
      <c r="L31" s="5">
        <f t="shared" si="0"/>
        <v>0</v>
      </c>
    </row>
    <row r="32" spans="1:12" ht="13.15" customHeight="1">
      <c r="A32" s="2">
        <v>28</v>
      </c>
      <c r="B32" s="4" t="s">
        <v>104</v>
      </c>
      <c r="C32" s="2" t="s">
        <v>9</v>
      </c>
      <c r="D32" s="2"/>
      <c r="E32" s="5">
        <v>7.5</v>
      </c>
      <c r="F32" s="20">
        <f t="shared" si="1"/>
        <v>0</v>
      </c>
      <c r="G32" s="2">
        <v>66</v>
      </c>
      <c r="H32" s="4" t="s">
        <v>284</v>
      </c>
      <c r="I32" s="2" t="s">
        <v>9</v>
      </c>
      <c r="J32" s="4"/>
      <c r="K32" s="2">
        <v>5.75</v>
      </c>
      <c r="L32" s="5">
        <f t="shared" si="0"/>
        <v>0</v>
      </c>
    </row>
    <row r="33" spans="1:12" ht="13.15" customHeight="1">
      <c r="A33" s="2">
        <v>29</v>
      </c>
      <c r="B33" s="4" t="s">
        <v>285</v>
      </c>
      <c r="C33" s="2" t="s">
        <v>9</v>
      </c>
      <c r="D33" s="2"/>
      <c r="E33" s="5">
        <v>5.3</v>
      </c>
      <c r="F33" s="5">
        <f t="shared" si="1"/>
        <v>0</v>
      </c>
      <c r="G33" s="2">
        <v>67</v>
      </c>
      <c r="H33" s="4" t="s">
        <v>286</v>
      </c>
      <c r="I33" s="2" t="s">
        <v>9</v>
      </c>
      <c r="J33" s="4"/>
      <c r="K33" s="2">
        <v>2.2000000000000002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5.75</v>
      </c>
      <c r="F34" s="5">
        <f t="shared" si="1"/>
        <v>0</v>
      </c>
      <c r="G34" s="2">
        <v>68</v>
      </c>
      <c r="H34" s="4" t="s">
        <v>287</v>
      </c>
      <c r="I34" s="2" t="s">
        <v>9</v>
      </c>
      <c r="J34" s="4"/>
      <c r="K34" s="2">
        <v>3.4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5.3</v>
      </c>
      <c r="F35" s="20">
        <f t="shared" si="1"/>
        <v>0</v>
      </c>
      <c r="G35" s="2">
        <v>69</v>
      </c>
      <c r="H35" s="4" t="s">
        <v>288</v>
      </c>
      <c r="I35" s="2" t="s">
        <v>9</v>
      </c>
      <c r="J35" s="4"/>
      <c r="K35" s="2">
        <v>3.4</v>
      </c>
      <c r="L35" s="5">
        <f t="shared" si="0"/>
        <v>0</v>
      </c>
    </row>
    <row r="36" spans="1:12" ht="13.15" customHeight="1">
      <c r="A36" s="2">
        <v>32</v>
      </c>
      <c r="B36" s="4" t="s">
        <v>74</v>
      </c>
      <c r="C36" s="2" t="s">
        <v>9</v>
      </c>
      <c r="D36" s="2"/>
      <c r="E36" s="2">
        <v>2.2999999999999998</v>
      </c>
      <c r="F36" s="20">
        <f t="shared" si="1"/>
        <v>0</v>
      </c>
      <c r="G36" s="2">
        <v>70</v>
      </c>
      <c r="H36" s="4" t="s">
        <v>289</v>
      </c>
      <c r="I36" s="2" t="s">
        <v>9</v>
      </c>
      <c r="J36" s="4"/>
      <c r="K36" s="2">
        <v>34.25</v>
      </c>
      <c r="L36" s="5">
        <f t="shared" si="0"/>
        <v>0</v>
      </c>
    </row>
    <row r="37" spans="1:12" ht="13.15" customHeight="1">
      <c r="A37" s="2">
        <v>33</v>
      </c>
      <c r="B37" s="4" t="s">
        <v>76</v>
      </c>
      <c r="C37" s="2" t="s">
        <v>9</v>
      </c>
      <c r="D37" s="2"/>
      <c r="E37" s="2">
        <v>3.25</v>
      </c>
      <c r="F37" s="20">
        <f t="shared" si="1"/>
        <v>0</v>
      </c>
      <c r="G37" s="2">
        <v>71</v>
      </c>
      <c r="H37" s="4" t="s">
        <v>290</v>
      </c>
      <c r="I37" s="2" t="s">
        <v>9</v>
      </c>
      <c r="J37" s="4"/>
      <c r="K37" s="2">
        <v>3.75</v>
      </c>
      <c r="L37" s="5">
        <f t="shared" si="0"/>
        <v>0</v>
      </c>
    </row>
    <row r="38" spans="1:12" ht="13.15" customHeight="1">
      <c r="A38" s="2">
        <v>34</v>
      </c>
      <c r="B38" s="4" t="s">
        <v>78</v>
      </c>
      <c r="C38" s="2" t="s">
        <v>9</v>
      </c>
      <c r="D38" s="2"/>
      <c r="E38" s="2">
        <v>6.25</v>
      </c>
      <c r="F38" s="20">
        <f t="shared" si="1"/>
        <v>0</v>
      </c>
      <c r="G38" s="2">
        <v>72</v>
      </c>
      <c r="H38" s="4" t="s">
        <v>291</v>
      </c>
      <c r="I38" s="2" t="s">
        <v>9</v>
      </c>
      <c r="J38" s="4"/>
      <c r="K38" s="2">
        <v>6.25</v>
      </c>
      <c r="L38" s="5">
        <f t="shared" si="0"/>
        <v>0</v>
      </c>
    </row>
    <row r="39" spans="1:12" ht="13.15" customHeight="1">
      <c r="A39" s="2">
        <v>35</v>
      </c>
      <c r="B39" s="4" t="s">
        <v>80</v>
      </c>
      <c r="C39" s="2" t="s">
        <v>9</v>
      </c>
      <c r="D39" s="2"/>
      <c r="E39" s="2">
        <v>3.75</v>
      </c>
      <c r="F39" s="20">
        <f t="shared" si="1"/>
        <v>0</v>
      </c>
      <c r="G39" s="2">
        <v>73</v>
      </c>
      <c r="H39" s="4" t="s">
        <v>111</v>
      </c>
      <c r="I39" s="2" t="s">
        <v>9</v>
      </c>
      <c r="J39" s="4"/>
      <c r="K39" s="2">
        <v>3.2</v>
      </c>
      <c r="L39" s="5">
        <f t="shared" si="0"/>
        <v>0</v>
      </c>
    </row>
    <row r="40" spans="1:12" ht="13.15" customHeight="1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0</v>
      </c>
    </row>
    <row r="42" spans="1:12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>
  <dimension ref="A1:L42"/>
  <sheetViews>
    <sheetView topLeftCell="A22" workbookViewId="0">
      <selection activeCell="P11" sqref="P11"/>
    </sheetView>
  </sheetViews>
  <sheetFormatPr defaultRowHeight="13.15" customHeight="1"/>
  <cols>
    <col min="1" max="1" width="4.7109375" style="17" customWidth="1"/>
    <col min="2" max="2" width="23.7109375" customWidth="1"/>
    <col min="3" max="3" width="6.42578125" customWidth="1"/>
    <col min="4" max="4" width="8.140625" customWidth="1"/>
    <col min="5" max="5" width="8.42578125" customWidth="1"/>
    <col min="6" max="6" width="8.85546875" style="17"/>
    <col min="7" max="7" width="5.28515625" style="17" customWidth="1"/>
    <col min="8" max="8" width="24.5703125" customWidth="1"/>
    <col min="9" max="9" width="6.42578125" customWidth="1"/>
    <col min="10" max="10" width="7.42578125" customWidth="1"/>
    <col min="11" max="11" width="8.28515625" customWidth="1"/>
    <col min="12" max="12" width="8.28515625" style="17" customWidth="1"/>
  </cols>
  <sheetData>
    <row r="1" spans="1:12" ht="13.15" customHeight="1">
      <c r="A1" s="30" t="s">
        <v>262</v>
      </c>
      <c r="B1" s="30"/>
      <c r="C1" s="30"/>
      <c r="D1" s="36" t="s">
        <v>263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2.0499999999999998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6.35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1.9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4.45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7.5</v>
      </c>
      <c r="L6" s="5">
        <f t="shared" si="0"/>
        <v>0</v>
      </c>
    </row>
    <row r="7" spans="1:12" ht="13.15" customHeight="1">
      <c r="A7" s="2">
        <v>3</v>
      </c>
      <c r="B7" s="4" t="s">
        <v>264</v>
      </c>
      <c r="C7" s="2" t="s">
        <v>9</v>
      </c>
      <c r="D7" s="2"/>
      <c r="E7" s="5">
        <v>5.5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1.9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6.85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4.75</v>
      </c>
      <c r="F9" s="20">
        <f t="shared" si="1"/>
        <v>0</v>
      </c>
      <c r="G9" s="2">
        <v>43</v>
      </c>
      <c r="H9" s="4" t="s">
        <v>265</v>
      </c>
      <c r="I9" s="2" t="s">
        <v>9</v>
      </c>
      <c r="J9" s="2"/>
      <c r="K9" s="5">
        <v>3.4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5.5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266</v>
      </c>
      <c r="C11" s="2" t="s">
        <v>9</v>
      </c>
      <c r="D11" s="2"/>
      <c r="E11" s="5">
        <v>5.5</v>
      </c>
      <c r="F11" s="20">
        <f t="shared" si="1"/>
        <v>0</v>
      </c>
      <c r="G11" s="2">
        <v>45</v>
      </c>
      <c r="H11" s="4" t="s">
        <v>267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5.7</v>
      </c>
      <c r="F12" s="20">
        <f t="shared" si="1"/>
        <v>0</v>
      </c>
      <c r="G12" s="2">
        <v>46</v>
      </c>
      <c r="H12" s="4" t="s">
        <v>268</v>
      </c>
      <c r="I12" s="2" t="s">
        <v>9</v>
      </c>
      <c r="J12" s="2"/>
      <c r="K12" s="5">
        <v>2.35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5.8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5.65</v>
      </c>
      <c r="F14" s="20">
        <f t="shared" si="1"/>
        <v>0</v>
      </c>
      <c r="G14" s="2">
        <v>48</v>
      </c>
      <c r="H14" s="4" t="s">
        <v>269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128</v>
      </c>
      <c r="C15" s="2" t="s">
        <v>9</v>
      </c>
      <c r="D15" s="2"/>
      <c r="E15" s="5">
        <v>6.3</v>
      </c>
      <c r="F15" s="20">
        <f t="shared" si="1"/>
        <v>0</v>
      </c>
      <c r="G15" s="2">
        <v>49</v>
      </c>
      <c r="H15" s="4" t="s">
        <v>270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271</v>
      </c>
      <c r="C16" s="2" t="s">
        <v>9</v>
      </c>
      <c r="D16" s="2"/>
      <c r="E16" s="5">
        <v>5.8</v>
      </c>
      <c r="F16" s="20">
        <f t="shared" si="1"/>
        <v>0</v>
      </c>
      <c r="G16" s="2">
        <v>50</v>
      </c>
      <c r="H16" s="4" t="s">
        <v>272</v>
      </c>
      <c r="I16" s="2" t="s">
        <v>9</v>
      </c>
      <c r="J16" s="2"/>
      <c r="K16" s="5">
        <v>7.75</v>
      </c>
      <c r="L16" s="5">
        <f t="shared" si="0"/>
        <v>0</v>
      </c>
    </row>
    <row r="17" spans="1:12" ht="13.15" customHeight="1">
      <c r="A17" s="2">
        <v>13</v>
      </c>
      <c r="B17" s="4" t="s">
        <v>273</v>
      </c>
      <c r="C17" s="2" t="s">
        <v>9</v>
      </c>
      <c r="D17" s="2"/>
      <c r="E17" s="5">
        <v>6.3</v>
      </c>
      <c r="F17" s="20">
        <f t="shared" si="1"/>
        <v>0</v>
      </c>
      <c r="G17" s="2">
        <v>51</v>
      </c>
      <c r="H17" s="4" t="s">
        <v>274</v>
      </c>
      <c r="I17" s="2" t="s">
        <v>9</v>
      </c>
      <c r="J17" s="2"/>
      <c r="K17" s="5">
        <v>6.25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4.5999999999999996</v>
      </c>
      <c r="F18" s="20">
        <f t="shared" si="1"/>
        <v>0</v>
      </c>
      <c r="G18" s="2">
        <v>52</v>
      </c>
      <c r="H18" s="4" t="s">
        <v>275</v>
      </c>
      <c r="I18" s="2" t="s">
        <v>9</v>
      </c>
      <c r="J18" s="2"/>
      <c r="K18" s="5">
        <v>6.1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5.0999999999999996</v>
      </c>
      <c r="F19" s="20">
        <f t="shared" si="1"/>
        <v>0</v>
      </c>
      <c r="G19" s="2">
        <v>53</v>
      </c>
      <c r="H19" s="4" t="s">
        <v>276</v>
      </c>
      <c r="I19" s="2" t="s">
        <v>9</v>
      </c>
      <c r="J19" s="2"/>
      <c r="K19" s="5">
        <v>7.5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2.2999999999999998</v>
      </c>
      <c r="F20" s="20">
        <f t="shared" si="1"/>
        <v>0</v>
      </c>
      <c r="G20" s="2">
        <v>54</v>
      </c>
      <c r="H20" s="4" t="s">
        <v>277</v>
      </c>
      <c r="I20" s="2" t="s">
        <v>9</v>
      </c>
      <c r="J20" s="2"/>
      <c r="K20" s="5">
        <v>8.5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1.25</v>
      </c>
      <c r="F21" s="20">
        <f t="shared" si="1"/>
        <v>0</v>
      </c>
      <c r="G21" s="2">
        <v>55</v>
      </c>
      <c r="H21" s="4" t="s">
        <v>106</v>
      </c>
      <c r="I21" s="2" t="s">
        <v>9</v>
      </c>
      <c r="J21" s="2"/>
      <c r="K21" s="5">
        <v>7.5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5.5</v>
      </c>
      <c r="F22" s="20">
        <f t="shared" si="1"/>
        <v>0</v>
      </c>
      <c r="G22" s="2">
        <v>56</v>
      </c>
      <c r="H22" s="4" t="s">
        <v>278</v>
      </c>
      <c r="I22" s="2" t="s">
        <v>9</v>
      </c>
      <c r="J22" s="2"/>
      <c r="K22" s="5">
        <v>2.1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6.25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4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5.9</v>
      </c>
      <c r="F24" s="20">
        <f t="shared" si="1"/>
        <v>0</v>
      </c>
      <c r="G24" s="2">
        <v>58</v>
      </c>
      <c r="H24" s="4" t="s">
        <v>279</v>
      </c>
      <c r="I24" s="2" t="s">
        <v>9</v>
      </c>
      <c r="J24" s="4"/>
      <c r="K24" s="2">
        <v>2.1</v>
      </c>
      <c r="L24" s="5">
        <f t="shared" si="0"/>
        <v>0</v>
      </c>
    </row>
    <row r="25" spans="1:12" ht="13.15" customHeight="1">
      <c r="A25" s="2">
        <v>21</v>
      </c>
      <c r="B25" s="4" t="s">
        <v>96</v>
      </c>
      <c r="C25" s="2" t="s">
        <v>9</v>
      </c>
      <c r="D25" s="2"/>
      <c r="E25" s="5">
        <v>6.6</v>
      </c>
      <c r="F25" s="20">
        <f t="shared" si="1"/>
        <v>0</v>
      </c>
      <c r="G25" s="2">
        <v>59</v>
      </c>
      <c r="H25" s="4" t="s">
        <v>280</v>
      </c>
      <c r="I25" s="2" t="s">
        <v>9</v>
      </c>
      <c r="J25" s="4"/>
      <c r="K25" s="2">
        <v>8.75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5.2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5.75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4.25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4"/>
      <c r="K27" s="2">
        <v>3.35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4.75</v>
      </c>
      <c r="F28" s="20">
        <f t="shared" si="1"/>
        <v>0</v>
      </c>
      <c r="G28" s="2">
        <v>62</v>
      </c>
      <c r="H28" s="4" t="s">
        <v>281</v>
      </c>
      <c r="I28" s="2" t="s">
        <v>9</v>
      </c>
      <c r="J28" s="4"/>
      <c r="K28" s="2">
        <v>4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5.5</v>
      </c>
      <c r="F29" s="20">
        <f t="shared" si="1"/>
        <v>0</v>
      </c>
      <c r="G29" s="2">
        <v>63</v>
      </c>
      <c r="H29" s="4" t="s">
        <v>140</v>
      </c>
      <c r="I29" s="2" t="s">
        <v>9</v>
      </c>
      <c r="J29" s="4"/>
      <c r="K29" s="2">
        <v>7.5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4.4000000000000004</v>
      </c>
      <c r="F30" s="5">
        <f t="shared" si="1"/>
        <v>0</v>
      </c>
      <c r="G30" s="2">
        <v>64</v>
      </c>
      <c r="H30" s="4" t="s">
        <v>282</v>
      </c>
      <c r="I30" s="2" t="s">
        <v>9</v>
      </c>
      <c r="J30" s="4"/>
      <c r="K30" s="2">
        <v>4.25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5.75</v>
      </c>
      <c r="F31" s="5">
        <f t="shared" si="1"/>
        <v>0</v>
      </c>
      <c r="G31" s="2">
        <v>65</v>
      </c>
      <c r="H31" s="4" t="s">
        <v>283</v>
      </c>
      <c r="I31" s="2" t="s">
        <v>9</v>
      </c>
      <c r="J31" s="4"/>
      <c r="K31" s="2">
        <v>3.4</v>
      </c>
      <c r="L31" s="5">
        <f t="shared" si="0"/>
        <v>0</v>
      </c>
    </row>
    <row r="32" spans="1:12" ht="13.15" customHeight="1">
      <c r="A32" s="2">
        <v>28</v>
      </c>
      <c r="B32" s="4" t="s">
        <v>104</v>
      </c>
      <c r="C32" s="2" t="s">
        <v>9</v>
      </c>
      <c r="D32" s="2"/>
      <c r="E32" s="5">
        <v>7.5</v>
      </c>
      <c r="F32" s="20">
        <f t="shared" si="1"/>
        <v>0</v>
      </c>
      <c r="G32" s="2">
        <v>66</v>
      </c>
      <c r="H32" s="4" t="s">
        <v>284</v>
      </c>
      <c r="I32" s="2" t="s">
        <v>9</v>
      </c>
      <c r="J32" s="4"/>
      <c r="K32" s="2">
        <v>5.75</v>
      </c>
      <c r="L32" s="5">
        <f t="shared" si="0"/>
        <v>0</v>
      </c>
    </row>
    <row r="33" spans="1:12" ht="13.15" customHeight="1">
      <c r="A33" s="2">
        <v>29</v>
      </c>
      <c r="B33" s="4" t="s">
        <v>285</v>
      </c>
      <c r="C33" s="2" t="s">
        <v>9</v>
      </c>
      <c r="D33" s="2"/>
      <c r="E33" s="5">
        <v>5.3</v>
      </c>
      <c r="F33" s="5">
        <f t="shared" si="1"/>
        <v>0</v>
      </c>
      <c r="G33" s="2">
        <v>67</v>
      </c>
      <c r="H33" s="4" t="s">
        <v>286</v>
      </c>
      <c r="I33" s="2" t="s">
        <v>9</v>
      </c>
      <c r="J33" s="4"/>
      <c r="K33" s="2">
        <v>2.2000000000000002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5.75</v>
      </c>
      <c r="F34" s="5">
        <f t="shared" si="1"/>
        <v>0</v>
      </c>
      <c r="G34" s="2">
        <v>68</v>
      </c>
      <c r="H34" s="4" t="s">
        <v>287</v>
      </c>
      <c r="I34" s="2" t="s">
        <v>9</v>
      </c>
      <c r="J34" s="4"/>
      <c r="K34" s="2">
        <v>3.4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5.3</v>
      </c>
      <c r="F35" s="20">
        <f t="shared" si="1"/>
        <v>0</v>
      </c>
      <c r="G35" s="2">
        <v>69</v>
      </c>
      <c r="H35" s="4" t="s">
        <v>288</v>
      </c>
      <c r="I35" s="2" t="s">
        <v>9</v>
      </c>
      <c r="J35" s="4"/>
      <c r="K35" s="2">
        <v>3.4</v>
      </c>
      <c r="L35" s="5">
        <f t="shared" si="0"/>
        <v>0</v>
      </c>
    </row>
    <row r="36" spans="1:12" ht="13.15" customHeight="1">
      <c r="A36" s="2">
        <v>32</v>
      </c>
      <c r="B36" s="4" t="s">
        <v>74</v>
      </c>
      <c r="C36" s="2" t="s">
        <v>9</v>
      </c>
      <c r="D36" s="2"/>
      <c r="E36" s="2">
        <v>2.2999999999999998</v>
      </c>
      <c r="F36" s="20">
        <f t="shared" si="1"/>
        <v>0</v>
      </c>
      <c r="G36" s="2">
        <v>70</v>
      </c>
      <c r="H36" s="4" t="s">
        <v>289</v>
      </c>
      <c r="I36" s="2" t="s">
        <v>9</v>
      </c>
      <c r="J36" s="4"/>
      <c r="K36" s="2">
        <v>34.25</v>
      </c>
      <c r="L36" s="5">
        <f t="shared" si="0"/>
        <v>0</v>
      </c>
    </row>
    <row r="37" spans="1:12" ht="13.15" customHeight="1">
      <c r="A37" s="2">
        <v>33</v>
      </c>
      <c r="B37" s="4" t="s">
        <v>76</v>
      </c>
      <c r="C37" s="2" t="s">
        <v>9</v>
      </c>
      <c r="D37" s="2"/>
      <c r="E37" s="2">
        <v>3.25</v>
      </c>
      <c r="F37" s="20">
        <f t="shared" si="1"/>
        <v>0</v>
      </c>
      <c r="G37" s="2">
        <v>71</v>
      </c>
      <c r="H37" s="4" t="s">
        <v>290</v>
      </c>
      <c r="I37" s="2" t="s">
        <v>9</v>
      </c>
      <c r="J37" s="4"/>
      <c r="K37" s="2">
        <v>3.75</v>
      </c>
      <c r="L37" s="5">
        <f t="shared" si="0"/>
        <v>0</v>
      </c>
    </row>
    <row r="38" spans="1:12" ht="13.15" customHeight="1">
      <c r="A38" s="2">
        <v>34</v>
      </c>
      <c r="B38" s="4" t="s">
        <v>78</v>
      </c>
      <c r="C38" s="2" t="s">
        <v>9</v>
      </c>
      <c r="D38" s="2"/>
      <c r="E38" s="2">
        <v>6.25</v>
      </c>
      <c r="F38" s="20">
        <f t="shared" si="1"/>
        <v>0</v>
      </c>
      <c r="G38" s="2">
        <v>72</v>
      </c>
      <c r="H38" s="4" t="s">
        <v>291</v>
      </c>
      <c r="I38" s="2" t="s">
        <v>9</v>
      </c>
      <c r="J38" s="4"/>
      <c r="K38" s="2">
        <v>6.25</v>
      </c>
      <c r="L38" s="5">
        <f t="shared" si="0"/>
        <v>0</v>
      </c>
    </row>
    <row r="39" spans="1:12" ht="13.15" customHeight="1">
      <c r="A39" s="2">
        <v>35</v>
      </c>
      <c r="B39" s="4" t="s">
        <v>80</v>
      </c>
      <c r="C39" s="2" t="s">
        <v>9</v>
      </c>
      <c r="D39" s="2"/>
      <c r="E39" s="2">
        <v>3.75</v>
      </c>
      <c r="F39" s="20">
        <f t="shared" si="1"/>
        <v>0</v>
      </c>
      <c r="G39" s="2">
        <v>73</v>
      </c>
      <c r="H39" s="4" t="s">
        <v>111</v>
      </c>
      <c r="I39" s="2" t="s">
        <v>9</v>
      </c>
      <c r="J39" s="4"/>
      <c r="K39" s="2">
        <v>3.2</v>
      </c>
      <c r="L39" s="5">
        <f t="shared" si="0"/>
        <v>0</v>
      </c>
    </row>
    <row r="40" spans="1:12" ht="13.15" customHeight="1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0</v>
      </c>
    </row>
    <row r="42" spans="1:12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>
  <dimension ref="A1:L42"/>
  <sheetViews>
    <sheetView topLeftCell="A4" workbookViewId="0">
      <selection activeCell="D28" sqref="D28"/>
    </sheetView>
  </sheetViews>
  <sheetFormatPr defaultRowHeight="13.15" customHeight="1"/>
  <cols>
    <col min="1" max="1" width="4.7109375" style="17" customWidth="1"/>
    <col min="2" max="2" width="23.7109375" customWidth="1"/>
    <col min="3" max="3" width="6.42578125" customWidth="1"/>
    <col min="4" max="4" width="8.140625" customWidth="1"/>
    <col min="5" max="5" width="8.42578125" customWidth="1"/>
    <col min="6" max="6" width="8.85546875" style="17"/>
    <col min="7" max="7" width="5.28515625" style="17" customWidth="1"/>
    <col min="8" max="8" width="24.5703125" customWidth="1"/>
    <col min="9" max="9" width="6.42578125" customWidth="1"/>
    <col min="10" max="10" width="7.42578125" customWidth="1"/>
    <col min="11" max="11" width="8.28515625" customWidth="1"/>
    <col min="12" max="12" width="8.28515625" style="17" customWidth="1"/>
  </cols>
  <sheetData>
    <row r="1" spans="1:12" ht="13.15" customHeight="1">
      <c r="A1" s="30" t="s">
        <v>262</v>
      </c>
      <c r="B1" s="30"/>
      <c r="C1" s="30"/>
      <c r="D1" s="36" t="s">
        <v>263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2.0499999999999998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6.35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1.9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4.45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7.5</v>
      </c>
      <c r="L6" s="5">
        <f t="shared" si="0"/>
        <v>0</v>
      </c>
    </row>
    <row r="7" spans="1:12" ht="13.15" customHeight="1">
      <c r="A7" s="2">
        <v>3</v>
      </c>
      <c r="B7" s="4" t="s">
        <v>264</v>
      </c>
      <c r="C7" s="2" t="s">
        <v>9</v>
      </c>
      <c r="D7" s="2"/>
      <c r="E7" s="5">
        <v>5.5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1.9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6.85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4.75</v>
      </c>
      <c r="F9" s="20">
        <f t="shared" si="1"/>
        <v>0</v>
      </c>
      <c r="G9" s="2">
        <v>43</v>
      </c>
      <c r="H9" s="4" t="s">
        <v>265</v>
      </c>
      <c r="I9" s="2" t="s">
        <v>9</v>
      </c>
      <c r="J9" s="2"/>
      <c r="K9" s="5">
        <v>3.4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5.5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266</v>
      </c>
      <c r="C11" s="2" t="s">
        <v>9</v>
      </c>
      <c r="D11" s="2"/>
      <c r="E11" s="5">
        <v>5.5</v>
      </c>
      <c r="F11" s="20">
        <f t="shared" si="1"/>
        <v>0</v>
      </c>
      <c r="G11" s="2">
        <v>45</v>
      </c>
      <c r="H11" s="4" t="s">
        <v>267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5.7</v>
      </c>
      <c r="F12" s="20">
        <f t="shared" si="1"/>
        <v>0</v>
      </c>
      <c r="G12" s="2">
        <v>46</v>
      </c>
      <c r="H12" s="4" t="s">
        <v>268</v>
      </c>
      <c r="I12" s="2" t="s">
        <v>9</v>
      </c>
      <c r="J12" s="2"/>
      <c r="K12" s="5">
        <v>2.35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5.8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5.65</v>
      </c>
      <c r="F14" s="20">
        <f t="shared" si="1"/>
        <v>0</v>
      </c>
      <c r="G14" s="2">
        <v>48</v>
      </c>
      <c r="H14" s="4" t="s">
        <v>269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128</v>
      </c>
      <c r="C15" s="2" t="s">
        <v>9</v>
      </c>
      <c r="D15" s="2"/>
      <c r="E15" s="5">
        <v>6.3</v>
      </c>
      <c r="F15" s="20">
        <f t="shared" si="1"/>
        <v>0</v>
      </c>
      <c r="G15" s="2">
        <v>49</v>
      </c>
      <c r="H15" s="4" t="s">
        <v>270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271</v>
      </c>
      <c r="C16" s="2" t="s">
        <v>9</v>
      </c>
      <c r="D16" s="2"/>
      <c r="E16" s="5">
        <v>5.8</v>
      </c>
      <c r="F16" s="20">
        <f t="shared" si="1"/>
        <v>0</v>
      </c>
      <c r="G16" s="2">
        <v>50</v>
      </c>
      <c r="H16" s="4" t="s">
        <v>272</v>
      </c>
      <c r="I16" s="2" t="s">
        <v>9</v>
      </c>
      <c r="J16" s="2"/>
      <c r="K16" s="5">
        <v>7.75</v>
      </c>
      <c r="L16" s="5">
        <f t="shared" si="0"/>
        <v>0</v>
      </c>
    </row>
    <row r="17" spans="1:12" ht="13.15" customHeight="1">
      <c r="A17" s="2">
        <v>13</v>
      </c>
      <c r="B17" s="4" t="s">
        <v>273</v>
      </c>
      <c r="C17" s="2" t="s">
        <v>9</v>
      </c>
      <c r="D17" s="2"/>
      <c r="E17" s="5">
        <v>6.3</v>
      </c>
      <c r="F17" s="20">
        <f t="shared" si="1"/>
        <v>0</v>
      </c>
      <c r="G17" s="2">
        <v>51</v>
      </c>
      <c r="H17" s="4" t="s">
        <v>274</v>
      </c>
      <c r="I17" s="2" t="s">
        <v>9</v>
      </c>
      <c r="J17" s="2"/>
      <c r="K17" s="5">
        <v>6.25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4.5999999999999996</v>
      </c>
      <c r="F18" s="20">
        <f t="shared" si="1"/>
        <v>0</v>
      </c>
      <c r="G18" s="2">
        <v>52</v>
      </c>
      <c r="H18" s="4" t="s">
        <v>275</v>
      </c>
      <c r="I18" s="2" t="s">
        <v>9</v>
      </c>
      <c r="J18" s="2"/>
      <c r="K18" s="5">
        <v>6.1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5.0999999999999996</v>
      </c>
      <c r="F19" s="20">
        <f t="shared" si="1"/>
        <v>0</v>
      </c>
      <c r="G19" s="2">
        <v>53</v>
      </c>
      <c r="H19" s="4" t="s">
        <v>276</v>
      </c>
      <c r="I19" s="2" t="s">
        <v>9</v>
      </c>
      <c r="J19" s="2"/>
      <c r="K19" s="5">
        <v>7.5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2.2999999999999998</v>
      </c>
      <c r="F20" s="20">
        <f t="shared" si="1"/>
        <v>0</v>
      </c>
      <c r="G20" s="2">
        <v>54</v>
      </c>
      <c r="H20" s="4" t="s">
        <v>277</v>
      </c>
      <c r="I20" s="2" t="s">
        <v>9</v>
      </c>
      <c r="J20" s="2"/>
      <c r="K20" s="5">
        <v>8.5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1.25</v>
      </c>
      <c r="F21" s="20">
        <f t="shared" si="1"/>
        <v>0</v>
      </c>
      <c r="G21" s="2">
        <v>55</v>
      </c>
      <c r="H21" s="4" t="s">
        <v>106</v>
      </c>
      <c r="I21" s="2" t="s">
        <v>9</v>
      </c>
      <c r="J21" s="2"/>
      <c r="K21" s="5">
        <v>7.5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5.5</v>
      </c>
      <c r="F22" s="20">
        <f t="shared" si="1"/>
        <v>0</v>
      </c>
      <c r="G22" s="2">
        <v>56</v>
      </c>
      <c r="H22" s="4" t="s">
        <v>278</v>
      </c>
      <c r="I22" s="2" t="s">
        <v>9</v>
      </c>
      <c r="J22" s="2"/>
      <c r="K22" s="5">
        <v>2.1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6.25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4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5.9</v>
      </c>
      <c r="F24" s="20">
        <f t="shared" si="1"/>
        <v>0</v>
      </c>
      <c r="G24" s="2">
        <v>58</v>
      </c>
      <c r="H24" s="4" t="s">
        <v>279</v>
      </c>
      <c r="I24" s="2" t="s">
        <v>9</v>
      </c>
      <c r="J24" s="4"/>
      <c r="K24" s="2">
        <v>2.1</v>
      </c>
      <c r="L24" s="5">
        <f t="shared" si="0"/>
        <v>0</v>
      </c>
    </row>
    <row r="25" spans="1:12" ht="13.15" customHeight="1">
      <c r="A25" s="2">
        <v>21</v>
      </c>
      <c r="B25" s="4" t="s">
        <v>96</v>
      </c>
      <c r="C25" s="2" t="s">
        <v>9</v>
      </c>
      <c r="D25" s="2"/>
      <c r="E25" s="5">
        <v>6.6</v>
      </c>
      <c r="F25" s="20">
        <f t="shared" si="1"/>
        <v>0</v>
      </c>
      <c r="G25" s="2">
        <v>59</v>
      </c>
      <c r="H25" s="4" t="s">
        <v>280</v>
      </c>
      <c r="I25" s="2" t="s">
        <v>9</v>
      </c>
      <c r="J25" s="4"/>
      <c r="K25" s="2">
        <v>8.75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5.2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5.75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4.25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4"/>
      <c r="K27" s="2">
        <v>3.35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4.75</v>
      </c>
      <c r="F28" s="20">
        <f t="shared" si="1"/>
        <v>0</v>
      </c>
      <c r="G28" s="2">
        <v>62</v>
      </c>
      <c r="H28" s="4" t="s">
        <v>281</v>
      </c>
      <c r="I28" s="2" t="s">
        <v>9</v>
      </c>
      <c r="J28" s="4"/>
      <c r="K28" s="2">
        <v>4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5.5</v>
      </c>
      <c r="F29" s="20">
        <f t="shared" si="1"/>
        <v>0</v>
      </c>
      <c r="G29" s="2">
        <v>63</v>
      </c>
      <c r="H29" s="4" t="s">
        <v>140</v>
      </c>
      <c r="I29" s="2" t="s">
        <v>9</v>
      </c>
      <c r="J29" s="4"/>
      <c r="K29" s="2">
        <v>7.5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4.4000000000000004</v>
      </c>
      <c r="F30" s="5">
        <f t="shared" si="1"/>
        <v>0</v>
      </c>
      <c r="G30" s="2">
        <v>64</v>
      </c>
      <c r="H30" s="4" t="s">
        <v>282</v>
      </c>
      <c r="I30" s="2" t="s">
        <v>9</v>
      </c>
      <c r="J30" s="4"/>
      <c r="K30" s="2">
        <v>4.25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5.75</v>
      </c>
      <c r="F31" s="5">
        <f t="shared" si="1"/>
        <v>0</v>
      </c>
      <c r="G31" s="2">
        <v>65</v>
      </c>
      <c r="H31" s="4" t="s">
        <v>283</v>
      </c>
      <c r="I31" s="2" t="s">
        <v>9</v>
      </c>
      <c r="J31" s="4"/>
      <c r="K31" s="2">
        <v>3.4</v>
      </c>
      <c r="L31" s="5">
        <f t="shared" si="0"/>
        <v>0</v>
      </c>
    </row>
    <row r="32" spans="1:12" ht="13.15" customHeight="1">
      <c r="A32" s="2">
        <v>28</v>
      </c>
      <c r="B32" s="4" t="s">
        <v>104</v>
      </c>
      <c r="C32" s="2" t="s">
        <v>9</v>
      </c>
      <c r="D32" s="2"/>
      <c r="E32" s="5">
        <v>7.5</v>
      </c>
      <c r="F32" s="20">
        <f t="shared" si="1"/>
        <v>0</v>
      </c>
      <c r="G32" s="2">
        <v>66</v>
      </c>
      <c r="H32" s="4" t="s">
        <v>284</v>
      </c>
      <c r="I32" s="2" t="s">
        <v>9</v>
      </c>
      <c r="J32" s="4"/>
      <c r="K32" s="2">
        <v>5.75</v>
      </c>
      <c r="L32" s="5">
        <f t="shared" si="0"/>
        <v>0</v>
      </c>
    </row>
    <row r="33" spans="1:12" ht="13.15" customHeight="1">
      <c r="A33" s="2">
        <v>29</v>
      </c>
      <c r="B33" s="4" t="s">
        <v>285</v>
      </c>
      <c r="C33" s="2" t="s">
        <v>9</v>
      </c>
      <c r="D33" s="2"/>
      <c r="E33" s="5">
        <v>5.3</v>
      </c>
      <c r="F33" s="5">
        <f t="shared" si="1"/>
        <v>0</v>
      </c>
      <c r="G33" s="2">
        <v>67</v>
      </c>
      <c r="H33" s="4" t="s">
        <v>286</v>
      </c>
      <c r="I33" s="2" t="s">
        <v>9</v>
      </c>
      <c r="J33" s="4"/>
      <c r="K33" s="2">
        <v>2.2000000000000002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5.75</v>
      </c>
      <c r="F34" s="5">
        <f t="shared" si="1"/>
        <v>0</v>
      </c>
      <c r="G34" s="2">
        <v>68</v>
      </c>
      <c r="H34" s="4" t="s">
        <v>287</v>
      </c>
      <c r="I34" s="2" t="s">
        <v>9</v>
      </c>
      <c r="J34" s="4"/>
      <c r="K34" s="2">
        <v>3.4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5.3</v>
      </c>
      <c r="F35" s="20">
        <f t="shared" si="1"/>
        <v>0</v>
      </c>
      <c r="G35" s="2">
        <v>69</v>
      </c>
      <c r="H35" s="4" t="s">
        <v>288</v>
      </c>
      <c r="I35" s="2" t="s">
        <v>9</v>
      </c>
      <c r="J35" s="4"/>
      <c r="K35" s="2">
        <v>3.4</v>
      </c>
      <c r="L35" s="5">
        <f t="shared" si="0"/>
        <v>0</v>
      </c>
    </row>
    <row r="36" spans="1:12" ht="13.15" customHeight="1">
      <c r="A36" s="2">
        <v>32</v>
      </c>
      <c r="B36" s="4" t="s">
        <v>74</v>
      </c>
      <c r="C36" s="2" t="s">
        <v>9</v>
      </c>
      <c r="D36" s="2"/>
      <c r="E36" s="2">
        <v>2.2999999999999998</v>
      </c>
      <c r="F36" s="20">
        <f t="shared" si="1"/>
        <v>0</v>
      </c>
      <c r="G36" s="2">
        <v>70</v>
      </c>
      <c r="H36" s="4" t="s">
        <v>289</v>
      </c>
      <c r="I36" s="2" t="s">
        <v>9</v>
      </c>
      <c r="J36" s="4"/>
      <c r="K36" s="2">
        <v>34.25</v>
      </c>
      <c r="L36" s="5">
        <f t="shared" si="0"/>
        <v>0</v>
      </c>
    </row>
    <row r="37" spans="1:12" ht="13.15" customHeight="1">
      <c r="A37" s="2">
        <v>33</v>
      </c>
      <c r="B37" s="4" t="s">
        <v>76</v>
      </c>
      <c r="C37" s="2" t="s">
        <v>9</v>
      </c>
      <c r="D37" s="2"/>
      <c r="E37" s="2">
        <v>3.25</v>
      </c>
      <c r="F37" s="20">
        <f t="shared" si="1"/>
        <v>0</v>
      </c>
      <c r="G37" s="2">
        <v>71</v>
      </c>
      <c r="H37" s="4" t="s">
        <v>290</v>
      </c>
      <c r="I37" s="2" t="s">
        <v>9</v>
      </c>
      <c r="J37" s="4"/>
      <c r="K37" s="2">
        <v>3.75</v>
      </c>
      <c r="L37" s="5">
        <f t="shared" si="0"/>
        <v>0</v>
      </c>
    </row>
    <row r="38" spans="1:12" ht="13.15" customHeight="1">
      <c r="A38" s="2">
        <v>34</v>
      </c>
      <c r="B38" s="4" t="s">
        <v>78</v>
      </c>
      <c r="C38" s="2" t="s">
        <v>9</v>
      </c>
      <c r="D38" s="2"/>
      <c r="E38" s="2">
        <v>6.25</v>
      </c>
      <c r="F38" s="20">
        <f t="shared" si="1"/>
        <v>0</v>
      </c>
      <c r="G38" s="2">
        <v>72</v>
      </c>
      <c r="H38" s="4" t="s">
        <v>291</v>
      </c>
      <c r="I38" s="2" t="s">
        <v>9</v>
      </c>
      <c r="J38" s="4"/>
      <c r="K38" s="2">
        <v>6.25</v>
      </c>
      <c r="L38" s="5">
        <f t="shared" si="0"/>
        <v>0</v>
      </c>
    </row>
    <row r="39" spans="1:12" ht="13.15" customHeight="1">
      <c r="A39" s="2">
        <v>35</v>
      </c>
      <c r="B39" s="4" t="s">
        <v>80</v>
      </c>
      <c r="C39" s="2" t="s">
        <v>9</v>
      </c>
      <c r="D39" s="2"/>
      <c r="E39" s="2">
        <v>3.75</v>
      </c>
      <c r="F39" s="20">
        <f t="shared" si="1"/>
        <v>0</v>
      </c>
      <c r="G39" s="2">
        <v>73</v>
      </c>
      <c r="H39" s="4" t="s">
        <v>111</v>
      </c>
      <c r="I39" s="2" t="s">
        <v>9</v>
      </c>
      <c r="J39" s="4"/>
      <c r="K39" s="2">
        <v>3.2</v>
      </c>
      <c r="L39" s="5">
        <f t="shared" si="0"/>
        <v>0</v>
      </c>
    </row>
    <row r="40" spans="1:12" ht="13.15" customHeight="1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0</v>
      </c>
    </row>
    <row r="42" spans="1:12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>
  <dimension ref="A1:L42"/>
  <sheetViews>
    <sheetView topLeftCell="A22" workbookViewId="0">
      <selection activeCell="P11" sqref="P11"/>
    </sheetView>
  </sheetViews>
  <sheetFormatPr defaultRowHeight="13.15" customHeight="1"/>
  <cols>
    <col min="1" max="1" width="4.7109375" style="17" customWidth="1"/>
    <col min="2" max="2" width="23.7109375" customWidth="1"/>
    <col min="3" max="3" width="6.42578125" customWidth="1"/>
    <col min="4" max="4" width="8.140625" customWidth="1"/>
    <col min="5" max="5" width="8.42578125" customWidth="1"/>
    <col min="6" max="6" width="8.85546875" style="17"/>
    <col min="7" max="7" width="5.28515625" style="17" customWidth="1"/>
    <col min="8" max="8" width="24.5703125" customWidth="1"/>
    <col min="9" max="9" width="6.42578125" customWidth="1"/>
    <col min="10" max="10" width="7.42578125" customWidth="1"/>
    <col min="11" max="11" width="8.28515625" customWidth="1"/>
    <col min="12" max="12" width="8.28515625" style="17" customWidth="1"/>
  </cols>
  <sheetData>
    <row r="1" spans="1:12" ht="13.15" customHeight="1">
      <c r="A1" s="30" t="s">
        <v>262</v>
      </c>
      <c r="B1" s="30"/>
      <c r="C1" s="30"/>
      <c r="D1" s="36" t="s">
        <v>263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2.0499999999999998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6.35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1.9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4.45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7.5</v>
      </c>
      <c r="L6" s="5">
        <f t="shared" si="0"/>
        <v>0</v>
      </c>
    </row>
    <row r="7" spans="1:12" ht="13.15" customHeight="1">
      <c r="A7" s="2">
        <v>3</v>
      </c>
      <c r="B7" s="4" t="s">
        <v>264</v>
      </c>
      <c r="C7" s="2" t="s">
        <v>9</v>
      </c>
      <c r="D7" s="2"/>
      <c r="E7" s="5">
        <v>5.5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1.9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6.85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4.75</v>
      </c>
      <c r="F9" s="20">
        <f t="shared" si="1"/>
        <v>0</v>
      </c>
      <c r="G9" s="2">
        <v>43</v>
      </c>
      <c r="H9" s="4" t="s">
        <v>265</v>
      </c>
      <c r="I9" s="2" t="s">
        <v>9</v>
      </c>
      <c r="J9" s="2"/>
      <c r="K9" s="5">
        <v>3.4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5.5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266</v>
      </c>
      <c r="C11" s="2" t="s">
        <v>9</v>
      </c>
      <c r="D11" s="2"/>
      <c r="E11" s="5">
        <v>5.5</v>
      </c>
      <c r="F11" s="20">
        <f t="shared" si="1"/>
        <v>0</v>
      </c>
      <c r="G11" s="2">
        <v>45</v>
      </c>
      <c r="H11" s="4" t="s">
        <v>267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5.7</v>
      </c>
      <c r="F12" s="20">
        <f t="shared" si="1"/>
        <v>0</v>
      </c>
      <c r="G12" s="2">
        <v>46</v>
      </c>
      <c r="H12" s="4" t="s">
        <v>268</v>
      </c>
      <c r="I12" s="2" t="s">
        <v>9</v>
      </c>
      <c r="J12" s="2"/>
      <c r="K12" s="5">
        <v>2.35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5.8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5.65</v>
      </c>
      <c r="F14" s="20">
        <f t="shared" si="1"/>
        <v>0</v>
      </c>
      <c r="G14" s="2">
        <v>48</v>
      </c>
      <c r="H14" s="4" t="s">
        <v>269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128</v>
      </c>
      <c r="C15" s="2" t="s">
        <v>9</v>
      </c>
      <c r="D15" s="2"/>
      <c r="E15" s="5">
        <v>6.3</v>
      </c>
      <c r="F15" s="20">
        <f t="shared" si="1"/>
        <v>0</v>
      </c>
      <c r="G15" s="2">
        <v>49</v>
      </c>
      <c r="H15" s="4" t="s">
        <v>270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271</v>
      </c>
      <c r="C16" s="2" t="s">
        <v>9</v>
      </c>
      <c r="D16" s="2"/>
      <c r="E16" s="5">
        <v>5.8</v>
      </c>
      <c r="F16" s="20">
        <f t="shared" si="1"/>
        <v>0</v>
      </c>
      <c r="G16" s="2">
        <v>50</v>
      </c>
      <c r="H16" s="4" t="s">
        <v>272</v>
      </c>
      <c r="I16" s="2" t="s">
        <v>9</v>
      </c>
      <c r="J16" s="2"/>
      <c r="K16" s="5">
        <v>7.75</v>
      </c>
      <c r="L16" s="5">
        <f t="shared" si="0"/>
        <v>0</v>
      </c>
    </row>
    <row r="17" spans="1:12" ht="13.15" customHeight="1">
      <c r="A17" s="2">
        <v>13</v>
      </c>
      <c r="B17" s="4" t="s">
        <v>273</v>
      </c>
      <c r="C17" s="2" t="s">
        <v>9</v>
      </c>
      <c r="D17" s="2"/>
      <c r="E17" s="5">
        <v>6.3</v>
      </c>
      <c r="F17" s="20">
        <f t="shared" si="1"/>
        <v>0</v>
      </c>
      <c r="G17" s="2">
        <v>51</v>
      </c>
      <c r="H17" s="4" t="s">
        <v>274</v>
      </c>
      <c r="I17" s="2" t="s">
        <v>9</v>
      </c>
      <c r="J17" s="2"/>
      <c r="K17" s="5">
        <v>6.25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4.5999999999999996</v>
      </c>
      <c r="F18" s="20">
        <f t="shared" si="1"/>
        <v>0</v>
      </c>
      <c r="G18" s="2">
        <v>52</v>
      </c>
      <c r="H18" s="4" t="s">
        <v>275</v>
      </c>
      <c r="I18" s="2" t="s">
        <v>9</v>
      </c>
      <c r="J18" s="2"/>
      <c r="K18" s="5">
        <v>6.1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5.0999999999999996</v>
      </c>
      <c r="F19" s="20">
        <f t="shared" si="1"/>
        <v>0</v>
      </c>
      <c r="G19" s="2">
        <v>53</v>
      </c>
      <c r="H19" s="4" t="s">
        <v>276</v>
      </c>
      <c r="I19" s="2" t="s">
        <v>9</v>
      </c>
      <c r="J19" s="2"/>
      <c r="K19" s="5">
        <v>7.5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2.2999999999999998</v>
      </c>
      <c r="F20" s="20">
        <f t="shared" si="1"/>
        <v>0</v>
      </c>
      <c r="G20" s="2">
        <v>54</v>
      </c>
      <c r="H20" s="4" t="s">
        <v>277</v>
      </c>
      <c r="I20" s="2" t="s">
        <v>9</v>
      </c>
      <c r="J20" s="2"/>
      <c r="K20" s="5">
        <v>8.5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1.25</v>
      </c>
      <c r="F21" s="20">
        <f t="shared" si="1"/>
        <v>0</v>
      </c>
      <c r="G21" s="2">
        <v>55</v>
      </c>
      <c r="H21" s="4" t="s">
        <v>106</v>
      </c>
      <c r="I21" s="2" t="s">
        <v>9</v>
      </c>
      <c r="J21" s="2"/>
      <c r="K21" s="5">
        <v>7.5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5.5</v>
      </c>
      <c r="F22" s="20">
        <f t="shared" si="1"/>
        <v>0</v>
      </c>
      <c r="G22" s="2">
        <v>56</v>
      </c>
      <c r="H22" s="4" t="s">
        <v>278</v>
      </c>
      <c r="I22" s="2" t="s">
        <v>9</v>
      </c>
      <c r="J22" s="2"/>
      <c r="K22" s="5">
        <v>2.1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6.25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4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5.9</v>
      </c>
      <c r="F24" s="20">
        <f t="shared" si="1"/>
        <v>0</v>
      </c>
      <c r="G24" s="2">
        <v>58</v>
      </c>
      <c r="H24" s="4" t="s">
        <v>279</v>
      </c>
      <c r="I24" s="2" t="s">
        <v>9</v>
      </c>
      <c r="J24" s="4"/>
      <c r="K24" s="2">
        <v>2.1</v>
      </c>
      <c r="L24" s="5">
        <f t="shared" si="0"/>
        <v>0</v>
      </c>
    </row>
    <row r="25" spans="1:12" ht="13.15" customHeight="1">
      <c r="A25" s="2">
        <v>21</v>
      </c>
      <c r="B25" s="4" t="s">
        <v>96</v>
      </c>
      <c r="C25" s="2" t="s">
        <v>9</v>
      </c>
      <c r="D25" s="2"/>
      <c r="E25" s="5">
        <v>6.6</v>
      </c>
      <c r="F25" s="20">
        <f t="shared" si="1"/>
        <v>0</v>
      </c>
      <c r="G25" s="2">
        <v>59</v>
      </c>
      <c r="H25" s="4" t="s">
        <v>280</v>
      </c>
      <c r="I25" s="2" t="s">
        <v>9</v>
      </c>
      <c r="J25" s="4"/>
      <c r="K25" s="2">
        <v>8.75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5.2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5.75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4.25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4"/>
      <c r="K27" s="2">
        <v>3.35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4.75</v>
      </c>
      <c r="F28" s="20">
        <f t="shared" si="1"/>
        <v>0</v>
      </c>
      <c r="G28" s="2">
        <v>62</v>
      </c>
      <c r="H28" s="4" t="s">
        <v>281</v>
      </c>
      <c r="I28" s="2" t="s">
        <v>9</v>
      </c>
      <c r="J28" s="4"/>
      <c r="K28" s="2">
        <v>4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5.5</v>
      </c>
      <c r="F29" s="20">
        <f t="shared" si="1"/>
        <v>0</v>
      </c>
      <c r="G29" s="2">
        <v>63</v>
      </c>
      <c r="H29" s="4" t="s">
        <v>140</v>
      </c>
      <c r="I29" s="2" t="s">
        <v>9</v>
      </c>
      <c r="J29" s="4"/>
      <c r="K29" s="2">
        <v>7.5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4.4000000000000004</v>
      </c>
      <c r="F30" s="5">
        <f t="shared" si="1"/>
        <v>0</v>
      </c>
      <c r="G30" s="2">
        <v>64</v>
      </c>
      <c r="H30" s="4" t="s">
        <v>282</v>
      </c>
      <c r="I30" s="2" t="s">
        <v>9</v>
      </c>
      <c r="J30" s="4"/>
      <c r="K30" s="2">
        <v>4.25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5.75</v>
      </c>
      <c r="F31" s="5">
        <f t="shared" si="1"/>
        <v>0</v>
      </c>
      <c r="G31" s="2">
        <v>65</v>
      </c>
      <c r="H31" s="4" t="s">
        <v>283</v>
      </c>
      <c r="I31" s="2" t="s">
        <v>9</v>
      </c>
      <c r="J31" s="4"/>
      <c r="K31" s="2">
        <v>3.4</v>
      </c>
      <c r="L31" s="5">
        <f t="shared" si="0"/>
        <v>0</v>
      </c>
    </row>
    <row r="32" spans="1:12" ht="13.15" customHeight="1">
      <c r="A32" s="2">
        <v>28</v>
      </c>
      <c r="B32" s="4" t="s">
        <v>104</v>
      </c>
      <c r="C32" s="2" t="s">
        <v>9</v>
      </c>
      <c r="D32" s="2"/>
      <c r="E32" s="5">
        <v>7.5</v>
      </c>
      <c r="F32" s="20">
        <f t="shared" si="1"/>
        <v>0</v>
      </c>
      <c r="G32" s="2">
        <v>66</v>
      </c>
      <c r="H32" s="4" t="s">
        <v>284</v>
      </c>
      <c r="I32" s="2" t="s">
        <v>9</v>
      </c>
      <c r="J32" s="4"/>
      <c r="K32" s="2">
        <v>5.75</v>
      </c>
      <c r="L32" s="5">
        <f t="shared" si="0"/>
        <v>0</v>
      </c>
    </row>
    <row r="33" spans="1:12" ht="13.15" customHeight="1">
      <c r="A33" s="2">
        <v>29</v>
      </c>
      <c r="B33" s="4" t="s">
        <v>285</v>
      </c>
      <c r="C33" s="2" t="s">
        <v>9</v>
      </c>
      <c r="D33" s="2"/>
      <c r="E33" s="5">
        <v>5.3</v>
      </c>
      <c r="F33" s="5">
        <f t="shared" si="1"/>
        <v>0</v>
      </c>
      <c r="G33" s="2">
        <v>67</v>
      </c>
      <c r="H33" s="4" t="s">
        <v>286</v>
      </c>
      <c r="I33" s="2" t="s">
        <v>9</v>
      </c>
      <c r="J33" s="4"/>
      <c r="K33" s="2">
        <v>2.2000000000000002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5.75</v>
      </c>
      <c r="F34" s="5">
        <f t="shared" si="1"/>
        <v>0</v>
      </c>
      <c r="G34" s="2">
        <v>68</v>
      </c>
      <c r="H34" s="4" t="s">
        <v>287</v>
      </c>
      <c r="I34" s="2" t="s">
        <v>9</v>
      </c>
      <c r="J34" s="4"/>
      <c r="K34" s="2">
        <v>3.4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5.3</v>
      </c>
      <c r="F35" s="20">
        <f t="shared" si="1"/>
        <v>0</v>
      </c>
      <c r="G35" s="2">
        <v>69</v>
      </c>
      <c r="H35" s="4" t="s">
        <v>288</v>
      </c>
      <c r="I35" s="2" t="s">
        <v>9</v>
      </c>
      <c r="J35" s="4"/>
      <c r="K35" s="2">
        <v>3.4</v>
      </c>
      <c r="L35" s="5">
        <f t="shared" si="0"/>
        <v>0</v>
      </c>
    </row>
    <row r="36" spans="1:12" ht="13.15" customHeight="1">
      <c r="A36" s="2">
        <v>32</v>
      </c>
      <c r="B36" s="4" t="s">
        <v>74</v>
      </c>
      <c r="C36" s="2" t="s">
        <v>9</v>
      </c>
      <c r="D36" s="2"/>
      <c r="E36" s="2">
        <v>2.2999999999999998</v>
      </c>
      <c r="F36" s="20">
        <f t="shared" si="1"/>
        <v>0</v>
      </c>
      <c r="G36" s="2">
        <v>70</v>
      </c>
      <c r="H36" s="4" t="s">
        <v>289</v>
      </c>
      <c r="I36" s="2" t="s">
        <v>9</v>
      </c>
      <c r="J36" s="4"/>
      <c r="K36" s="2">
        <v>34.25</v>
      </c>
      <c r="L36" s="5">
        <f t="shared" si="0"/>
        <v>0</v>
      </c>
    </row>
    <row r="37" spans="1:12" ht="13.15" customHeight="1">
      <c r="A37" s="2">
        <v>33</v>
      </c>
      <c r="B37" s="4" t="s">
        <v>76</v>
      </c>
      <c r="C37" s="2" t="s">
        <v>9</v>
      </c>
      <c r="D37" s="2"/>
      <c r="E37" s="2">
        <v>3.25</v>
      </c>
      <c r="F37" s="20">
        <f t="shared" si="1"/>
        <v>0</v>
      </c>
      <c r="G37" s="2">
        <v>71</v>
      </c>
      <c r="H37" s="4" t="s">
        <v>290</v>
      </c>
      <c r="I37" s="2" t="s">
        <v>9</v>
      </c>
      <c r="J37" s="4"/>
      <c r="K37" s="2">
        <v>3.75</v>
      </c>
      <c r="L37" s="5">
        <f t="shared" si="0"/>
        <v>0</v>
      </c>
    </row>
    <row r="38" spans="1:12" ht="13.15" customHeight="1">
      <c r="A38" s="2">
        <v>34</v>
      </c>
      <c r="B38" s="4" t="s">
        <v>78</v>
      </c>
      <c r="C38" s="2" t="s">
        <v>9</v>
      </c>
      <c r="D38" s="2"/>
      <c r="E38" s="2">
        <v>6.25</v>
      </c>
      <c r="F38" s="20">
        <f t="shared" si="1"/>
        <v>0</v>
      </c>
      <c r="G38" s="2">
        <v>72</v>
      </c>
      <c r="H38" s="4" t="s">
        <v>291</v>
      </c>
      <c r="I38" s="2" t="s">
        <v>9</v>
      </c>
      <c r="J38" s="4"/>
      <c r="K38" s="2">
        <v>6.25</v>
      </c>
      <c r="L38" s="5">
        <f t="shared" si="0"/>
        <v>0</v>
      </c>
    </row>
    <row r="39" spans="1:12" ht="13.15" customHeight="1">
      <c r="A39" s="2">
        <v>35</v>
      </c>
      <c r="B39" s="4" t="s">
        <v>80</v>
      </c>
      <c r="C39" s="2" t="s">
        <v>9</v>
      </c>
      <c r="D39" s="2"/>
      <c r="E39" s="2">
        <v>3.75</v>
      </c>
      <c r="F39" s="20">
        <f t="shared" si="1"/>
        <v>0</v>
      </c>
      <c r="G39" s="2">
        <v>73</v>
      </c>
      <c r="H39" s="4" t="s">
        <v>111</v>
      </c>
      <c r="I39" s="2" t="s">
        <v>9</v>
      </c>
      <c r="J39" s="4"/>
      <c r="K39" s="2">
        <v>3.2</v>
      </c>
      <c r="L39" s="5">
        <f t="shared" si="0"/>
        <v>0</v>
      </c>
    </row>
    <row r="40" spans="1:12" ht="13.15" customHeight="1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0</v>
      </c>
    </row>
    <row r="42" spans="1:12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>
  <dimension ref="A1:L42"/>
  <sheetViews>
    <sheetView topLeftCell="A22" workbookViewId="0">
      <selection activeCell="P11" sqref="P11"/>
    </sheetView>
  </sheetViews>
  <sheetFormatPr defaultRowHeight="13.15" customHeight="1"/>
  <cols>
    <col min="1" max="1" width="4.7109375" style="17" customWidth="1"/>
    <col min="2" max="2" width="23.7109375" customWidth="1"/>
    <col min="3" max="3" width="6.42578125" customWidth="1"/>
    <col min="4" max="4" width="8.140625" customWidth="1"/>
    <col min="5" max="5" width="8.42578125" customWidth="1"/>
    <col min="6" max="6" width="8.85546875" style="17"/>
    <col min="7" max="7" width="5.28515625" style="17" customWidth="1"/>
    <col min="8" max="8" width="24.5703125" customWidth="1"/>
    <col min="9" max="9" width="6.42578125" customWidth="1"/>
    <col min="10" max="10" width="7.42578125" customWidth="1"/>
    <col min="11" max="11" width="8.28515625" customWidth="1"/>
    <col min="12" max="12" width="8.28515625" style="17" customWidth="1"/>
  </cols>
  <sheetData>
    <row r="1" spans="1:12" ht="13.15" customHeight="1">
      <c r="A1" s="30" t="s">
        <v>262</v>
      </c>
      <c r="B1" s="30"/>
      <c r="C1" s="30"/>
      <c r="D1" s="36" t="s">
        <v>263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2.0499999999999998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6.35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1.9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4.45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7.5</v>
      </c>
      <c r="L6" s="5">
        <f t="shared" si="0"/>
        <v>0</v>
      </c>
    </row>
    <row r="7" spans="1:12" ht="13.15" customHeight="1">
      <c r="A7" s="2">
        <v>3</v>
      </c>
      <c r="B7" s="4" t="s">
        <v>264</v>
      </c>
      <c r="C7" s="2" t="s">
        <v>9</v>
      </c>
      <c r="D7" s="2"/>
      <c r="E7" s="5">
        <v>5.5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1.9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6.85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4.75</v>
      </c>
      <c r="F9" s="20">
        <f t="shared" si="1"/>
        <v>0</v>
      </c>
      <c r="G9" s="2">
        <v>43</v>
      </c>
      <c r="H9" s="4" t="s">
        <v>265</v>
      </c>
      <c r="I9" s="2" t="s">
        <v>9</v>
      </c>
      <c r="J9" s="2"/>
      <c r="K9" s="5">
        <v>3.4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5.5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266</v>
      </c>
      <c r="C11" s="2" t="s">
        <v>9</v>
      </c>
      <c r="D11" s="2"/>
      <c r="E11" s="5">
        <v>5.5</v>
      </c>
      <c r="F11" s="20">
        <f t="shared" si="1"/>
        <v>0</v>
      </c>
      <c r="G11" s="2">
        <v>45</v>
      </c>
      <c r="H11" s="4" t="s">
        <v>267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5.7</v>
      </c>
      <c r="F12" s="20">
        <f t="shared" si="1"/>
        <v>0</v>
      </c>
      <c r="G12" s="2">
        <v>46</v>
      </c>
      <c r="H12" s="4" t="s">
        <v>268</v>
      </c>
      <c r="I12" s="2" t="s">
        <v>9</v>
      </c>
      <c r="J12" s="2"/>
      <c r="K12" s="5">
        <v>2.35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5.8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5.65</v>
      </c>
      <c r="F14" s="20">
        <f t="shared" si="1"/>
        <v>0</v>
      </c>
      <c r="G14" s="2">
        <v>48</v>
      </c>
      <c r="H14" s="4" t="s">
        <v>269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128</v>
      </c>
      <c r="C15" s="2" t="s">
        <v>9</v>
      </c>
      <c r="D15" s="2"/>
      <c r="E15" s="5">
        <v>6.3</v>
      </c>
      <c r="F15" s="20">
        <f t="shared" si="1"/>
        <v>0</v>
      </c>
      <c r="G15" s="2">
        <v>49</v>
      </c>
      <c r="H15" s="4" t="s">
        <v>270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271</v>
      </c>
      <c r="C16" s="2" t="s">
        <v>9</v>
      </c>
      <c r="D16" s="2"/>
      <c r="E16" s="5">
        <v>5.8</v>
      </c>
      <c r="F16" s="20">
        <f t="shared" si="1"/>
        <v>0</v>
      </c>
      <c r="G16" s="2">
        <v>50</v>
      </c>
      <c r="H16" s="4" t="s">
        <v>272</v>
      </c>
      <c r="I16" s="2" t="s">
        <v>9</v>
      </c>
      <c r="J16" s="2"/>
      <c r="K16" s="5">
        <v>7.75</v>
      </c>
      <c r="L16" s="5">
        <f t="shared" si="0"/>
        <v>0</v>
      </c>
    </row>
    <row r="17" spans="1:12" ht="13.15" customHeight="1">
      <c r="A17" s="2">
        <v>13</v>
      </c>
      <c r="B17" s="4" t="s">
        <v>273</v>
      </c>
      <c r="C17" s="2" t="s">
        <v>9</v>
      </c>
      <c r="D17" s="2"/>
      <c r="E17" s="5">
        <v>6.3</v>
      </c>
      <c r="F17" s="20">
        <f t="shared" si="1"/>
        <v>0</v>
      </c>
      <c r="G17" s="2">
        <v>51</v>
      </c>
      <c r="H17" s="4" t="s">
        <v>274</v>
      </c>
      <c r="I17" s="2" t="s">
        <v>9</v>
      </c>
      <c r="J17" s="2"/>
      <c r="K17" s="5">
        <v>6.25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4.5999999999999996</v>
      </c>
      <c r="F18" s="20">
        <f t="shared" si="1"/>
        <v>0</v>
      </c>
      <c r="G18" s="2">
        <v>52</v>
      </c>
      <c r="H18" s="4" t="s">
        <v>275</v>
      </c>
      <c r="I18" s="2" t="s">
        <v>9</v>
      </c>
      <c r="J18" s="2"/>
      <c r="K18" s="5">
        <v>6.1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5.0999999999999996</v>
      </c>
      <c r="F19" s="20">
        <f t="shared" si="1"/>
        <v>0</v>
      </c>
      <c r="G19" s="2">
        <v>53</v>
      </c>
      <c r="H19" s="4" t="s">
        <v>276</v>
      </c>
      <c r="I19" s="2" t="s">
        <v>9</v>
      </c>
      <c r="J19" s="2"/>
      <c r="K19" s="5">
        <v>7.5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2.2999999999999998</v>
      </c>
      <c r="F20" s="20">
        <f t="shared" si="1"/>
        <v>0</v>
      </c>
      <c r="G20" s="2">
        <v>54</v>
      </c>
      <c r="H20" s="4" t="s">
        <v>277</v>
      </c>
      <c r="I20" s="2" t="s">
        <v>9</v>
      </c>
      <c r="J20" s="2"/>
      <c r="K20" s="5">
        <v>8.5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1.25</v>
      </c>
      <c r="F21" s="20">
        <f t="shared" si="1"/>
        <v>0</v>
      </c>
      <c r="G21" s="2">
        <v>55</v>
      </c>
      <c r="H21" s="4" t="s">
        <v>106</v>
      </c>
      <c r="I21" s="2" t="s">
        <v>9</v>
      </c>
      <c r="J21" s="2"/>
      <c r="K21" s="5">
        <v>7.5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5.5</v>
      </c>
      <c r="F22" s="20">
        <f t="shared" si="1"/>
        <v>0</v>
      </c>
      <c r="G22" s="2">
        <v>56</v>
      </c>
      <c r="H22" s="4" t="s">
        <v>278</v>
      </c>
      <c r="I22" s="2" t="s">
        <v>9</v>
      </c>
      <c r="J22" s="2"/>
      <c r="K22" s="5">
        <v>2.1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6.25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4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5.9</v>
      </c>
      <c r="F24" s="20">
        <f t="shared" si="1"/>
        <v>0</v>
      </c>
      <c r="G24" s="2">
        <v>58</v>
      </c>
      <c r="H24" s="4" t="s">
        <v>279</v>
      </c>
      <c r="I24" s="2" t="s">
        <v>9</v>
      </c>
      <c r="J24" s="4"/>
      <c r="K24" s="2">
        <v>2.1</v>
      </c>
      <c r="L24" s="5">
        <f t="shared" si="0"/>
        <v>0</v>
      </c>
    </row>
    <row r="25" spans="1:12" ht="13.15" customHeight="1">
      <c r="A25" s="2">
        <v>21</v>
      </c>
      <c r="B25" s="4" t="s">
        <v>96</v>
      </c>
      <c r="C25" s="2" t="s">
        <v>9</v>
      </c>
      <c r="D25" s="2"/>
      <c r="E25" s="5">
        <v>6.6</v>
      </c>
      <c r="F25" s="20">
        <f t="shared" si="1"/>
        <v>0</v>
      </c>
      <c r="G25" s="2">
        <v>59</v>
      </c>
      <c r="H25" s="4" t="s">
        <v>280</v>
      </c>
      <c r="I25" s="2" t="s">
        <v>9</v>
      </c>
      <c r="J25" s="4"/>
      <c r="K25" s="2">
        <v>8.75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5.2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5.75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4.25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4"/>
      <c r="K27" s="2">
        <v>3.35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4.75</v>
      </c>
      <c r="F28" s="20">
        <f t="shared" si="1"/>
        <v>0</v>
      </c>
      <c r="G28" s="2">
        <v>62</v>
      </c>
      <c r="H28" s="4" t="s">
        <v>281</v>
      </c>
      <c r="I28" s="2" t="s">
        <v>9</v>
      </c>
      <c r="J28" s="4"/>
      <c r="K28" s="2">
        <v>4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5.5</v>
      </c>
      <c r="F29" s="20">
        <f t="shared" si="1"/>
        <v>0</v>
      </c>
      <c r="G29" s="2">
        <v>63</v>
      </c>
      <c r="H29" s="4" t="s">
        <v>140</v>
      </c>
      <c r="I29" s="2" t="s">
        <v>9</v>
      </c>
      <c r="J29" s="4"/>
      <c r="K29" s="2">
        <v>7.5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4.4000000000000004</v>
      </c>
      <c r="F30" s="5">
        <f t="shared" si="1"/>
        <v>0</v>
      </c>
      <c r="G30" s="2">
        <v>64</v>
      </c>
      <c r="H30" s="4" t="s">
        <v>282</v>
      </c>
      <c r="I30" s="2" t="s">
        <v>9</v>
      </c>
      <c r="J30" s="4"/>
      <c r="K30" s="2">
        <v>4.25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5.75</v>
      </c>
      <c r="F31" s="5">
        <f t="shared" si="1"/>
        <v>0</v>
      </c>
      <c r="G31" s="2">
        <v>65</v>
      </c>
      <c r="H31" s="4" t="s">
        <v>283</v>
      </c>
      <c r="I31" s="2" t="s">
        <v>9</v>
      </c>
      <c r="J31" s="4"/>
      <c r="K31" s="2">
        <v>3.4</v>
      </c>
      <c r="L31" s="5">
        <f t="shared" si="0"/>
        <v>0</v>
      </c>
    </row>
    <row r="32" spans="1:12" ht="13.15" customHeight="1">
      <c r="A32" s="2">
        <v>28</v>
      </c>
      <c r="B32" s="4" t="s">
        <v>104</v>
      </c>
      <c r="C32" s="2" t="s">
        <v>9</v>
      </c>
      <c r="D32" s="2"/>
      <c r="E32" s="5">
        <v>7.5</v>
      </c>
      <c r="F32" s="20">
        <f t="shared" si="1"/>
        <v>0</v>
      </c>
      <c r="G32" s="2">
        <v>66</v>
      </c>
      <c r="H32" s="4" t="s">
        <v>284</v>
      </c>
      <c r="I32" s="2" t="s">
        <v>9</v>
      </c>
      <c r="J32" s="4"/>
      <c r="K32" s="2">
        <v>5.75</v>
      </c>
      <c r="L32" s="5">
        <f t="shared" si="0"/>
        <v>0</v>
      </c>
    </row>
    <row r="33" spans="1:12" ht="13.15" customHeight="1">
      <c r="A33" s="2">
        <v>29</v>
      </c>
      <c r="B33" s="4" t="s">
        <v>285</v>
      </c>
      <c r="C33" s="2" t="s">
        <v>9</v>
      </c>
      <c r="D33" s="2"/>
      <c r="E33" s="5">
        <v>5.3</v>
      </c>
      <c r="F33" s="5">
        <f t="shared" si="1"/>
        <v>0</v>
      </c>
      <c r="G33" s="2">
        <v>67</v>
      </c>
      <c r="H33" s="4" t="s">
        <v>286</v>
      </c>
      <c r="I33" s="2" t="s">
        <v>9</v>
      </c>
      <c r="J33" s="4"/>
      <c r="K33" s="2">
        <v>2.2000000000000002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5.75</v>
      </c>
      <c r="F34" s="5">
        <f t="shared" si="1"/>
        <v>0</v>
      </c>
      <c r="G34" s="2">
        <v>68</v>
      </c>
      <c r="H34" s="4" t="s">
        <v>287</v>
      </c>
      <c r="I34" s="2" t="s">
        <v>9</v>
      </c>
      <c r="J34" s="4"/>
      <c r="K34" s="2">
        <v>3.4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5.3</v>
      </c>
      <c r="F35" s="20">
        <f t="shared" si="1"/>
        <v>0</v>
      </c>
      <c r="G35" s="2">
        <v>69</v>
      </c>
      <c r="H35" s="4" t="s">
        <v>288</v>
      </c>
      <c r="I35" s="2" t="s">
        <v>9</v>
      </c>
      <c r="J35" s="4"/>
      <c r="K35" s="2">
        <v>3.4</v>
      </c>
      <c r="L35" s="5">
        <f t="shared" si="0"/>
        <v>0</v>
      </c>
    </row>
    <row r="36" spans="1:12" ht="13.15" customHeight="1">
      <c r="A36" s="2">
        <v>32</v>
      </c>
      <c r="B36" s="4" t="s">
        <v>74</v>
      </c>
      <c r="C36" s="2" t="s">
        <v>9</v>
      </c>
      <c r="D36" s="2"/>
      <c r="E36" s="2">
        <v>2.2999999999999998</v>
      </c>
      <c r="F36" s="20">
        <f t="shared" si="1"/>
        <v>0</v>
      </c>
      <c r="G36" s="2">
        <v>70</v>
      </c>
      <c r="H36" s="4" t="s">
        <v>289</v>
      </c>
      <c r="I36" s="2" t="s">
        <v>9</v>
      </c>
      <c r="J36" s="4"/>
      <c r="K36" s="2">
        <v>34.25</v>
      </c>
      <c r="L36" s="5">
        <f t="shared" si="0"/>
        <v>0</v>
      </c>
    </row>
    <row r="37" spans="1:12" ht="13.15" customHeight="1">
      <c r="A37" s="2">
        <v>33</v>
      </c>
      <c r="B37" s="4" t="s">
        <v>76</v>
      </c>
      <c r="C37" s="2" t="s">
        <v>9</v>
      </c>
      <c r="D37" s="2"/>
      <c r="E37" s="2">
        <v>3.25</v>
      </c>
      <c r="F37" s="20">
        <f t="shared" si="1"/>
        <v>0</v>
      </c>
      <c r="G37" s="2">
        <v>71</v>
      </c>
      <c r="H37" s="4" t="s">
        <v>290</v>
      </c>
      <c r="I37" s="2" t="s">
        <v>9</v>
      </c>
      <c r="J37" s="4"/>
      <c r="K37" s="2">
        <v>3.75</v>
      </c>
      <c r="L37" s="5">
        <f t="shared" si="0"/>
        <v>0</v>
      </c>
    </row>
    <row r="38" spans="1:12" ht="13.15" customHeight="1">
      <c r="A38" s="2">
        <v>34</v>
      </c>
      <c r="B38" s="4" t="s">
        <v>78</v>
      </c>
      <c r="C38" s="2" t="s">
        <v>9</v>
      </c>
      <c r="D38" s="2"/>
      <c r="E38" s="2">
        <v>6.25</v>
      </c>
      <c r="F38" s="20">
        <f t="shared" si="1"/>
        <v>0</v>
      </c>
      <c r="G38" s="2">
        <v>72</v>
      </c>
      <c r="H38" s="4" t="s">
        <v>291</v>
      </c>
      <c r="I38" s="2" t="s">
        <v>9</v>
      </c>
      <c r="J38" s="4"/>
      <c r="K38" s="2">
        <v>6.25</v>
      </c>
      <c r="L38" s="5">
        <f t="shared" si="0"/>
        <v>0</v>
      </c>
    </row>
    <row r="39" spans="1:12" ht="13.15" customHeight="1">
      <c r="A39" s="2">
        <v>35</v>
      </c>
      <c r="B39" s="4" t="s">
        <v>80</v>
      </c>
      <c r="C39" s="2" t="s">
        <v>9</v>
      </c>
      <c r="D39" s="2"/>
      <c r="E39" s="2">
        <v>3.75</v>
      </c>
      <c r="F39" s="20">
        <f t="shared" si="1"/>
        <v>0</v>
      </c>
      <c r="G39" s="2">
        <v>73</v>
      </c>
      <c r="H39" s="4" t="s">
        <v>111</v>
      </c>
      <c r="I39" s="2" t="s">
        <v>9</v>
      </c>
      <c r="J39" s="4"/>
      <c r="K39" s="2">
        <v>3.2</v>
      </c>
      <c r="L39" s="5">
        <f t="shared" si="0"/>
        <v>0</v>
      </c>
    </row>
    <row r="40" spans="1:12" ht="13.15" customHeight="1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0</v>
      </c>
    </row>
    <row r="42" spans="1:12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>
  <dimension ref="A1:L42"/>
  <sheetViews>
    <sheetView topLeftCell="A22" workbookViewId="0">
      <selection activeCell="P11" sqref="P11"/>
    </sheetView>
  </sheetViews>
  <sheetFormatPr defaultRowHeight="13.15" customHeight="1"/>
  <cols>
    <col min="1" max="1" width="4.7109375" style="17" customWidth="1"/>
    <col min="2" max="2" width="23.7109375" customWidth="1"/>
    <col min="3" max="3" width="6.42578125" customWidth="1"/>
    <col min="4" max="4" width="8.140625" customWidth="1"/>
    <col min="5" max="5" width="8.42578125" customWidth="1"/>
    <col min="6" max="6" width="8.85546875" style="17"/>
    <col min="7" max="7" width="5.28515625" style="17" customWidth="1"/>
    <col min="8" max="8" width="24.5703125" customWidth="1"/>
    <col min="9" max="9" width="6.42578125" customWidth="1"/>
    <col min="10" max="10" width="7.42578125" customWidth="1"/>
    <col min="11" max="11" width="8.28515625" customWidth="1"/>
    <col min="12" max="12" width="8.28515625" style="17" customWidth="1"/>
  </cols>
  <sheetData>
    <row r="1" spans="1:12" ht="13.15" customHeight="1">
      <c r="A1" s="30" t="s">
        <v>262</v>
      </c>
      <c r="B1" s="30"/>
      <c r="C1" s="30"/>
      <c r="D1" s="36" t="s">
        <v>263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2.0499999999999998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6.35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1.9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4.45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7.5</v>
      </c>
      <c r="L6" s="5">
        <f t="shared" si="0"/>
        <v>0</v>
      </c>
    </row>
    <row r="7" spans="1:12" ht="13.15" customHeight="1">
      <c r="A7" s="2">
        <v>3</v>
      </c>
      <c r="B7" s="4" t="s">
        <v>264</v>
      </c>
      <c r="C7" s="2" t="s">
        <v>9</v>
      </c>
      <c r="D7" s="2"/>
      <c r="E7" s="5">
        <v>5.5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1.9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6.85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4.75</v>
      </c>
      <c r="F9" s="20">
        <f t="shared" si="1"/>
        <v>0</v>
      </c>
      <c r="G9" s="2">
        <v>43</v>
      </c>
      <c r="H9" s="4" t="s">
        <v>265</v>
      </c>
      <c r="I9" s="2" t="s">
        <v>9</v>
      </c>
      <c r="J9" s="2"/>
      <c r="K9" s="5">
        <v>3.4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5.5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266</v>
      </c>
      <c r="C11" s="2" t="s">
        <v>9</v>
      </c>
      <c r="D11" s="2"/>
      <c r="E11" s="5">
        <v>5.5</v>
      </c>
      <c r="F11" s="20">
        <f t="shared" si="1"/>
        <v>0</v>
      </c>
      <c r="G11" s="2">
        <v>45</v>
      </c>
      <c r="H11" s="4" t="s">
        <v>267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5.7</v>
      </c>
      <c r="F12" s="20">
        <f t="shared" si="1"/>
        <v>0</v>
      </c>
      <c r="G12" s="2">
        <v>46</v>
      </c>
      <c r="H12" s="4" t="s">
        <v>268</v>
      </c>
      <c r="I12" s="2" t="s">
        <v>9</v>
      </c>
      <c r="J12" s="2"/>
      <c r="K12" s="5">
        <v>2.35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5.8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5.65</v>
      </c>
      <c r="F14" s="20">
        <f t="shared" si="1"/>
        <v>0</v>
      </c>
      <c r="G14" s="2">
        <v>48</v>
      </c>
      <c r="H14" s="4" t="s">
        <v>269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128</v>
      </c>
      <c r="C15" s="2" t="s">
        <v>9</v>
      </c>
      <c r="D15" s="2"/>
      <c r="E15" s="5">
        <v>6.3</v>
      </c>
      <c r="F15" s="20">
        <f t="shared" si="1"/>
        <v>0</v>
      </c>
      <c r="G15" s="2">
        <v>49</v>
      </c>
      <c r="H15" s="4" t="s">
        <v>270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271</v>
      </c>
      <c r="C16" s="2" t="s">
        <v>9</v>
      </c>
      <c r="D16" s="2"/>
      <c r="E16" s="5">
        <v>5.8</v>
      </c>
      <c r="F16" s="20">
        <f t="shared" si="1"/>
        <v>0</v>
      </c>
      <c r="G16" s="2">
        <v>50</v>
      </c>
      <c r="H16" s="4" t="s">
        <v>272</v>
      </c>
      <c r="I16" s="2" t="s">
        <v>9</v>
      </c>
      <c r="J16" s="2"/>
      <c r="K16" s="5">
        <v>7.75</v>
      </c>
      <c r="L16" s="5">
        <f t="shared" si="0"/>
        <v>0</v>
      </c>
    </row>
    <row r="17" spans="1:12" ht="13.15" customHeight="1">
      <c r="A17" s="2">
        <v>13</v>
      </c>
      <c r="B17" s="4" t="s">
        <v>273</v>
      </c>
      <c r="C17" s="2" t="s">
        <v>9</v>
      </c>
      <c r="D17" s="2"/>
      <c r="E17" s="5">
        <v>6.3</v>
      </c>
      <c r="F17" s="20">
        <f t="shared" si="1"/>
        <v>0</v>
      </c>
      <c r="G17" s="2">
        <v>51</v>
      </c>
      <c r="H17" s="4" t="s">
        <v>274</v>
      </c>
      <c r="I17" s="2" t="s">
        <v>9</v>
      </c>
      <c r="J17" s="2"/>
      <c r="K17" s="5">
        <v>6.25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4.5999999999999996</v>
      </c>
      <c r="F18" s="20">
        <f t="shared" si="1"/>
        <v>0</v>
      </c>
      <c r="G18" s="2">
        <v>52</v>
      </c>
      <c r="H18" s="4" t="s">
        <v>275</v>
      </c>
      <c r="I18" s="2" t="s">
        <v>9</v>
      </c>
      <c r="J18" s="2"/>
      <c r="K18" s="5">
        <v>6.1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5.0999999999999996</v>
      </c>
      <c r="F19" s="20">
        <f t="shared" si="1"/>
        <v>0</v>
      </c>
      <c r="G19" s="2">
        <v>53</v>
      </c>
      <c r="H19" s="4" t="s">
        <v>276</v>
      </c>
      <c r="I19" s="2" t="s">
        <v>9</v>
      </c>
      <c r="J19" s="2"/>
      <c r="K19" s="5">
        <v>7.5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2.2999999999999998</v>
      </c>
      <c r="F20" s="20">
        <f t="shared" si="1"/>
        <v>0</v>
      </c>
      <c r="G20" s="2">
        <v>54</v>
      </c>
      <c r="H20" s="4" t="s">
        <v>277</v>
      </c>
      <c r="I20" s="2" t="s">
        <v>9</v>
      </c>
      <c r="J20" s="2"/>
      <c r="K20" s="5">
        <v>8.5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1.25</v>
      </c>
      <c r="F21" s="20">
        <f t="shared" si="1"/>
        <v>0</v>
      </c>
      <c r="G21" s="2">
        <v>55</v>
      </c>
      <c r="H21" s="4" t="s">
        <v>106</v>
      </c>
      <c r="I21" s="2" t="s">
        <v>9</v>
      </c>
      <c r="J21" s="2"/>
      <c r="K21" s="5">
        <v>7.5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5.5</v>
      </c>
      <c r="F22" s="20">
        <f t="shared" si="1"/>
        <v>0</v>
      </c>
      <c r="G22" s="2">
        <v>56</v>
      </c>
      <c r="H22" s="4" t="s">
        <v>278</v>
      </c>
      <c r="I22" s="2" t="s">
        <v>9</v>
      </c>
      <c r="J22" s="2"/>
      <c r="K22" s="5">
        <v>2.1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6.25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4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5.9</v>
      </c>
      <c r="F24" s="20">
        <f t="shared" si="1"/>
        <v>0</v>
      </c>
      <c r="G24" s="2">
        <v>58</v>
      </c>
      <c r="H24" s="4" t="s">
        <v>279</v>
      </c>
      <c r="I24" s="2" t="s">
        <v>9</v>
      </c>
      <c r="J24" s="4"/>
      <c r="K24" s="2">
        <v>2.1</v>
      </c>
      <c r="L24" s="5">
        <f t="shared" si="0"/>
        <v>0</v>
      </c>
    </row>
    <row r="25" spans="1:12" ht="13.15" customHeight="1">
      <c r="A25" s="2">
        <v>21</v>
      </c>
      <c r="B25" s="4" t="s">
        <v>96</v>
      </c>
      <c r="C25" s="2" t="s">
        <v>9</v>
      </c>
      <c r="D25" s="2"/>
      <c r="E25" s="5">
        <v>6.6</v>
      </c>
      <c r="F25" s="20">
        <f t="shared" si="1"/>
        <v>0</v>
      </c>
      <c r="G25" s="2">
        <v>59</v>
      </c>
      <c r="H25" s="4" t="s">
        <v>280</v>
      </c>
      <c r="I25" s="2" t="s">
        <v>9</v>
      </c>
      <c r="J25" s="4"/>
      <c r="K25" s="2">
        <v>8.75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5.2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5.75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4.25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4"/>
      <c r="K27" s="2">
        <v>3.35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4.75</v>
      </c>
      <c r="F28" s="20">
        <f t="shared" si="1"/>
        <v>0</v>
      </c>
      <c r="G28" s="2">
        <v>62</v>
      </c>
      <c r="H28" s="4" t="s">
        <v>281</v>
      </c>
      <c r="I28" s="2" t="s">
        <v>9</v>
      </c>
      <c r="J28" s="4"/>
      <c r="K28" s="2">
        <v>4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5.5</v>
      </c>
      <c r="F29" s="20">
        <f t="shared" si="1"/>
        <v>0</v>
      </c>
      <c r="G29" s="2">
        <v>63</v>
      </c>
      <c r="H29" s="4" t="s">
        <v>140</v>
      </c>
      <c r="I29" s="2" t="s">
        <v>9</v>
      </c>
      <c r="J29" s="4"/>
      <c r="K29" s="2">
        <v>7.5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4.4000000000000004</v>
      </c>
      <c r="F30" s="5">
        <f t="shared" si="1"/>
        <v>0</v>
      </c>
      <c r="G30" s="2">
        <v>64</v>
      </c>
      <c r="H30" s="4" t="s">
        <v>282</v>
      </c>
      <c r="I30" s="2" t="s">
        <v>9</v>
      </c>
      <c r="J30" s="4"/>
      <c r="K30" s="2">
        <v>4.25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5.75</v>
      </c>
      <c r="F31" s="5">
        <f t="shared" si="1"/>
        <v>0</v>
      </c>
      <c r="G31" s="2">
        <v>65</v>
      </c>
      <c r="H31" s="4" t="s">
        <v>283</v>
      </c>
      <c r="I31" s="2" t="s">
        <v>9</v>
      </c>
      <c r="J31" s="4"/>
      <c r="K31" s="2">
        <v>3.4</v>
      </c>
      <c r="L31" s="5">
        <f t="shared" si="0"/>
        <v>0</v>
      </c>
    </row>
    <row r="32" spans="1:12" ht="13.15" customHeight="1">
      <c r="A32" s="2">
        <v>28</v>
      </c>
      <c r="B32" s="4" t="s">
        <v>104</v>
      </c>
      <c r="C32" s="2" t="s">
        <v>9</v>
      </c>
      <c r="D32" s="2"/>
      <c r="E32" s="5">
        <v>7.5</v>
      </c>
      <c r="F32" s="20">
        <f t="shared" si="1"/>
        <v>0</v>
      </c>
      <c r="G32" s="2">
        <v>66</v>
      </c>
      <c r="H32" s="4" t="s">
        <v>284</v>
      </c>
      <c r="I32" s="2" t="s">
        <v>9</v>
      </c>
      <c r="J32" s="4"/>
      <c r="K32" s="2">
        <v>5.75</v>
      </c>
      <c r="L32" s="5">
        <f t="shared" si="0"/>
        <v>0</v>
      </c>
    </row>
    <row r="33" spans="1:12" ht="13.15" customHeight="1">
      <c r="A33" s="2">
        <v>29</v>
      </c>
      <c r="B33" s="4" t="s">
        <v>285</v>
      </c>
      <c r="C33" s="2" t="s">
        <v>9</v>
      </c>
      <c r="D33" s="2"/>
      <c r="E33" s="5">
        <v>5.3</v>
      </c>
      <c r="F33" s="5">
        <f t="shared" si="1"/>
        <v>0</v>
      </c>
      <c r="G33" s="2">
        <v>67</v>
      </c>
      <c r="H33" s="4" t="s">
        <v>286</v>
      </c>
      <c r="I33" s="2" t="s">
        <v>9</v>
      </c>
      <c r="J33" s="4"/>
      <c r="K33" s="2">
        <v>2.2000000000000002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5.75</v>
      </c>
      <c r="F34" s="5">
        <f t="shared" si="1"/>
        <v>0</v>
      </c>
      <c r="G34" s="2">
        <v>68</v>
      </c>
      <c r="H34" s="4" t="s">
        <v>287</v>
      </c>
      <c r="I34" s="2" t="s">
        <v>9</v>
      </c>
      <c r="J34" s="4"/>
      <c r="K34" s="2">
        <v>3.4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5.3</v>
      </c>
      <c r="F35" s="20">
        <f t="shared" si="1"/>
        <v>0</v>
      </c>
      <c r="G35" s="2">
        <v>69</v>
      </c>
      <c r="H35" s="4" t="s">
        <v>288</v>
      </c>
      <c r="I35" s="2" t="s">
        <v>9</v>
      </c>
      <c r="J35" s="4"/>
      <c r="K35" s="2">
        <v>3.4</v>
      </c>
      <c r="L35" s="5">
        <f t="shared" si="0"/>
        <v>0</v>
      </c>
    </row>
    <row r="36" spans="1:12" ht="13.15" customHeight="1">
      <c r="A36" s="2">
        <v>32</v>
      </c>
      <c r="B36" s="4" t="s">
        <v>74</v>
      </c>
      <c r="C36" s="2" t="s">
        <v>9</v>
      </c>
      <c r="D36" s="2"/>
      <c r="E36" s="2">
        <v>2.2999999999999998</v>
      </c>
      <c r="F36" s="20">
        <f t="shared" si="1"/>
        <v>0</v>
      </c>
      <c r="G36" s="2">
        <v>70</v>
      </c>
      <c r="H36" s="4" t="s">
        <v>289</v>
      </c>
      <c r="I36" s="2" t="s">
        <v>9</v>
      </c>
      <c r="J36" s="4"/>
      <c r="K36" s="2">
        <v>34.25</v>
      </c>
      <c r="L36" s="5">
        <f t="shared" si="0"/>
        <v>0</v>
      </c>
    </row>
    <row r="37" spans="1:12" ht="13.15" customHeight="1">
      <c r="A37" s="2">
        <v>33</v>
      </c>
      <c r="B37" s="4" t="s">
        <v>76</v>
      </c>
      <c r="C37" s="2" t="s">
        <v>9</v>
      </c>
      <c r="D37" s="2"/>
      <c r="E37" s="2">
        <v>3.25</v>
      </c>
      <c r="F37" s="20">
        <f t="shared" si="1"/>
        <v>0</v>
      </c>
      <c r="G37" s="2">
        <v>71</v>
      </c>
      <c r="H37" s="4" t="s">
        <v>290</v>
      </c>
      <c r="I37" s="2" t="s">
        <v>9</v>
      </c>
      <c r="J37" s="4"/>
      <c r="K37" s="2">
        <v>3.75</v>
      </c>
      <c r="L37" s="5">
        <f t="shared" si="0"/>
        <v>0</v>
      </c>
    </row>
    <row r="38" spans="1:12" ht="13.15" customHeight="1">
      <c r="A38" s="2">
        <v>34</v>
      </c>
      <c r="B38" s="4" t="s">
        <v>78</v>
      </c>
      <c r="C38" s="2" t="s">
        <v>9</v>
      </c>
      <c r="D38" s="2"/>
      <c r="E38" s="2">
        <v>6.25</v>
      </c>
      <c r="F38" s="20">
        <f t="shared" si="1"/>
        <v>0</v>
      </c>
      <c r="G38" s="2">
        <v>72</v>
      </c>
      <c r="H38" s="4" t="s">
        <v>291</v>
      </c>
      <c r="I38" s="2" t="s">
        <v>9</v>
      </c>
      <c r="J38" s="4"/>
      <c r="K38" s="2">
        <v>6.25</v>
      </c>
      <c r="L38" s="5">
        <f t="shared" si="0"/>
        <v>0</v>
      </c>
    </row>
    <row r="39" spans="1:12" ht="13.15" customHeight="1">
      <c r="A39" s="2">
        <v>35</v>
      </c>
      <c r="B39" s="4" t="s">
        <v>80</v>
      </c>
      <c r="C39" s="2" t="s">
        <v>9</v>
      </c>
      <c r="D39" s="2"/>
      <c r="E39" s="2">
        <v>3.75</v>
      </c>
      <c r="F39" s="20">
        <f t="shared" si="1"/>
        <v>0</v>
      </c>
      <c r="G39" s="2">
        <v>73</v>
      </c>
      <c r="H39" s="4" t="s">
        <v>111</v>
      </c>
      <c r="I39" s="2" t="s">
        <v>9</v>
      </c>
      <c r="J39" s="4"/>
      <c r="K39" s="2">
        <v>3.2</v>
      </c>
      <c r="L39" s="5">
        <f t="shared" si="0"/>
        <v>0</v>
      </c>
    </row>
    <row r="40" spans="1:12" ht="13.15" customHeight="1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0</v>
      </c>
    </row>
    <row r="42" spans="1:12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>
  <dimension ref="A1:L42"/>
  <sheetViews>
    <sheetView topLeftCell="A22" workbookViewId="0">
      <selection activeCell="P11" sqref="P11"/>
    </sheetView>
  </sheetViews>
  <sheetFormatPr defaultRowHeight="13.15" customHeight="1"/>
  <cols>
    <col min="1" max="1" width="4.7109375" style="17" customWidth="1"/>
    <col min="2" max="2" width="23.7109375" customWidth="1"/>
    <col min="3" max="3" width="6.42578125" customWidth="1"/>
    <col min="4" max="4" width="8.140625" customWidth="1"/>
    <col min="5" max="5" width="8.42578125" customWidth="1"/>
    <col min="6" max="6" width="8.85546875" style="17"/>
    <col min="7" max="7" width="5.28515625" style="17" customWidth="1"/>
    <col min="8" max="8" width="24.5703125" customWidth="1"/>
    <col min="9" max="9" width="6.42578125" customWidth="1"/>
    <col min="10" max="10" width="7.42578125" customWidth="1"/>
    <col min="11" max="11" width="8.28515625" customWidth="1"/>
    <col min="12" max="12" width="8.28515625" style="17" customWidth="1"/>
  </cols>
  <sheetData>
    <row r="1" spans="1:12" ht="13.15" customHeight="1">
      <c r="A1" s="30" t="s">
        <v>262</v>
      </c>
      <c r="B1" s="30"/>
      <c r="C1" s="30"/>
      <c r="D1" s="36" t="s">
        <v>263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2.0499999999999998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6.35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1.9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4.45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7.5</v>
      </c>
      <c r="L6" s="5">
        <f t="shared" si="0"/>
        <v>0</v>
      </c>
    </row>
    <row r="7" spans="1:12" ht="13.15" customHeight="1">
      <c r="A7" s="2">
        <v>3</v>
      </c>
      <c r="B7" s="4" t="s">
        <v>264</v>
      </c>
      <c r="C7" s="2" t="s">
        <v>9</v>
      </c>
      <c r="D7" s="2"/>
      <c r="E7" s="5">
        <v>5.5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1.9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6.85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4.75</v>
      </c>
      <c r="F9" s="20">
        <f t="shared" si="1"/>
        <v>0</v>
      </c>
      <c r="G9" s="2">
        <v>43</v>
      </c>
      <c r="H9" s="4" t="s">
        <v>265</v>
      </c>
      <c r="I9" s="2" t="s">
        <v>9</v>
      </c>
      <c r="J9" s="2"/>
      <c r="K9" s="5">
        <v>3.4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5.5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266</v>
      </c>
      <c r="C11" s="2" t="s">
        <v>9</v>
      </c>
      <c r="D11" s="2"/>
      <c r="E11" s="5">
        <v>5.5</v>
      </c>
      <c r="F11" s="20">
        <f t="shared" si="1"/>
        <v>0</v>
      </c>
      <c r="G11" s="2">
        <v>45</v>
      </c>
      <c r="H11" s="4" t="s">
        <v>267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5.7</v>
      </c>
      <c r="F12" s="20">
        <f t="shared" si="1"/>
        <v>0</v>
      </c>
      <c r="G12" s="2">
        <v>46</v>
      </c>
      <c r="H12" s="4" t="s">
        <v>268</v>
      </c>
      <c r="I12" s="2" t="s">
        <v>9</v>
      </c>
      <c r="J12" s="2"/>
      <c r="K12" s="5">
        <v>2.35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5.8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5.65</v>
      </c>
      <c r="F14" s="20">
        <f t="shared" si="1"/>
        <v>0</v>
      </c>
      <c r="G14" s="2">
        <v>48</v>
      </c>
      <c r="H14" s="4" t="s">
        <v>269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128</v>
      </c>
      <c r="C15" s="2" t="s">
        <v>9</v>
      </c>
      <c r="D15" s="2"/>
      <c r="E15" s="5">
        <v>6.3</v>
      </c>
      <c r="F15" s="20">
        <f t="shared" si="1"/>
        <v>0</v>
      </c>
      <c r="G15" s="2">
        <v>49</v>
      </c>
      <c r="H15" s="4" t="s">
        <v>270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271</v>
      </c>
      <c r="C16" s="2" t="s">
        <v>9</v>
      </c>
      <c r="D16" s="2"/>
      <c r="E16" s="5">
        <v>5.8</v>
      </c>
      <c r="F16" s="20">
        <f t="shared" si="1"/>
        <v>0</v>
      </c>
      <c r="G16" s="2">
        <v>50</v>
      </c>
      <c r="H16" s="4" t="s">
        <v>272</v>
      </c>
      <c r="I16" s="2" t="s">
        <v>9</v>
      </c>
      <c r="J16" s="2"/>
      <c r="K16" s="5">
        <v>7.75</v>
      </c>
      <c r="L16" s="5">
        <f t="shared" si="0"/>
        <v>0</v>
      </c>
    </row>
    <row r="17" spans="1:12" ht="13.15" customHeight="1">
      <c r="A17" s="2">
        <v>13</v>
      </c>
      <c r="B17" s="4" t="s">
        <v>273</v>
      </c>
      <c r="C17" s="2" t="s">
        <v>9</v>
      </c>
      <c r="D17" s="2"/>
      <c r="E17" s="5">
        <v>6.3</v>
      </c>
      <c r="F17" s="20">
        <f t="shared" si="1"/>
        <v>0</v>
      </c>
      <c r="G17" s="2">
        <v>51</v>
      </c>
      <c r="H17" s="4" t="s">
        <v>274</v>
      </c>
      <c r="I17" s="2" t="s">
        <v>9</v>
      </c>
      <c r="J17" s="2"/>
      <c r="K17" s="5">
        <v>6.25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4.5999999999999996</v>
      </c>
      <c r="F18" s="20">
        <f t="shared" si="1"/>
        <v>0</v>
      </c>
      <c r="G18" s="2">
        <v>52</v>
      </c>
      <c r="H18" s="4" t="s">
        <v>275</v>
      </c>
      <c r="I18" s="2" t="s">
        <v>9</v>
      </c>
      <c r="J18" s="2"/>
      <c r="K18" s="5">
        <v>6.1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5.0999999999999996</v>
      </c>
      <c r="F19" s="20">
        <f t="shared" si="1"/>
        <v>0</v>
      </c>
      <c r="G19" s="2">
        <v>53</v>
      </c>
      <c r="H19" s="4" t="s">
        <v>276</v>
      </c>
      <c r="I19" s="2" t="s">
        <v>9</v>
      </c>
      <c r="J19" s="2"/>
      <c r="K19" s="5">
        <v>7.5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2.2999999999999998</v>
      </c>
      <c r="F20" s="20">
        <f t="shared" si="1"/>
        <v>0</v>
      </c>
      <c r="G20" s="2">
        <v>54</v>
      </c>
      <c r="H20" s="4" t="s">
        <v>277</v>
      </c>
      <c r="I20" s="2" t="s">
        <v>9</v>
      </c>
      <c r="J20" s="2"/>
      <c r="K20" s="5">
        <v>8.5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1.25</v>
      </c>
      <c r="F21" s="20">
        <f t="shared" si="1"/>
        <v>0</v>
      </c>
      <c r="G21" s="2">
        <v>55</v>
      </c>
      <c r="H21" s="4" t="s">
        <v>106</v>
      </c>
      <c r="I21" s="2" t="s">
        <v>9</v>
      </c>
      <c r="J21" s="2"/>
      <c r="K21" s="5">
        <v>7.5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5.5</v>
      </c>
      <c r="F22" s="20">
        <f t="shared" si="1"/>
        <v>0</v>
      </c>
      <c r="G22" s="2">
        <v>56</v>
      </c>
      <c r="H22" s="4" t="s">
        <v>278</v>
      </c>
      <c r="I22" s="2" t="s">
        <v>9</v>
      </c>
      <c r="J22" s="2"/>
      <c r="K22" s="5">
        <v>2.1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6.25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4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5.9</v>
      </c>
      <c r="F24" s="20">
        <f t="shared" si="1"/>
        <v>0</v>
      </c>
      <c r="G24" s="2">
        <v>58</v>
      </c>
      <c r="H24" s="4" t="s">
        <v>279</v>
      </c>
      <c r="I24" s="2" t="s">
        <v>9</v>
      </c>
      <c r="J24" s="4"/>
      <c r="K24" s="2">
        <v>2.1</v>
      </c>
      <c r="L24" s="5">
        <f t="shared" si="0"/>
        <v>0</v>
      </c>
    </row>
    <row r="25" spans="1:12" ht="13.15" customHeight="1">
      <c r="A25" s="2">
        <v>21</v>
      </c>
      <c r="B25" s="4" t="s">
        <v>96</v>
      </c>
      <c r="C25" s="2" t="s">
        <v>9</v>
      </c>
      <c r="D25" s="2"/>
      <c r="E25" s="5">
        <v>6.6</v>
      </c>
      <c r="F25" s="20">
        <f t="shared" si="1"/>
        <v>0</v>
      </c>
      <c r="G25" s="2">
        <v>59</v>
      </c>
      <c r="H25" s="4" t="s">
        <v>280</v>
      </c>
      <c r="I25" s="2" t="s">
        <v>9</v>
      </c>
      <c r="J25" s="4"/>
      <c r="K25" s="2">
        <v>8.75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5.2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5.75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4.25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4"/>
      <c r="K27" s="2">
        <v>3.35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4.75</v>
      </c>
      <c r="F28" s="20">
        <f t="shared" si="1"/>
        <v>0</v>
      </c>
      <c r="G28" s="2">
        <v>62</v>
      </c>
      <c r="H28" s="4" t="s">
        <v>281</v>
      </c>
      <c r="I28" s="2" t="s">
        <v>9</v>
      </c>
      <c r="J28" s="4"/>
      <c r="K28" s="2">
        <v>4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5.5</v>
      </c>
      <c r="F29" s="20">
        <f t="shared" si="1"/>
        <v>0</v>
      </c>
      <c r="G29" s="2">
        <v>63</v>
      </c>
      <c r="H29" s="4" t="s">
        <v>140</v>
      </c>
      <c r="I29" s="2" t="s">
        <v>9</v>
      </c>
      <c r="J29" s="4"/>
      <c r="K29" s="2">
        <v>7.5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4.4000000000000004</v>
      </c>
      <c r="F30" s="5">
        <f t="shared" si="1"/>
        <v>0</v>
      </c>
      <c r="G30" s="2">
        <v>64</v>
      </c>
      <c r="H30" s="4" t="s">
        <v>282</v>
      </c>
      <c r="I30" s="2" t="s">
        <v>9</v>
      </c>
      <c r="J30" s="4"/>
      <c r="K30" s="2">
        <v>4.25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5.75</v>
      </c>
      <c r="F31" s="5">
        <f t="shared" si="1"/>
        <v>0</v>
      </c>
      <c r="G31" s="2">
        <v>65</v>
      </c>
      <c r="H31" s="4" t="s">
        <v>283</v>
      </c>
      <c r="I31" s="2" t="s">
        <v>9</v>
      </c>
      <c r="J31" s="4"/>
      <c r="K31" s="2">
        <v>3.4</v>
      </c>
      <c r="L31" s="5">
        <f t="shared" si="0"/>
        <v>0</v>
      </c>
    </row>
    <row r="32" spans="1:12" ht="13.15" customHeight="1">
      <c r="A32" s="2">
        <v>28</v>
      </c>
      <c r="B32" s="4" t="s">
        <v>104</v>
      </c>
      <c r="C32" s="2" t="s">
        <v>9</v>
      </c>
      <c r="D32" s="2"/>
      <c r="E32" s="5">
        <v>7.5</v>
      </c>
      <c r="F32" s="20">
        <f t="shared" si="1"/>
        <v>0</v>
      </c>
      <c r="G32" s="2">
        <v>66</v>
      </c>
      <c r="H32" s="4" t="s">
        <v>284</v>
      </c>
      <c r="I32" s="2" t="s">
        <v>9</v>
      </c>
      <c r="J32" s="4"/>
      <c r="K32" s="2">
        <v>5.75</v>
      </c>
      <c r="L32" s="5">
        <f t="shared" si="0"/>
        <v>0</v>
      </c>
    </row>
    <row r="33" spans="1:12" ht="13.15" customHeight="1">
      <c r="A33" s="2">
        <v>29</v>
      </c>
      <c r="B33" s="4" t="s">
        <v>285</v>
      </c>
      <c r="C33" s="2" t="s">
        <v>9</v>
      </c>
      <c r="D33" s="2"/>
      <c r="E33" s="5">
        <v>5.3</v>
      </c>
      <c r="F33" s="5">
        <f t="shared" si="1"/>
        <v>0</v>
      </c>
      <c r="G33" s="2">
        <v>67</v>
      </c>
      <c r="H33" s="4" t="s">
        <v>286</v>
      </c>
      <c r="I33" s="2" t="s">
        <v>9</v>
      </c>
      <c r="J33" s="4"/>
      <c r="K33" s="2">
        <v>2.2000000000000002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5.75</v>
      </c>
      <c r="F34" s="5">
        <f t="shared" si="1"/>
        <v>0</v>
      </c>
      <c r="G34" s="2">
        <v>68</v>
      </c>
      <c r="H34" s="4" t="s">
        <v>287</v>
      </c>
      <c r="I34" s="2" t="s">
        <v>9</v>
      </c>
      <c r="J34" s="4"/>
      <c r="K34" s="2">
        <v>3.4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5.3</v>
      </c>
      <c r="F35" s="20">
        <f t="shared" si="1"/>
        <v>0</v>
      </c>
      <c r="G35" s="2">
        <v>69</v>
      </c>
      <c r="H35" s="4" t="s">
        <v>288</v>
      </c>
      <c r="I35" s="2" t="s">
        <v>9</v>
      </c>
      <c r="J35" s="4"/>
      <c r="K35" s="2">
        <v>3.4</v>
      </c>
      <c r="L35" s="5">
        <f t="shared" si="0"/>
        <v>0</v>
      </c>
    </row>
    <row r="36" spans="1:12" ht="13.15" customHeight="1">
      <c r="A36" s="2">
        <v>32</v>
      </c>
      <c r="B36" s="4" t="s">
        <v>74</v>
      </c>
      <c r="C36" s="2" t="s">
        <v>9</v>
      </c>
      <c r="D36" s="2"/>
      <c r="E36" s="2">
        <v>2.2999999999999998</v>
      </c>
      <c r="F36" s="20">
        <f t="shared" si="1"/>
        <v>0</v>
      </c>
      <c r="G36" s="2">
        <v>70</v>
      </c>
      <c r="H36" s="4" t="s">
        <v>289</v>
      </c>
      <c r="I36" s="2" t="s">
        <v>9</v>
      </c>
      <c r="J36" s="4"/>
      <c r="K36" s="2">
        <v>34.25</v>
      </c>
      <c r="L36" s="5">
        <f t="shared" si="0"/>
        <v>0</v>
      </c>
    </row>
    <row r="37" spans="1:12" ht="13.15" customHeight="1">
      <c r="A37" s="2">
        <v>33</v>
      </c>
      <c r="B37" s="4" t="s">
        <v>76</v>
      </c>
      <c r="C37" s="2" t="s">
        <v>9</v>
      </c>
      <c r="D37" s="2"/>
      <c r="E37" s="2">
        <v>3.25</v>
      </c>
      <c r="F37" s="20">
        <f t="shared" si="1"/>
        <v>0</v>
      </c>
      <c r="G37" s="2">
        <v>71</v>
      </c>
      <c r="H37" s="4" t="s">
        <v>290</v>
      </c>
      <c r="I37" s="2" t="s">
        <v>9</v>
      </c>
      <c r="J37" s="4"/>
      <c r="K37" s="2">
        <v>3.75</v>
      </c>
      <c r="L37" s="5">
        <f t="shared" si="0"/>
        <v>0</v>
      </c>
    </row>
    <row r="38" spans="1:12" ht="13.15" customHeight="1">
      <c r="A38" s="2">
        <v>34</v>
      </c>
      <c r="B38" s="4" t="s">
        <v>78</v>
      </c>
      <c r="C38" s="2" t="s">
        <v>9</v>
      </c>
      <c r="D38" s="2"/>
      <c r="E38" s="2">
        <v>6.25</v>
      </c>
      <c r="F38" s="20">
        <f t="shared" si="1"/>
        <v>0</v>
      </c>
      <c r="G38" s="2">
        <v>72</v>
      </c>
      <c r="H38" s="4" t="s">
        <v>291</v>
      </c>
      <c r="I38" s="2" t="s">
        <v>9</v>
      </c>
      <c r="J38" s="4"/>
      <c r="K38" s="2">
        <v>6.25</v>
      </c>
      <c r="L38" s="5">
        <f t="shared" si="0"/>
        <v>0</v>
      </c>
    </row>
    <row r="39" spans="1:12" ht="13.15" customHeight="1">
      <c r="A39" s="2">
        <v>35</v>
      </c>
      <c r="B39" s="4" t="s">
        <v>80</v>
      </c>
      <c r="C39" s="2" t="s">
        <v>9</v>
      </c>
      <c r="D39" s="2"/>
      <c r="E39" s="2">
        <v>3.75</v>
      </c>
      <c r="F39" s="20">
        <f t="shared" si="1"/>
        <v>0</v>
      </c>
      <c r="G39" s="2">
        <v>73</v>
      </c>
      <c r="H39" s="4" t="s">
        <v>111</v>
      </c>
      <c r="I39" s="2" t="s">
        <v>9</v>
      </c>
      <c r="J39" s="4"/>
      <c r="K39" s="2">
        <v>3.2</v>
      </c>
      <c r="L39" s="5">
        <f t="shared" si="0"/>
        <v>0</v>
      </c>
    </row>
    <row r="40" spans="1:12" ht="13.15" customHeight="1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0</v>
      </c>
    </row>
    <row r="42" spans="1:12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>
  <dimension ref="A1:L42"/>
  <sheetViews>
    <sheetView topLeftCell="A22" workbookViewId="0">
      <selection activeCell="P11" sqref="P11"/>
    </sheetView>
  </sheetViews>
  <sheetFormatPr defaultRowHeight="13.15" customHeight="1"/>
  <cols>
    <col min="1" max="1" width="4.7109375" style="17" customWidth="1"/>
    <col min="2" max="2" width="23.7109375" customWidth="1"/>
    <col min="3" max="3" width="6.42578125" customWidth="1"/>
    <col min="4" max="4" width="8.140625" customWidth="1"/>
    <col min="5" max="5" width="8.42578125" customWidth="1"/>
    <col min="6" max="6" width="8.85546875" style="17"/>
    <col min="7" max="7" width="5.28515625" style="17" customWidth="1"/>
    <col min="8" max="8" width="24.5703125" customWidth="1"/>
    <col min="9" max="9" width="6.42578125" customWidth="1"/>
    <col min="10" max="10" width="7.42578125" customWidth="1"/>
    <col min="11" max="11" width="8.28515625" customWidth="1"/>
    <col min="12" max="12" width="8.28515625" style="17" customWidth="1"/>
  </cols>
  <sheetData>
    <row r="1" spans="1:12" ht="13.15" customHeight="1">
      <c r="A1" s="30" t="s">
        <v>262</v>
      </c>
      <c r="B1" s="30"/>
      <c r="C1" s="30"/>
      <c r="D1" s="36" t="s">
        <v>263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2.0499999999999998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6.35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1.9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4.45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7.5</v>
      </c>
      <c r="L6" s="5">
        <f t="shared" si="0"/>
        <v>0</v>
      </c>
    </row>
    <row r="7" spans="1:12" ht="13.15" customHeight="1">
      <c r="A7" s="2">
        <v>3</v>
      </c>
      <c r="B7" s="4" t="s">
        <v>264</v>
      </c>
      <c r="C7" s="2" t="s">
        <v>9</v>
      </c>
      <c r="D7" s="2"/>
      <c r="E7" s="5">
        <v>5.5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1.9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6.85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4.75</v>
      </c>
      <c r="F9" s="20">
        <f t="shared" si="1"/>
        <v>0</v>
      </c>
      <c r="G9" s="2">
        <v>43</v>
      </c>
      <c r="H9" s="4" t="s">
        <v>265</v>
      </c>
      <c r="I9" s="2" t="s">
        <v>9</v>
      </c>
      <c r="J9" s="2"/>
      <c r="K9" s="5">
        <v>3.4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5.5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266</v>
      </c>
      <c r="C11" s="2" t="s">
        <v>9</v>
      </c>
      <c r="D11" s="2"/>
      <c r="E11" s="5">
        <v>5.5</v>
      </c>
      <c r="F11" s="20">
        <f t="shared" si="1"/>
        <v>0</v>
      </c>
      <c r="G11" s="2">
        <v>45</v>
      </c>
      <c r="H11" s="4" t="s">
        <v>267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5.7</v>
      </c>
      <c r="F12" s="20">
        <f t="shared" si="1"/>
        <v>0</v>
      </c>
      <c r="G12" s="2">
        <v>46</v>
      </c>
      <c r="H12" s="4" t="s">
        <v>268</v>
      </c>
      <c r="I12" s="2" t="s">
        <v>9</v>
      </c>
      <c r="J12" s="2"/>
      <c r="K12" s="5">
        <v>2.35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5.8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5.65</v>
      </c>
      <c r="F14" s="20">
        <f t="shared" si="1"/>
        <v>0</v>
      </c>
      <c r="G14" s="2">
        <v>48</v>
      </c>
      <c r="H14" s="4" t="s">
        <v>269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128</v>
      </c>
      <c r="C15" s="2" t="s">
        <v>9</v>
      </c>
      <c r="D15" s="2"/>
      <c r="E15" s="5">
        <v>6.3</v>
      </c>
      <c r="F15" s="20">
        <f t="shared" si="1"/>
        <v>0</v>
      </c>
      <c r="G15" s="2">
        <v>49</v>
      </c>
      <c r="H15" s="4" t="s">
        <v>270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271</v>
      </c>
      <c r="C16" s="2" t="s">
        <v>9</v>
      </c>
      <c r="D16" s="2"/>
      <c r="E16" s="5">
        <v>5.8</v>
      </c>
      <c r="F16" s="20">
        <f t="shared" si="1"/>
        <v>0</v>
      </c>
      <c r="G16" s="2">
        <v>50</v>
      </c>
      <c r="H16" s="4" t="s">
        <v>272</v>
      </c>
      <c r="I16" s="2" t="s">
        <v>9</v>
      </c>
      <c r="J16" s="2"/>
      <c r="K16" s="5">
        <v>7.75</v>
      </c>
      <c r="L16" s="5">
        <f t="shared" si="0"/>
        <v>0</v>
      </c>
    </row>
    <row r="17" spans="1:12" ht="13.15" customHeight="1">
      <c r="A17" s="2">
        <v>13</v>
      </c>
      <c r="B17" s="4" t="s">
        <v>273</v>
      </c>
      <c r="C17" s="2" t="s">
        <v>9</v>
      </c>
      <c r="D17" s="2"/>
      <c r="E17" s="5">
        <v>6.3</v>
      </c>
      <c r="F17" s="20">
        <f t="shared" si="1"/>
        <v>0</v>
      </c>
      <c r="G17" s="2">
        <v>51</v>
      </c>
      <c r="H17" s="4" t="s">
        <v>274</v>
      </c>
      <c r="I17" s="2" t="s">
        <v>9</v>
      </c>
      <c r="J17" s="2"/>
      <c r="K17" s="5">
        <v>6.25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4.5999999999999996</v>
      </c>
      <c r="F18" s="20">
        <f t="shared" si="1"/>
        <v>0</v>
      </c>
      <c r="G18" s="2">
        <v>52</v>
      </c>
      <c r="H18" s="4" t="s">
        <v>275</v>
      </c>
      <c r="I18" s="2" t="s">
        <v>9</v>
      </c>
      <c r="J18" s="2"/>
      <c r="K18" s="5">
        <v>6.1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5.0999999999999996</v>
      </c>
      <c r="F19" s="20">
        <f t="shared" si="1"/>
        <v>0</v>
      </c>
      <c r="G19" s="2">
        <v>53</v>
      </c>
      <c r="H19" s="4" t="s">
        <v>276</v>
      </c>
      <c r="I19" s="2" t="s">
        <v>9</v>
      </c>
      <c r="J19" s="2"/>
      <c r="K19" s="5">
        <v>7.5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2.2999999999999998</v>
      </c>
      <c r="F20" s="20">
        <f t="shared" si="1"/>
        <v>0</v>
      </c>
      <c r="G20" s="2">
        <v>54</v>
      </c>
      <c r="H20" s="4" t="s">
        <v>277</v>
      </c>
      <c r="I20" s="2" t="s">
        <v>9</v>
      </c>
      <c r="J20" s="2"/>
      <c r="K20" s="5">
        <v>8.5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1.25</v>
      </c>
      <c r="F21" s="20">
        <f t="shared" si="1"/>
        <v>0</v>
      </c>
      <c r="G21" s="2">
        <v>55</v>
      </c>
      <c r="H21" s="4" t="s">
        <v>106</v>
      </c>
      <c r="I21" s="2" t="s">
        <v>9</v>
      </c>
      <c r="J21" s="2"/>
      <c r="K21" s="5">
        <v>7.5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5.5</v>
      </c>
      <c r="F22" s="20">
        <f t="shared" si="1"/>
        <v>0</v>
      </c>
      <c r="G22" s="2">
        <v>56</v>
      </c>
      <c r="H22" s="4" t="s">
        <v>278</v>
      </c>
      <c r="I22" s="2" t="s">
        <v>9</v>
      </c>
      <c r="J22" s="2"/>
      <c r="K22" s="5">
        <v>2.1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6.25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4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5.9</v>
      </c>
      <c r="F24" s="20">
        <f t="shared" si="1"/>
        <v>0</v>
      </c>
      <c r="G24" s="2">
        <v>58</v>
      </c>
      <c r="H24" s="4" t="s">
        <v>279</v>
      </c>
      <c r="I24" s="2" t="s">
        <v>9</v>
      </c>
      <c r="J24" s="4"/>
      <c r="K24" s="2">
        <v>2.1</v>
      </c>
      <c r="L24" s="5">
        <f t="shared" si="0"/>
        <v>0</v>
      </c>
    </row>
    <row r="25" spans="1:12" ht="13.15" customHeight="1">
      <c r="A25" s="2">
        <v>21</v>
      </c>
      <c r="B25" s="4" t="s">
        <v>96</v>
      </c>
      <c r="C25" s="2" t="s">
        <v>9</v>
      </c>
      <c r="D25" s="2"/>
      <c r="E25" s="5">
        <v>6.6</v>
      </c>
      <c r="F25" s="20">
        <f t="shared" si="1"/>
        <v>0</v>
      </c>
      <c r="G25" s="2">
        <v>59</v>
      </c>
      <c r="H25" s="4" t="s">
        <v>280</v>
      </c>
      <c r="I25" s="2" t="s">
        <v>9</v>
      </c>
      <c r="J25" s="4"/>
      <c r="K25" s="2">
        <v>8.75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5.2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5.75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4.25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4"/>
      <c r="K27" s="2">
        <v>3.35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4.75</v>
      </c>
      <c r="F28" s="20">
        <f t="shared" si="1"/>
        <v>0</v>
      </c>
      <c r="G28" s="2">
        <v>62</v>
      </c>
      <c r="H28" s="4" t="s">
        <v>281</v>
      </c>
      <c r="I28" s="2" t="s">
        <v>9</v>
      </c>
      <c r="J28" s="4"/>
      <c r="K28" s="2">
        <v>4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5.5</v>
      </c>
      <c r="F29" s="20">
        <f t="shared" si="1"/>
        <v>0</v>
      </c>
      <c r="G29" s="2">
        <v>63</v>
      </c>
      <c r="H29" s="4" t="s">
        <v>140</v>
      </c>
      <c r="I29" s="2" t="s">
        <v>9</v>
      </c>
      <c r="J29" s="4"/>
      <c r="K29" s="2">
        <v>7.5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4.4000000000000004</v>
      </c>
      <c r="F30" s="5">
        <f t="shared" si="1"/>
        <v>0</v>
      </c>
      <c r="G30" s="2">
        <v>64</v>
      </c>
      <c r="H30" s="4" t="s">
        <v>282</v>
      </c>
      <c r="I30" s="2" t="s">
        <v>9</v>
      </c>
      <c r="J30" s="4"/>
      <c r="K30" s="2">
        <v>4.25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5.75</v>
      </c>
      <c r="F31" s="5">
        <f t="shared" si="1"/>
        <v>0</v>
      </c>
      <c r="G31" s="2">
        <v>65</v>
      </c>
      <c r="H31" s="4" t="s">
        <v>283</v>
      </c>
      <c r="I31" s="2" t="s">
        <v>9</v>
      </c>
      <c r="J31" s="4"/>
      <c r="K31" s="2">
        <v>3.4</v>
      </c>
      <c r="L31" s="5">
        <f t="shared" si="0"/>
        <v>0</v>
      </c>
    </row>
    <row r="32" spans="1:12" ht="13.15" customHeight="1">
      <c r="A32" s="2">
        <v>28</v>
      </c>
      <c r="B32" s="4" t="s">
        <v>104</v>
      </c>
      <c r="C32" s="2" t="s">
        <v>9</v>
      </c>
      <c r="D32" s="2"/>
      <c r="E32" s="5">
        <v>7.5</v>
      </c>
      <c r="F32" s="20">
        <f t="shared" si="1"/>
        <v>0</v>
      </c>
      <c r="G32" s="2">
        <v>66</v>
      </c>
      <c r="H32" s="4" t="s">
        <v>284</v>
      </c>
      <c r="I32" s="2" t="s">
        <v>9</v>
      </c>
      <c r="J32" s="4"/>
      <c r="K32" s="2">
        <v>5.75</v>
      </c>
      <c r="L32" s="5">
        <f t="shared" si="0"/>
        <v>0</v>
      </c>
    </row>
    <row r="33" spans="1:12" ht="13.15" customHeight="1">
      <c r="A33" s="2">
        <v>29</v>
      </c>
      <c r="B33" s="4" t="s">
        <v>285</v>
      </c>
      <c r="C33" s="2" t="s">
        <v>9</v>
      </c>
      <c r="D33" s="2"/>
      <c r="E33" s="5">
        <v>5.3</v>
      </c>
      <c r="F33" s="5">
        <f t="shared" si="1"/>
        <v>0</v>
      </c>
      <c r="G33" s="2">
        <v>67</v>
      </c>
      <c r="H33" s="4" t="s">
        <v>286</v>
      </c>
      <c r="I33" s="2" t="s">
        <v>9</v>
      </c>
      <c r="J33" s="4"/>
      <c r="K33" s="2">
        <v>2.2000000000000002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5.75</v>
      </c>
      <c r="F34" s="5">
        <f t="shared" si="1"/>
        <v>0</v>
      </c>
      <c r="G34" s="2">
        <v>68</v>
      </c>
      <c r="H34" s="4" t="s">
        <v>287</v>
      </c>
      <c r="I34" s="2" t="s">
        <v>9</v>
      </c>
      <c r="J34" s="4"/>
      <c r="K34" s="2">
        <v>3.4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5.3</v>
      </c>
      <c r="F35" s="20">
        <f t="shared" si="1"/>
        <v>0</v>
      </c>
      <c r="G35" s="2">
        <v>69</v>
      </c>
      <c r="H35" s="4" t="s">
        <v>288</v>
      </c>
      <c r="I35" s="2" t="s">
        <v>9</v>
      </c>
      <c r="J35" s="4"/>
      <c r="K35" s="2">
        <v>3.4</v>
      </c>
      <c r="L35" s="5">
        <f t="shared" si="0"/>
        <v>0</v>
      </c>
    </row>
    <row r="36" spans="1:12" ht="13.15" customHeight="1">
      <c r="A36" s="2">
        <v>32</v>
      </c>
      <c r="B36" s="4" t="s">
        <v>74</v>
      </c>
      <c r="C36" s="2" t="s">
        <v>9</v>
      </c>
      <c r="D36" s="2"/>
      <c r="E36" s="2">
        <v>2.2999999999999998</v>
      </c>
      <c r="F36" s="20">
        <f t="shared" si="1"/>
        <v>0</v>
      </c>
      <c r="G36" s="2">
        <v>70</v>
      </c>
      <c r="H36" s="4" t="s">
        <v>289</v>
      </c>
      <c r="I36" s="2" t="s">
        <v>9</v>
      </c>
      <c r="J36" s="4"/>
      <c r="K36" s="2">
        <v>34.25</v>
      </c>
      <c r="L36" s="5">
        <f t="shared" si="0"/>
        <v>0</v>
      </c>
    </row>
    <row r="37" spans="1:12" ht="13.15" customHeight="1">
      <c r="A37" s="2">
        <v>33</v>
      </c>
      <c r="B37" s="4" t="s">
        <v>76</v>
      </c>
      <c r="C37" s="2" t="s">
        <v>9</v>
      </c>
      <c r="D37" s="2"/>
      <c r="E37" s="2">
        <v>3.25</v>
      </c>
      <c r="F37" s="20">
        <f t="shared" si="1"/>
        <v>0</v>
      </c>
      <c r="G37" s="2">
        <v>71</v>
      </c>
      <c r="H37" s="4" t="s">
        <v>290</v>
      </c>
      <c r="I37" s="2" t="s">
        <v>9</v>
      </c>
      <c r="J37" s="4"/>
      <c r="K37" s="2">
        <v>3.75</v>
      </c>
      <c r="L37" s="5">
        <f t="shared" si="0"/>
        <v>0</v>
      </c>
    </row>
    <row r="38" spans="1:12" ht="13.15" customHeight="1">
      <c r="A38" s="2">
        <v>34</v>
      </c>
      <c r="B38" s="4" t="s">
        <v>78</v>
      </c>
      <c r="C38" s="2" t="s">
        <v>9</v>
      </c>
      <c r="D38" s="2"/>
      <c r="E38" s="2">
        <v>6.25</v>
      </c>
      <c r="F38" s="20">
        <f t="shared" si="1"/>
        <v>0</v>
      </c>
      <c r="G38" s="2">
        <v>72</v>
      </c>
      <c r="H38" s="4" t="s">
        <v>291</v>
      </c>
      <c r="I38" s="2" t="s">
        <v>9</v>
      </c>
      <c r="J38" s="4"/>
      <c r="K38" s="2">
        <v>6.25</v>
      </c>
      <c r="L38" s="5">
        <f t="shared" si="0"/>
        <v>0</v>
      </c>
    </row>
    <row r="39" spans="1:12" ht="13.15" customHeight="1">
      <c r="A39" s="2">
        <v>35</v>
      </c>
      <c r="B39" s="4" t="s">
        <v>80</v>
      </c>
      <c r="C39" s="2" t="s">
        <v>9</v>
      </c>
      <c r="D39" s="2"/>
      <c r="E39" s="2">
        <v>3.75</v>
      </c>
      <c r="F39" s="20">
        <f t="shared" si="1"/>
        <v>0</v>
      </c>
      <c r="G39" s="2">
        <v>73</v>
      </c>
      <c r="H39" s="4" t="s">
        <v>111</v>
      </c>
      <c r="I39" s="2" t="s">
        <v>9</v>
      </c>
      <c r="J39" s="4"/>
      <c r="K39" s="2">
        <v>3.2</v>
      </c>
      <c r="L39" s="5">
        <f t="shared" si="0"/>
        <v>0</v>
      </c>
    </row>
    <row r="40" spans="1:12" ht="13.15" customHeight="1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0</v>
      </c>
    </row>
    <row r="42" spans="1:12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>
  <dimension ref="A1:L42"/>
  <sheetViews>
    <sheetView topLeftCell="A22" workbookViewId="0">
      <selection activeCell="P11" sqref="P11"/>
    </sheetView>
  </sheetViews>
  <sheetFormatPr defaultRowHeight="13.15" customHeight="1"/>
  <cols>
    <col min="1" max="1" width="4.7109375" style="17" customWidth="1"/>
    <col min="2" max="2" width="23.7109375" customWidth="1"/>
    <col min="3" max="3" width="6.42578125" customWidth="1"/>
    <col min="4" max="4" width="8.140625" customWidth="1"/>
    <col min="5" max="5" width="8.42578125" customWidth="1"/>
    <col min="6" max="6" width="8.85546875" style="17"/>
    <col min="7" max="7" width="5.28515625" style="17" customWidth="1"/>
    <col min="8" max="8" width="24.5703125" customWidth="1"/>
    <col min="9" max="9" width="6.42578125" customWidth="1"/>
    <col min="10" max="10" width="7.42578125" customWidth="1"/>
    <col min="11" max="11" width="8.28515625" customWidth="1"/>
    <col min="12" max="12" width="8.28515625" style="17" customWidth="1"/>
  </cols>
  <sheetData>
    <row r="1" spans="1:12" ht="13.15" customHeight="1">
      <c r="A1" s="30" t="s">
        <v>262</v>
      </c>
      <c r="B1" s="30"/>
      <c r="C1" s="30"/>
      <c r="D1" s="36" t="s">
        <v>263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2.0499999999999998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6.35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1.9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4.45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7.5</v>
      </c>
      <c r="L6" s="5">
        <f t="shared" si="0"/>
        <v>0</v>
      </c>
    </row>
    <row r="7" spans="1:12" ht="13.15" customHeight="1">
      <c r="A7" s="2">
        <v>3</v>
      </c>
      <c r="B7" s="4" t="s">
        <v>264</v>
      </c>
      <c r="C7" s="2" t="s">
        <v>9</v>
      </c>
      <c r="D7" s="2"/>
      <c r="E7" s="5">
        <v>5.5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1.9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6.85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4.75</v>
      </c>
      <c r="F9" s="20">
        <f t="shared" si="1"/>
        <v>0</v>
      </c>
      <c r="G9" s="2">
        <v>43</v>
      </c>
      <c r="H9" s="4" t="s">
        <v>265</v>
      </c>
      <c r="I9" s="2" t="s">
        <v>9</v>
      </c>
      <c r="J9" s="2"/>
      <c r="K9" s="5">
        <v>3.4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5.5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266</v>
      </c>
      <c r="C11" s="2" t="s">
        <v>9</v>
      </c>
      <c r="D11" s="2"/>
      <c r="E11" s="5">
        <v>5.5</v>
      </c>
      <c r="F11" s="20">
        <f t="shared" si="1"/>
        <v>0</v>
      </c>
      <c r="G11" s="2">
        <v>45</v>
      </c>
      <c r="H11" s="4" t="s">
        <v>267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5.7</v>
      </c>
      <c r="F12" s="20">
        <f t="shared" si="1"/>
        <v>0</v>
      </c>
      <c r="G12" s="2">
        <v>46</v>
      </c>
      <c r="H12" s="4" t="s">
        <v>268</v>
      </c>
      <c r="I12" s="2" t="s">
        <v>9</v>
      </c>
      <c r="J12" s="2"/>
      <c r="K12" s="5">
        <v>2.35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5.8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5.65</v>
      </c>
      <c r="F14" s="20">
        <f t="shared" si="1"/>
        <v>0</v>
      </c>
      <c r="G14" s="2">
        <v>48</v>
      </c>
      <c r="H14" s="4" t="s">
        <v>269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128</v>
      </c>
      <c r="C15" s="2" t="s">
        <v>9</v>
      </c>
      <c r="D15" s="2"/>
      <c r="E15" s="5">
        <v>6.3</v>
      </c>
      <c r="F15" s="20">
        <f t="shared" si="1"/>
        <v>0</v>
      </c>
      <c r="G15" s="2">
        <v>49</v>
      </c>
      <c r="H15" s="4" t="s">
        <v>270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271</v>
      </c>
      <c r="C16" s="2" t="s">
        <v>9</v>
      </c>
      <c r="D16" s="2"/>
      <c r="E16" s="5">
        <v>5.8</v>
      </c>
      <c r="F16" s="20">
        <f t="shared" si="1"/>
        <v>0</v>
      </c>
      <c r="G16" s="2">
        <v>50</v>
      </c>
      <c r="H16" s="4" t="s">
        <v>272</v>
      </c>
      <c r="I16" s="2" t="s">
        <v>9</v>
      </c>
      <c r="J16" s="2"/>
      <c r="K16" s="5">
        <v>7.75</v>
      </c>
      <c r="L16" s="5">
        <f t="shared" si="0"/>
        <v>0</v>
      </c>
    </row>
    <row r="17" spans="1:12" ht="13.15" customHeight="1">
      <c r="A17" s="2">
        <v>13</v>
      </c>
      <c r="B17" s="4" t="s">
        <v>273</v>
      </c>
      <c r="C17" s="2" t="s">
        <v>9</v>
      </c>
      <c r="D17" s="2"/>
      <c r="E17" s="5">
        <v>6.3</v>
      </c>
      <c r="F17" s="20">
        <f t="shared" si="1"/>
        <v>0</v>
      </c>
      <c r="G17" s="2">
        <v>51</v>
      </c>
      <c r="H17" s="4" t="s">
        <v>274</v>
      </c>
      <c r="I17" s="2" t="s">
        <v>9</v>
      </c>
      <c r="J17" s="2"/>
      <c r="K17" s="5">
        <v>6.25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4.5999999999999996</v>
      </c>
      <c r="F18" s="20">
        <f t="shared" si="1"/>
        <v>0</v>
      </c>
      <c r="G18" s="2">
        <v>52</v>
      </c>
      <c r="H18" s="4" t="s">
        <v>275</v>
      </c>
      <c r="I18" s="2" t="s">
        <v>9</v>
      </c>
      <c r="J18" s="2"/>
      <c r="K18" s="5">
        <v>6.1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5.0999999999999996</v>
      </c>
      <c r="F19" s="20">
        <f t="shared" si="1"/>
        <v>0</v>
      </c>
      <c r="G19" s="2">
        <v>53</v>
      </c>
      <c r="H19" s="4" t="s">
        <v>276</v>
      </c>
      <c r="I19" s="2" t="s">
        <v>9</v>
      </c>
      <c r="J19" s="2"/>
      <c r="K19" s="5">
        <v>7.5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2.2999999999999998</v>
      </c>
      <c r="F20" s="20">
        <f t="shared" si="1"/>
        <v>0</v>
      </c>
      <c r="G20" s="2">
        <v>54</v>
      </c>
      <c r="H20" s="4" t="s">
        <v>277</v>
      </c>
      <c r="I20" s="2" t="s">
        <v>9</v>
      </c>
      <c r="J20" s="2"/>
      <c r="K20" s="5">
        <v>8.5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1.25</v>
      </c>
      <c r="F21" s="20">
        <f t="shared" si="1"/>
        <v>0</v>
      </c>
      <c r="G21" s="2">
        <v>55</v>
      </c>
      <c r="H21" s="4" t="s">
        <v>106</v>
      </c>
      <c r="I21" s="2" t="s">
        <v>9</v>
      </c>
      <c r="J21" s="2"/>
      <c r="K21" s="5">
        <v>7.5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5.5</v>
      </c>
      <c r="F22" s="20">
        <f t="shared" si="1"/>
        <v>0</v>
      </c>
      <c r="G22" s="2">
        <v>56</v>
      </c>
      <c r="H22" s="4" t="s">
        <v>278</v>
      </c>
      <c r="I22" s="2" t="s">
        <v>9</v>
      </c>
      <c r="J22" s="2"/>
      <c r="K22" s="5">
        <v>2.1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6.25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4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5.9</v>
      </c>
      <c r="F24" s="20">
        <f t="shared" si="1"/>
        <v>0</v>
      </c>
      <c r="G24" s="2">
        <v>58</v>
      </c>
      <c r="H24" s="4" t="s">
        <v>279</v>
      </c>
      <c r="I24" s="2" t="s">
        <v>9</v>
      </c>
      <c r="J24" s="4"/>
      <c r="K24" s="2">
        <v>2.1</v>
      </c>
      <c r="L24" s="5">
        <f t="shared" si="0"/>
        <v>0</v>
      </c>
    </row>
    <row r="25" spans="1:12" ht="13.15" customHeight="1">
      <c r="A25" s="2">
        <v>21</v>
      </c>
      <c r="B25" s="4" t="s">
        <v>96</v>
      </c>
      <c r="C25" s="2" t="s">
        <v>9</v>
      </c>
      <c r="D25" s="2"/>
      <c r="E25" s="5">
        <v>6.6</v>
      </c>
      <c r="F25" s="20">
        <f t="shared" si="1"/>
        <v>0</v>
      </c>
      <c r="G25" s="2">
        <v>59</v>
      </c>
      <c r="H25" s="4" t="s">
        <v>280</v>
      </c>
      <c r="I25" s="2" t="s">
        <v>9</v>
      </c>
      <c r="J25" s="4"/>
      <c r="K25" s="2">
        <v>8.75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5.2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5.75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4.25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4"/>
      <c r="K27" s="2">
        <v>3.35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4.75</v>
      </c>
      <c r="F28" s="20">
        <f t="shared" si="1"/>
        <v>0</v>
      </c>
      <c r="G28" s="2">
        <v>62</v>
      </c>
      <c r="H28" s="4" t="s">
        <v>281</v>
      </c>
      <c r="I28" s="2" t="s">
        <v>9</v>
      </c>
      <c r="J28" s="4"/>
      <c r="K28" s="2">
        <v>4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5.5</v>
      </c>
      <c r="F29" s="20">
        <f t="shared" si="1"/>
        <v>0</v>
      </c>
      <c r="G29" s="2">
        <v>63</v>
      </c>
      <c r="H29" s="4" t="s">
        <v>140</v>
      </c>
      <c r="I29" s="2" t="s">
        <v>9</v>
      </c>
      <c r="J29" s="4"/>
      <c r="K29" s="2">
        <v>7.5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4.4000000000000004</v>
      </c>
      <c r="F30" s="5">
        <f t="shared" si="1"/>
        <v>0</v>
      </c>
      <c r="G30" s="2">
        <v>64</v>
      </c>
      <c r="H30" s="4" t="s">
        <v>282</v>
      </c>
      <c r="I30" s="2" t="s">
        <v>9</v>
      </c>
      <c r="J30" s="4"/>
      <c r="K30" s="2">
        <v>4.25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5.75</v>
      </c>
      <c r="F31" s="5">
        <f t="shared" si="1"/>
        <v>0</v>
      </c>
      <c r="G31" s="2">
        <v>65</v>
      </c>
      <c r="H31" s="4" t="s">
        <v>283</v>
      </c>
      <c r="I31" s="2" t="s">
        <v>9</v>
      </c>
      <c r="J31" s="4"/>
      <c r="K31" s="2">
        <v>3.4</v>
      </c>
      <c r="L31" s="5">
        <f t="shared" si="0"/>
        <v>0</v>
      </c>
    </row>
    <row r="32" spans="1:12" ht="13.15" customHeight="1">
      <c r="A32" s="2">
        <v>28</v>
      </c>
      <c r="B32" s="4" t="s">
        <v>104</v>
      </c>
      <c r="C32" s="2" t="s">
        <v>9</v>
      </c>
      <c r="D32" s="2"/>
      <c r="E32" s="5">
        <v>7.5</v>
      </c>
      <c r="F32" s="20">
        <f t="shared" si="1"/>
        <v>0</v>
      </c>
      <c r="G32" s="2">
        <v>66</v>
      </c>
      <c r="H32" s="4" t="s">
        <v>284</v>
      </c>
      <c r="I32" s="2" t="s">
        <v>9</v>
      </c>
      <c r="J32" s="4"/>
      <c r="K32" s="2">
        <v>5.75</v>
      </c>
      <c r="L32" s="5">
        <f t="shared" si="0"/>
        <v>0</v>
      </c>
    </row>
    <row r="33" spans="1:12" ht="13.15" customHeight="1">
      <c r="A33" s="2">
        <v>29</v>
      </c>
      <c r="B33" s="4" t="s">
        <v>285</v>
      </c>
      <c r="C33" s="2" t="s">
        <v>9</v>
      </c>
      <c r="D33" s="2"/>
      <c r="E33" s="5">
        <v>5.3</v>
      </c>
      <c r="F33" s="5">
        <f t="shared" si="1"/>
        <v>0</v>
      </c>
      <c r="G33" s="2">
        <v>67</v>
      </c>
      <c r="H33" s="4" t="s">
        <v>286</v>
      </c>
      <c r="I33" s="2" t="s">
        <v>9</v>
      </c>
      <c r="J33" s="4"/>
      <c r="K33" s="2">
        <v>2.2000000000000002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5.75</v>
      </c>
      <c r="F34" s="5">
        <f t="shared" si="1"/>
        <v>0</v>
      </c>
      <c r="G34" s="2">
        <v>68</v>
      </c>
      <c r="H34" s="4" t="s">
        <v>287</v>
      </c>
      <c r="I34" s="2" t="s">
        <v>9</v>
      </c>
      <c r="J34" s="4"/>
      <c r="K34" s="2">
        <v>3.4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5.3</v>
      </c>
      <c r="F35" s="20">
        <f t="shared" si="1"/>
        <v>0</v>
      </c>
      <c r="G35" s="2">
        <v>69</v>
      </c>
      <c r="H35" s="4" t="s">
        <v>288</v>
      </c>
      <c r="I35" s="2" t="s">
        <v>9</v>
      </c>
      <c r="J35" s="4"/>
      <c r="K35" s="2">
        <v>3.4</v>
      </c>
      <c r="L35" s="5">
        <f t="shared" si="0"/>
        <v>0</v>
      </c>
    </row>
    <row r="36" spans="1:12" ht="13.15" customHeight="1">
      <c r="A36" s="2">
        <v>32</v>
      </c>
      <c r="B36" s="4" t="s">
        <v>74</v>
      </c>
      <c r="C36" s="2" t="s">
        <v>9</v>
      </c>
      <c r="D36" s="2"/>
      <c r="E36" s="2">
        <v>2.2999999999999998</v>
      </c>
      <c r="F36" s="20">
        <f t="shared" si="1"/>
        <v>0</v>
      </c>
      <c r="G36" s="2">
        <v>70</v>
      </c>
      <c r="H36" s="4" t="s">
        <v>289</v>
      </c>
      <c r="I36" s="2" t="s">
        <v>9</v>
      </c>
      <c r="J36" s="4"/>
      <c r="K36" s="2">
        <v>34.25</v>
      </c>
      <c r="L36" s="5">
        <f t="shared" si="0"/>
        <v>0</v>
      </c>
    </row>
    <row r="37" spans="1:12" ht="13.15" customHeight="1">
      <c r="A37" s="2">
        <v>33</v>
      </c>
      <c r="B37" s="4" t="s">
        <v>76</v>
      </c>
      <c r="C37" s="2" t="s">
        <v>9</v>
      </c>
      <c r="D37" s="2"/>
      <c r="E37" s="2">
        <v>3.25</v>
      </c>
      <c r="F37" s="20">
        <f t="shared" si="1"/>
        <v>0</v>
      </c>
      <c r="G37" s="2">
        <v>71</v>
      </c>
      <c r="H37" s="4" t="s">
        <v>290</v>
      </c>
      <c r="I37" s="2" t="s">
        <v>9</v>
      </c>
      <c r="J37" s="4"/>
      <c r="K37" s="2">
        <v>3.75</v>
      </c>
      <c r="L37" s="5">
        <f t="shared" si="0"/>
        <v>0</v>
      </c>
    </row>
    <row r="38" spans="1:12" ht="13.15" customHeight="1">
      <c r="A38" s="2">
        <v>34</v>
      </c>
      <c r="B38" s="4" t="s">
        <v>78</v>
      </c>
      <c r="C38" s="2" t="s">
        <v>9</v>
      </c>
      <c r="D38" s="2"/>
      <c r="E38" s="2">
        <v>6.25</v>
      </c>
      <c r="F38" s="20">
        <f t="shared" si="1"/>
        <v>0</v>
      </c>
      <c r="G38" s="2">
        <v>72</v>
      </c>
      <c r="H38" s="4" t="s">
        <v>291</v>
      </c>
      <c r="I38" s="2" t="s">
        <v>9</v>
      </c>
      <c r="J38" s="4"/>
      <c r="K38" s="2">
        <v>6.25</v>
      </c>
      <c r="L38" s="5">
        <f t="shared" si="0"/>
        <v>0</v>
      </c>
    </row>
    <row r="39" spans="1:12" ht="13.15" customHeight="1">
      <c r="A39" s="2">
        <v>35</v>
      </c>
      <c r="B39" s="4" t="s">
        <v>80</v>
      </c>
      <c r="C39" s="2" t="s">
        <v>9</v>
      </c>
      <c r="D39" s="2"/>
      <c r="E39" s="2">
        <v>3.75</v>
      </c>
      <c r="F39" s="20">
        <f t="shared" si="1"/>
        <v>0</v>
      </c>
      <c r="G39" s="2">
        <v>73</v>
      </c>
      <c r="H39" s="4" t="s">
        <v>111</v>
      </c>
      <c r="I39" s="2" t="s">
        <v>9</v>
      </c>
      <c r="J39" s="4"/>
      <c r="K39" s="2">
        <v>3.2</v>
      </c>
      <c r="L39" s="5">
        <f t="shared" si="0"/>
        <v>0</v>
      </c>
    </row>
    <row r="40" spans="1:12" ht="13.15" customHeight="1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0</v>
      </c>
    </row>
    <row r="42" spans="1:12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>
  <dimension ref="A1:L42"/>
  <sheetViews>
    <sheetView topLeftCell="A22" workbookViewId="0">
      <selection activeCell="Q51" sqref="Q51"/>
    </sheetView>
  </sheetViews>
  <sheetFormatPr defaultRowHeight="13.15" customHeight="1"/>
  <cols>
    <col min="1" max="1" width="4.7109375" style="17" customWidth="1"/>
    <col min="2" max="2" width="23.7109375" customWidth="1"/>
    <col min="3" max="3" width="6.42578125" customWidth="1"/>
    <col min="4" max="4" width="8.140625" customWidth="1"/>
    <col min="5" max="5" width="8.42578125" customWidth="1"/>
    <col min="6" max="6" width="8.85546875" style="17"/>
    <col min="7" max="7" width="5.28515625" style="17" customWidth="1"/>
    <col min="8" max="8" width="24.5703125" customWidth="1"/>
    <col min="9" max="9" width="6.42578125" customWidth="1"/>
    <col min="10" max="10" width="7.42578125" customWidth="1"/>
    <col min="11" max="11" width="8.28515625" customWidth="1"/>
    <col min="12" max="12" width="8.28515625" style="17" customWidth="1"/>
  </cols>
  <sheetData>
    <row r="1" spans="1:12" ht="13.15" customHeight="1">
      <c r="A1" s="30" t="s">
        <v>262</v>
      </c>
      <c r="B1" s="30"/>
      <c r="C1" s="30"/>
      <c r="D1" s="36" t="s">
        <v>263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2.0499999999999998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6.35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1.9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4.45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7.5</v>
      </c>
      <c r="L6" s="5">
        <f t="shared" si="0"/>
        <v>0</v>
      </c>
    </row>
    <row r="7" spans="1:12" ht="13.15" customHeight="1">
      <c r="A7" s="2">
        <v>3</v>
      </c>
      <c r="B7" s="4" t="s">
        <v>264</v>
      </c>
      <c r="C7" s="2" t="s">
        <v>9</v>
      </c>
      <c r="D7" s="2"/>
      <c r="E7" s="5">
        <v>5.5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1.9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6.85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4.75</v>
      </c>
      <c r="F9" s="20">
        <f t="shared" si="1"/>
        <v>0</v>
      </c>
      <c r="G9" s="2">
        <v>43</v>
      </c>
      <c r="H9" s="4" t="s">
        <v>265</v>
      </c>
      <c r="I9" s="2" t="s">
        <v>9</v>
      </c>
      <c r="J9" s="2"/>
      <c r="K9" s="5">
        <v>3.4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5.5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266</v>
      </c>
      <c r="C11" s="2" t="s">
        <v>9</v>
      </c>
      <c r="D11" s="2"/>
      <c r="E11" s="5">
        <v>5.5</v>
      </c>
      <c r="F11" s="20">
        <f t="shared" si="1"/>
        <v>0</v>
      </c>
      <c r="G11" s="2">
        <v>45</v>
      </c>
      <c r="H11" s="4" t="s">
        <v>267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5.7</v>
      </c>
      <c r="F12" s="20">
        <f t="shared" si="1"/>
        <v>0</v>
      </c>
      <c r="G12" s="2">
        <v>46</v>
      </c>
      <c r="H12" s="4" t="s">
        <v>268</v>
      </c>
      <c r="I12" s="2" t="s">
        <v>9</v>
      </c>
      <c r="J12" s="2"/>
      <c r="K12" s="5">
        <v>2.35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5.8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5.65</v>
      </c>
      <c r="F14" s="20">
        <f t="shared" si="1"/>
        <v>0</v>
      </c>
      <c r="G14" s="2">
        <v>48</v>
      </c>
      <c r="H14" s="4" t="s">
        <v>269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128</v>
      </c>
      <c r="C15" s="2" t="s">
        <v>9</v>
      </c>
      <c r="D15" s="2"/>
      <c r="E15" s="5">
        <v>6.3</v>
      </c>
      <c r="F15" s="20">
        <f t="shared" si="1"/>
        <v>0</v>
      </c>
      <c r="G15" s="2">
        <v>49</v>
      </c>
      <c r="H15" s="4" t="s">
        <v>270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271</v>
      </c>
      <c r="C16" s="2" t="s">
        <v>9</v>
      </c>
      <c r="D16" s="2"/>
      <c r="E16" s="5">
        <v>5.8</v>
      </c>
      <c r="F16" s="20">
        <f t="shared" si="1"/>
        <v>0</v>
      </c>
      <c r="G16" s="2">
        <v>50</v>
      </c>
      <c r="H16" s="4" t="s">
        <v>272</v>
      </c>
      <c r="I16" s="2" t="s">
        <v>9</v>
      </c>
      <c r="J16" s="2"/>
      <c r="K16" s="5">
        <v>7.75</v>
      </c>
      <c r="L16" s="5">
        <f t="shared" si="0"/>
        <v>0</v>
      </c>
    </row>
    <row r="17" spans="1:12" ht="13.15" customHeight="1">
      <c r="A17" s="2">
        <v>13</v>
      </c>
      <c r="B17" s="4" t="s">
        <v>273</v>
      </c>
      <c r="C17" s="2" t="s">
        <v>9</v>
      </c>
      <c r="D17" s="2"/>
      <c r="E17" s="5">
        <v>6.3</v>
      </c>
      <c r="F17" s="20">
        <f t="shared" si="1"/>
        <v>0</v>
      </c>
      <c r="G17" s="2">
        <v>51</v>
      </c>
      <c r="H17" s="4" t="s">
        <v>274</v>
      </c>
      <c r="I17" s="2" t="s">
        <v>9</v>
      </c>
      <c r="J17" s="2"/>
      <c r="K17" s="5">
        <v>6.25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4.5999999999999996</v>
      </c>
      <c r="F18" s="20">
        <f t="shared" si="1"/>
        <v>0</v>
      </c>
      <c r="G18" s="2">
        <v>52</v>
      </c>
      <c r="H18" s="4" t="s">
        <v>275</v>
      </c>
      <c r="I18" s="2" t="s">
        <v>9</v>
      </c>
      <c r="J18" s="2"/>
      <c r="K18" s="5">
        <v>6.1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5.0999999999999996</v>
      </c>
      <c r="F19" s="20">
        <f t="shared" si="1"/>
        <v>0</v>
      </c>
      <c r="G19" s="2">
        <v>53</v>
      </c>
      <c r="H19" s="4" t="s">
        <v>276</v>
      </c>
      <c r="I19" s="2" t="s">
        <v>9</v>
      </c>
      <c r="J19" s="2"/>
      <c r="K19" s="5">
        <v>7.5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2.2999999999999998</v>
      </c>
      <c r="F20" s="20">
        <f t="shared" si="1"/>
        <v>0</v>
      </c>
      <c r="G20" s="2">
        <v>54</v>
      </c>
      <c r="H20" s="4" t="s">
        <v>277</v>
      </c>
      <c r="I20" s="2" t="s">
        <v>9</v>
      </c>
      <c r="J20" s="2"/>
      <c r="K20" s="5">
        <v>8.5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1.25</v>
      </c>
      <c r="F21" s="20">
        <f t="shared" si="1"/>
        <v>0</v>
      </c>
      <c r="G21" s="2">
        <v>55</v>
      </c>
      <c r="H21" s="4" t="s">
        <v>106</v>
      </c>
      <c r="I21" s="2" t="s">
        <v>9</v>
      </c>
      <c r="J21" s="2"/>
      <c r="K21" s="5">
        <v>7.5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5.5</v>
      </c>
      <c r="F22" s="20">
        <f t="shared" si="1"/>
        <v>0</v>
      </c>
      <c r="G22" s="2">
        <v>56</v>
      </c>
      <c r="H22" s="4" t="s">
        <v>278</v>
      </c>
      <c r="I22" s="2" t="s">
        <v>9</v>
      </c>
      <c r="J22" s="2"/>
      <c r="K22" s="5">
        <v>2.1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6.25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4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5.9</v>
      </c>
      <c r="F24" s="20">
        <f t="shared" si="1"/>
        <v>0</v>
      </c>
      <c r="G24" s="2">
        <v>58</v>
      </c>
      <c r="H24" s="4" t="s">
        <v>279</v>
      </c>
      <c r="I24" s="2" t="s">
        <v>9</v>
      </c>
      <c r="J24" s="4"/>
      <c r="K24" s="2">
        <v>2.1</v>
      </c>
      <c r="L24" s="5">
        <f t="shared" si="0"/>
        <v>0</v>
      </c>
    </row>
    <row r="25" spans="1:12" ht="13.15" customHeight="1">
      <c r="A25" s="2">
        <v>21</v>
      </c>
      <c r="B25" s="4" t="s">
        <v>96</v>
      </c>
      <c r="C25" s="2" t="s">
        <v>9</v>
      </c>
      <c r="D25" s="2"/>
      <c r="E25" s="5">
        <v>6.6</v>
      </c>
      <c r="F25" s="20">
        <f t="shared" si="1"/>
        <v>0</v>
      </c>
      <c r="G25" s="2">
        <v>59</v>
      </c>
      <c r="H25" s="4" t="s">
        <v>280</v>
      </c>
      <c r="I25" s="2" t="s">
        <v>9</v>
      </c>
      <c r="J25" s="4"/>
      <c r="K25" s="2">
        <v>8.75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5.2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5.75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4.25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4"/>
      <c r="K27" s="2">
        <v>3.35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4.75</v>
      </c>
      <c r="F28" s="20">
        <f t="shared" si="1"/>
        <v>0</v>
      </c>
      <c r="G28" s="2">
        <v>62</v>
      </c>
      <c r="H28" s="4" t="s">
        <v>281</v>
      </c>
      <c r="I28" s="2" t="s">
        <v>9</v>
      </c>
      <c r="J28" s="4"/>
      <c r="K28" s="2">
        <v>4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5.5</v>
      </c>
      <c r="F29" s="20">
        <f t="shared" si="1"/>
        <v>0</v>
      </c>
      <c r="G29" s="2">
        <v>63</v>
      </c>
      <c r="H29" s="4" t="s">
        <v>140</v>
      </c>
      <c r="I29" s="2" t="s">
        <v>9</v>
      </c>
      <c r="J29" s="4"/>
      <c r="K29" s="2">
        <v>7.5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4.4000000000000004</v>
      </c>
      <c r="F30" s="5">
        <f t="shared" si="1"/>
        <v>0</v>
      </c>
      <c r="G30" s="2">
        <v>64</v>
      </c>
      <c r="H30" s="4" t="s">
        <v>282</v>
      </c>
      <c r="I30" s="2" t="s">
        <v>9</v>
      </c>
      <c r="J30" s="4"/>
      <c r="K30" s="2">
        <v>4.25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5.75</v>
      </c>
      <c r="F31" s="5">
        <f t="shared" si="1"/>
        <v>0</v>
      </c>
      <c r="G31" s="2">
        <v>65</v>
      </c>
      <c r="H31" s="4" t="s">
        <v>283</v>
      </c>
      <c r="I31" s="2" t="s">
        <v>9</v>
      </c>
      <c r="J31" s="4"/>
      <c r="K31" s="2">
        <v>3.4</v>
      </c>
      <c r="L31" s="5">
        <f t="shared" si="0"/>
        <v>0</v>
      </c>
    </row>
    <row r="32" spans="1:12" ht="13.15" customHeight="1">
      <c r="A32" s="2">
        <v>28</v>
      </c>
      <c r="B32" s="4" t="s">
        <v>104</v>
      </c>
      <c r="C32" s="2" t="s">
        <v>9</v>
      </c>
      <c r="D32" s="2"/>
      <c r="E32" s="5">
        <v>7.5</v>
      </c>
      <c r="F32" s="20">
        <f t="shared" si="1"/>
        <v>0</v>
      </c>
      <c r="G32" s="2">
        <v>66</v>
      </c>
      <c r="H32" s="4" t="s">
        <v>284</v>
      </c>
      <c r="I32" s="2" t="s">
        <v>9</v>
      </c>
      <c r="J32" s="4"/>
      <c r="K32" s="2">
        <v>5.75</v>
      </c>
      <c r="L32" s="5">
        <f t="shared" si="0"/>
        <v>0</v>
      </c>
    </row>
    <row r="33" spans="1:12" ht="13.15" customHeight="1">
      <c r="A33" s="2">
        <v>29</v>
      </c>
      <c r="B33" s="4" t="s">
        <v>285</v>
      </c>
      <c r="C33" s="2" t="s">
        <v>9</v>
      </c>
      <c r="D33" s="2"/>
      <c r="E33" s="5">
        <v>5.3</v>
      </c>
      <c r="F33" s="5">
        <f t="shared" si="1"/>
        <v>0</v>
      </c>
      <c r="G33" s="2">
        <v>67</v>
      </c>
      <c r="H33" s="4" t="s">
        <v>286</v>
      </c>
      <c r="I33" s="2" t="s">
        <v>9</v>
      </c>
      <c r="J33" s="4"/>
      <c r="K33" s="2">
        <v>2.2000000000000002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5.75</v>
      </c>
      <c r="F34" s="5">
        <f t="shared" si="1"/>
        <v>0</v>
      </c>
      <c r="G34" s="2">
        <v>68</v>
      </c>
      <c r="H34" s="4" t="s">
        <v>287</v>
      </c>
      <c r="I34" s="2" t="s">
        <v>9</v>
      </c>
      <c r="J34" s="4"/>
      <c r="K34" s="2">
        <v>3.4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5.3</v>
      </c>
      <c r="F35" s="20">
        <f t="shared" si="1"/>
        <v>0</v>
      </c>
      <c r="G35" s="2">
        <v>69</v>
      </c>
      <c r="H35" s="4" t="s">
        <v>288</v>
      </c>
      <c r="I35" s="2" t="s">
        <v>9</v>
      </c>
      <c r="J35" s="4"/>
      <c r="K35" s="2">
        <v>3.4</v>
      </c>
      <c r="L35" s="5">
        <f t="shared" si="0"/>
        <v>0</v>
      </c>
    </row>
    <row r="36" spans="1:12" ht="13.15" customHeight="1">
      <c r="A36" s="2">
        <v>32</v>
      </c>
      <c r="B36" s="4" t="s">
        <v>74</v>
      </c>
      <c r="C36" s="2" t="s">
        <v>9</v>
      </c>
      <c r="D36" s="2"/>
      <c r="E36" s="2">
        <v>2.2999999999999998</v>
      </c>
      <c r="F36" s="20">
        <f t="shared" si="1"/>
        <v>0</v>
      </c>
      <c r="G36" s="2">
        <v>70</v>
      </c>
      <c r="H36" s="4" t="s">
        <v>289</v>
      </c>
      <c r="I36" s="2" t="s">
        <v>9</v>
      </c>
      <c r="J36" s="4"/>
      <c r="K36" s="2">
        <v>34.25</v>
      </c>
      <c r="L36" s="5">
        <f t="shared" si="0"/>
        <v>0</v>
      </c>
    </row>
    <row r="37" spans="1:12" ht="13.15" customHeight="1">
      <c r="A37" s="2">
        <v>33</v>
      </c>
      <c r="B37" s="4" t="s">
        <v>76</v>
      </c>
      <c r="C37" s="2" t="s">
        <v>9</v>
      </c>
      <c r="D37" s="2"/>
      <c r="E37" s="2">
        <v>3.25</v>
      </c>
      <c r="F37" s="20">
        <f t="shared" si="1"/>
        <v>0</v>
      </c>
      <c r="G37" s="2">
        <v>71</v>
      </c>
      <c r="H37" s="4" t="s">
        <v>290</v>
      </c>
      <c r="I37" s="2" t="s">
        <v>9</v>
      </c>
      <c r="J37" s="4"/>
      <c r="K37" s="2">
        <v>3.75</v>
      </c>
      <c r="L37" s="5">
        <f t="shared" si="0"/>
        <v>0</v>
      </c>
    </row>
    <row r="38" spans="1:12" ht="13.15" customHeight="1">
      <c r="A38" s="2">
        <v>34</v>
      </c>
      <c r="B38" s="4" t="s">
        <v>78</v>
      </c>
      <c r="C38" s="2" t="s">
        <v>9</v>
      </c>
      <c r="D38" s="2"/>
      <c r="E38" s="2">
        <v>6.25</v>
      </c>
      <c r="F38" s="20">
        <f t="shared" si="1"/>
        <v>0</v>
      </c>
      <c r="G38" s="2">
        <v>72</v>
      </c>
      <c r="H38" s="4" t="s">
        <v>291</v>
      </c>
      <c r="I38" s="2" t="s">
        <v>9</v>
      </c>
      <c r="J38" s="4"/>
      <c r="K38" s="2">
        <v>6.25</v>
      </c>
      <c r="L38" s="5">
        <f t="shared" si="0"/>
        <v>0</v>
      </c>
    </row>
    <row r="39" spans="1:12" ht="13.15" customHeight="1">
      <c r="A39" s="2">
        <v>35</v>
      </c>
      <c r="B39" s="4" t="s">
        <v>80</v>
      </c>
      <c r="C39" s="2" t="s">
        <v>9</v>
      </c>
      <c r="D39" s="2"/>
      <c r="E39" s="2">
        <v>3.75</v>
      </c>
      <c r="F39" s="20">
        <f t="shared" si="1"/>
        <v>0</v>
      </c>
      <c r="G39" s="2">
        <v>73</v>
      </c>
      <c r="H39" s="4" t="s">
        <v>111</v>
      </c>
      <c r="I39" s="2" t="s">
        <v>9</v>
      </c>
      <c r="J39" s="4"/>
      <c r="K39" s="2">
        <v>3.2</v>
      </c>
      <c r="L39" s="5">
        <f t="shared" si="0"/>
        <v>0</v>
      </c>
    </row>
    <row r="40" spans="1:12" ht="13.15" customHeight="1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0</v>
      </c>
    </row>
    <row r="42" spans="1:12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>
  <dimension ref="A1:L42"/>
  <sheetViews>
    <sheetView workbookViewId="0">
      <selection activeCell="K2" sqref="K2:K29"/>
    </sheetView>
  </sheetViews>
  <sheetFormatPr defaultRowHeight="13.15" customHeight="1"/>
  <cols>
    <col min="1" max="1" width="4.7109375" style="17" customWidth="1"/>
    <col min="2" max="2" width="23.7109375" customWidth="1"/>
    <col min="3" max="3" width="6.42578125" customWidth="1"/>
    <col min="4" max="4" width="8.140625" customWidth="1"/>
    <col min="5" max="5" width="8.42578125" customWidth="1"/>
    <col min="6" max="6" width="8.85546875" style="17"/>
    <col min="7" max="7" width="5.28515625" style="17" customWidth="1"/>
    <col min="8" max="8" width="24.5703125" customWidth="1"/>
    <col min="9" max="9" width="6.42578125" customWidth="1"/>
    <col min="10" max="10" width="7.42578125" customWidth="1"/>
    <col min="11" max="11" width="8.28515625" customWidth="1"/>
    <col min="12" max="12" width="8.28515625" style="17" customWidth="1"/>
  </cols>
  <sheetData>
    <row r="1" spans="1:12" ht="13.15" customHeight="1">
      <c r="A1" s="30" t="s">
        <v>262</v>
      </c>
      <c r="B1" s="30"/>
      <c r="C1" s="30"/>
      <c r="D1" s="36" t="s">
        <v>263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2.0499999999999998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6.35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1.9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4.45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7.5</v>
      </c>
      <c r="L6" s="5">
        <f t="shared" si="0"/>
        <v>0</v>
      </c>
    </row>
    <row r="7" spans="1:12" ht="13.15" customHeight="1">
      <c r="A7" s="2">
        <v>3</v>
      </c>
      <c r="B7" s="4" t="s">
        <v>264</v>
      </c>
      <c r="C7" s="2" t="s">
        <v>9</v>
      </c>
      <c r="D7" s="2"/>
      <c r="E7" s="5">
        <v>5.5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1.9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6.85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4.75</v>
      </c>
      <c r="F9" s="20">
        <f t="shared" si="1"/>
        <v>0</v>
      </c>
      <c r="G9" s="2">
        <v>43</v>
      </c>
      <c r="H9" s="4" t="s">
        <v>265</v>
      </c>
      <c r="I9" s="2" t="s">
        <v>9</v>
      </c>
      <c r="J9" s="2"/>
      <c r="K9" s="5">
        <v>3.4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5.5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266</v>
      </c>
      <c r="C11" s="2" t="s">
        <v>9</v>
      </c>
      <c r="D11" s="2"/>
      <c r="E11" s="5">
        <v>5.5</v>
      </c>
      <c r="F11" s="20">
        <f t="shared" si="1"/>
        <v>0</v>
      </c>
      <c r="G11" s="2">
        <v>45</v>
      </c>
      <c r="H11" s="4" t="s">
        <v>267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5.7</v>
      </c>
      <c r="F12" s="20">
        <f t="shared" si="1"/>
        <v>0</v>
      </c>
      <c r="G12" s="2">
        <v>46</v>
      </c>
      <c r="H12" s="4" t="s">
        <v>268</v>
      </c>
      <c r="I12" s="2" t="s">
        <v>9</v>
      </c>
      <c r="J12" s="2"/>
      <c r="K12" s="5">
        <v>2.35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5.8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5.65</v>
      </c>
      <c r="F14" s="20">
        <f t="shared" si="1"/>
        <v>0</v>
      </c>
      <c r="G14" s="2">
        <v>48</v>
      </c>
      <c r="H14" s="4" t="s">
        <v>269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128</v>
      </c>
      <c r="C15" s="2" t="s">
        <v>9</v>
      </c>
      <c r="D15" s="2"/>
      <c r="E15" s="5">
        <v>6.3</v>
      </c>
      <c r="F15" s="20">
        <f t="shared" si="1"/>
        <v>0</v>
      </c>
      <c r="G15" s="2">
        <v>49</v>
      </c>
      <c r="H15" s="4" t="s">
        <v>270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271</v>
      </c>
      <c r="C16" s="2" t="s">
        <v>9</v>
      </c>
      <c r="D16" s="2"/>
      <c r="E16" s="5">
        <v>5.8</v>
      </c>
      <c r="F16" s="20">
        <f t="shared" si="1"/>
        <v>0</v>
      </c>
      <c r="G16" s="2">
        <v>50</v>
      </c>
      <c r="H16" s="4" t="s">
        <v>272</v>
      </c>
      <c r="I16" s="2" t="s">
        <v>9</v>
      </c>
      <c r="J16" s="2"/>
      <c r="K16" s="5">
        <v>7.75</v>
      </c>
      <c r="L16" s="5">
        <f t="shared" si="0"/>
        <v>0</v>
      </c>
    </row>
    <row r="17" spans="1:12" ht="13.15" customHeight="1">
      <c r="A17" s="2">
        <v>13</v>
      </c>
      <c r="B17" s="4" t="s">
        <v>273</v>
      </c>
      <c r="C17" s="2" t="s">
        <v>9</v>
      </c>
      <c r="D17" s="2"/>
      <c r="E17" s="5">
        <v>6.3</v>
      </c>
      <c r="F17" s="20">
        <f t="shared" si="1"/>
        <v>0</v>
      </c>
      <c r="G17" s="2">
        <v>51</v>
      </c>
      <c r="H17" s="4" t="s">
        <v>274</v>
      </c>
      <c r="I17" s="2" t="s">
        <v>9</v>
      </c>
      <c r="J17" s="2"/>
      <c r="K17" s="5">
        <v>6.25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4.5999999999999996</v>
      </c>
      <c r="F18" s="20">
        <f t="shared" si="1"/>
        <v>0</v>
      </c>
      <c r="G18" s="2">
        <v>52</v>
      </c>
      <c r="H18" s="4" t="s">
        <v>275</v>
      </c>
      <c r="I18" s="2" t="s">
        <v>9</v>
      </c>
      <c r="J18" s="2"/>
      <c r="K18" s="5">
        <v>6.1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5.0999999999999996</v>
      </c>
      <c r="F19" s="20">
        <f t="shared" si="1"/>
        <v>0</v>
      </c>
      <c r="G19" s="2">
        <v>53</v>
      </c>
      <c r="H19" s="4" t="s">
        <v>276</v>
      </c>
      <c r="I19" s="2" t="s">
        <v>9</v>
      </c>
      <c r="J19" s="2"/>
      <c r="K19" s="5">
        <v>7.5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2.2999999999999998</v>
      </c>
      <c r="F20" s="20">
        <f t="shared" si="1"/>
        <v>0</v>
      </c>
      <c r="G20" s="2">
        <v>54</v>
      </c>
      <c r="H20" s="4" t="s">
        <v>277</v>
      </c>
      <c r="I20" s="2" t="s">
        <v>9</v>
      </c>
      <c r="J20" s="2"/>
      <c r="K20" s="5">
        <v>8.5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1.25</v>
      </c>
      <c r="F21" s="20">
        <f t="shared" si="1"/>
        <v>0</v>
      </c>
      <c r="G21" s="2">
        <v>55</v>
      </c>
      <c r="H21" s="4" t="s">
        <v>106</v>
      </c>
      <c r="I21" s="2" t="s">
        <v>9</v>
      </c>
      <c r="J21" s="2"/>
      <c r="K21" s="5">
        <v>7.5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5.5</v>
      </c>
      <c r="F22" s="20">
        <f t="shared" si="1"/>
        <v>0</v>
      </c>
      <c r="G22" s="2">
        <v>56</v>
      </c>
      <c r="H22" s="4" t="s">
        <v>278</v>
      </c>
      <c r="I22" s="2" t="s">
        <v>9</v>
      </c>
      <c r="J22" s="2"/>
      <c r="K22" s="5">
        <v>2.1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6.25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4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5.9</v>
      </c>
      <c r="F24" s="20">
        <f t="shared" si="1"/>
        <v>0</v>
      </c>
      <c r="G24" s="2">
        <v>58</v>
      </c>
      <c r="H24" s="4" t="s">
        <v>279</v>
      </c>
      <c r="I24" s="2" t="s">
        <v>9</v>
      </c>
      <c r="J24" s="4"/>
      <c r="K24" s="2">
        <v>2.1</v>
      </c>
      <c r="L24" s="5">
        <f t="shared" si="0"/>
        <v>0</v>
      </c>
    </row>
    <row r="25" spans="1:12" ht="13.15" customHeight="1">
      <c r="A25" s="2">
        <v>21</v>
      </c>
      <c r="B25" s="4" t="s">
        <v>96</v>
      </c>
      <c r="C25" s="2" t="s">
        <v>9</v>
      </c>
      <c r="D25" s="2"/>
      <c r="E25" s="5">
        <v>6.6</v>
      </c>
      <c r="F25" s="20">
        <f t="shared" si="1"/>
        <v>0</v>
      </c>
      <c r="G25" s="2">
        <v>59</v>
      </c>
      <c r="H25" s="4" t="s">
        <v>280</v>
      </c>
      <c r="I25" s="2" t="s">
        <v>9</v>
      </c>
      <c r="J25" s="4"/>
      <c r="K25" s="2">
        <v>8.75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5.2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4"/>
      <c r="K26" s="2">
        <v>5.75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4.25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4"/>
      <c r="K27" s="2">
        <v>3.35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4.75</v>
      </c>
      <c r="F28" s="20">
        <f t="shared" si="1"/>
        <v>0</v>
      </c>
      <c r="G28" s="2">
        <v>62</v>
      </c>
      <c r="H28" s="4" t="s">
        <v>281</v>
      </c>
      <c r="I28" s="2" t="s">
        <v>9</v>
      </c>
      <c r="J28" s="4"/>
      <c r="K28" s="2">
        <v>4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5.5</v>
      </c>
      <c r="F29" s="20">
        <f t="shared" si="1"/>
        <v>0</v>
      </c>
      <c r="G29" s="2">
        <v>63</v>
      </c>
      <c r="H29" s="4" t="s">
        <v>140</v>
      </c>
      <c r="I29" s="2" t="s">
        <v>9</v>
      </c>
      <c r="J29" s="4"/>
      <c r="K29" s="2">
        <v>7.5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4.4000000000000004</v>
      </c>
      <c r="F30" s="5">
        <f t="shared" si="1"/>
        <v>0</v>
      </c>
      <c r="G30" s="2">
        <v>64</v>
      </c>
      <c r="H30" s="4" t="s">
        <v>282</v>
      </c>
      <c r="I30" s="2" t="s">
        <v>9</v>
      </c>
      <c r="J30" s="4"/>
      <c r="K30" s="2">
        <v>4.25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5.75</v>
      </c>
      <c r="F31" s="5">
        <f t="shared" si="1"/>
        <v>0</v>
      </c>
      <c r="G31" s="2">
        <v>65</v>
      </c>
      <c r="H31" s="4" t="s">
        <v>283</v>
      </c>
      <c r="I31" s="2" t="s">
        <v>9</v>
      </c>
      <c r="J31" s="4"/>
      <c r="K31" s="2">
        <v>3.4</v>
      </c>
      <c r="L31" s="5">
        <f t="shared" si="0"/>
        <v>0</v>
      </c>
    </row>
    <row r="32" spans="1:12" ht="13.15" customHeight="1">
      <c r="A32" s="2">
        <v>28</v>
      </c>
      <c r="B32" s="4" t="s">
        <v>104</v>
      </c>
      <c r="C32" s="2" t="s">
        <v>9</v>
      </c>
      <c r="D32" s="2"/>
      <c r="E32" s="5">
        <v>7.5</v>
      </c>
      <c r="F32" s="20">
        <f t="shared" si="1"/>
        <v>0</v>
      </c>
      <c r="G32" s="2">
        <v>66</v>
      </c>
      <c r="H32" s="4" t="s">
        <v>284</v>
      </c>
      <c r="I32" s="2" t="s">
        <v>9</v>
      </c>
      <c r="J32" s="4"/>
      <c r="K32" s="2">
        <v>5.75</v>
      </c>
      <c r="L32" s="5">
        <f t="shared" si="0"/>
        <v>0</v>
      </c>
    </row>
    <row r="33" spans="1:12" ht="13.15" customHeight="1">
      <c r="A33" s="2">
        <v>29</v>
      </c>
      <c r="B33" s="4" t="s">
        <v>285</v>
      </c>
      <c r="C33" s="2" t="s">
        <v>9</v>
      </c>
      <c r="D33" s="2"/>
      <c r="E33" s="5">
        <v>5.3</v>
      </c>
      <c r="F33" s="5">
        <f t="shared" si="1"/>
        <v>0</v>
      </c>
      <c r="G33" s="2">
        <v>67</v>
      </c>
      <c r="H33" s="4" t="s">
        <v>286</v>
      </c>
      <c r="I33" s="2" t="s">
        <v>9</v>
      </c>
      <c r="J33" s="4"/>
      <c r="K33" s="2">
        <v>2.2000000000000002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5.75</v>
      </c>
      <c r="F34" s="5">
        <f t="shared" si="1"/>
        <v>0</v>
      </c>
      <c r="G34" s="2">
        <v>68</v>
      </c>
      <c r="H34" s="4" t="s">
        <v>287</v>
      </c>
      <c r="I34" s="2" t="s">
        <v>9</v>
      </c>
      <c r="J34" s="4"/>
      <c r="K34" s="2">
        <v>3.4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5.3</v>
      </c>
      <c r="F35" s="20">
        <f t="shared" si="1"/>
        <v>0</v>
      </c>
      <c r="G35" s="2">
        <v>69</v>
      </c>
      <c r="H35" s="4" t="s">
        <v>288</v>
      </c>
      <c r="I35" s="2" t="s">
        <v>9</v>
      </c>
      <c r="J35" s="4"/>
      <c r="K35" s="2">
        <v>3.4</v>
      </c>
      <c r="L35" s="5">
        <f t="shared" si="0"/>
        <v>0</v>
      </c>
    </row>
    <row r="36" spans="1:12" ht="13.15" customHeight="1">
      <c r="A36" s="2">
        <v>32</v>
      </c>
      <c r="B36" s="4" t="s">
        <v>74</v>
      </c>
      <c r="C36" s="2" t="s">
        <v>9</v>
      </c>
      <c r="D36" s="2"/>
      <c r="E36" s="2">
        <v>2.2999999999999998</v>
      </c>
      <c r="F36" s="20">
        <f t="shared" si="1"/>
        <v>0</v>
      </c>
      <c r="G36" s="2">
        <v>70</v>
      </c>
      <c r="H36" s="4" t="s">
        <v>289</v>
      </c>
      <c r="I36" s="2" t="s">
        <v>9</v>
      </c>
      <c r="J36" s="4"/>
      <c r="K36" s="2">
        <v>34.25</v>
      </c>
      <c r="L36" s="5">
        <f t="shared" si="0"/>
        <v>0</v>
      </c>
    </row>
    <row r="37" spans="1:12" ht="13.15" customHeight="1">
      <c r="A37" s="2">
        <v>33</v>
      </c>
      <c r="B37" s="4" t="s">
        <v>76</v>
      </c>
      <c r="C37" s="2" t="s">
        <v>9</v>
      </c>
      <c r="D37" s="2"/>
      <c r="E37" s="2">
        <v>3.25</v>
      </c>
      <c r="F37" s="20">
        <f t="shared" si="1"/>
        <v>0</v>
      </c>
      <c r="G37" s="2">
        <v>71</v>
      </c>
      <c r="H37" s="4" t="s">
        <v>290</v>
      </c>
      <c r="I37" s="2" t="s">
        <v>9</v>
      </c>
      <c r="J37" s="4"/>
      <c r="K37" s="2">
        <v>3.75</v>
      </c>
      <c r="L37" s="5">
        <f t="shared" si="0"/>
        <v>0</v>
      </c>
    </row>
    <row r="38" spans="1:12" ht="13.15" customHeight="1">
      <c r="A38" s="2">
        <v>34</v>
      </c>
      <c r="B38" s="4" t="s">
        <v>78</v>
      </c>
      <c r="C38" s="2" t="s">
        <v>9</v>
      </c>
      <c r="D38" s="2"/>
      <c r="E38" s="2">
        <v>6.25</v>
      </c>
      <c r="F38" s="20">
        <f t="shared" si="1"/>
        <v>0</v>
      </c>
      <c r="G38" s="2">
        <v>72</v>
      </c>
      <c r="H38" s="4" t="s">
        <v>291</v>
      </c>
      <c r="I38" s="2" t="s">
        <v>9</v>
      </c>
      <c r="J38" s="4"/>
      <c r="K38" s="2">
        <v>6.25</v>
      </c>
      <c r="L38" s="5">
        <f t="shared" si="0"/>
        <v>0</v>
      </c>
    </row>
    <row r="39" spans="1:12" ht="13.15" customHeight="1">
      <c r="A39" s="2">
        <v>35</v>
      </c>
      <c r="B39" s="4" t="s">
        <v>80</v>
      </c>
      <c r="C39" s="2" t="s">
        <v>9</v>
      </c>
      <c r="D39" s="2"/>
      <c r="E39" s="2">
        <v>3.75</v>
      </c>
      <c r="F39" s="20">
        <f t="shared" si="1"/>
        <v>0</v>
      </c>
      <c r="G39" s="2">
        <v>73</v>
      </c>
      <c r="H39" s="4" t="s">
        <v>111</v>
      </c>
      <c r="I39" s="2" t="s">
        <v>9</v>
      </c>
      <c r="J39" s="4"/>
      <c r="K39" s="2">
        <v>3.2</v>
      </c>
      <c r="L39" s="5">
        <f t="shared" si="0"/>
        <v>0</v>
      </c>
    </row>
    <row r="40" spans="1:12" ht="13.15" customHeight="1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0</v>
      </c>
    </row>
    <row r="42" spans="1:12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>
  <sheetPr>
    <tabColor rgb="FFFF0000"/>
  </sheetPr>
  <dimension ref="A1:L42"/>
  <sheetViews>
    <sheetView workbookViewId="0">
      <selection activeCell="F5" sqref="F5"/>
    </sheetView>
  </sheetViews>
  <sheetFormatPr defaultRowHeight="13.15" customHeight="1"/>
  <cols>
    <col min="1" max="1" width="4.7109375" style="17" customWidth="1"/>
    <col min="2" max="2" width="23.7109375" customWidth="1"/>
    <col min="3" max="3" width="6.42578125" customWidth="1"/>
    <col min="4" max="4" width="8.140625" customWidth="1"/>
    <col min="5" max="5" width="8.42578125" customWidth="1"/>
    <col min="6" max="6" width="8.85546875" style="17"/>
    <col min="7" max="7" width="5.28515625" style="17" customWidth="1"/>
    <col min="8" max="8" width="24.5703125" customWidth="1"/>
    <col min="9" max="9" width="6.42578125" customWidth="1"/>
    <col min="10" max="10" width="7.42578125" customWidth="1"/>
    <col min="11" max="11" width="8.28515625" customWidth="1"/>
    <col min="12" max="12" width="8.28515625" style="17" customWidth="1"/>
  </cols>
  <sheetData>
    <row r="1" spans="1:12" ht="13.15" customHeight="1">
      <c r="A1" s="30" t="s">
        <v>262</v>
      </c>
      <c r="B1" s="30"/>
      <c r="C1" s="30"/>
      <c r="D1" s="36" t="s">
        <v>263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>
        <f>'p1'!J2+'p2'!J2+'p3'!J2+'p4'!J2+'p5'!J2+'p6'!J2+'p7'!J2+'p8'!J2+'p9'!J2+'p10'!J2+'p11'!J2+'p12'!J2+'p13'!J2+'p14'!J2+'p15'!J2+'p16'!J2+'p17'!J2+'p18'!J2+'p19'!J2+'p20'!J2+'p21'!J2+'p22'!J2+'p23'!J2+'p24'!J2+'p25'!J2+'p26'!J2+'p27'!J2+'p28'!J2+'p29'!J2+'p30'!J2</f>
        <v>0</v>
      </c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>
        <f>'p1'!J3+'p2'!J3+'p3'!J3+'p4'!J3+'p5'!J3+'p6'!J3+'p7'!J3+'p8'!J3+'p9'!J3+'p10'!J3+'p11'!J3+'p12'!J3+'p13'!J3+'p14'!J3+'p15'!J3+'p16'!J3+'p17'!J3+'p18'!J3+'p19'!J3+'p20'!J3+'p21'!J3+'p22'!J3+'p23'!J3+'p24'!J3+'p25'!J3+'p26'!J3+'p27'!J3+'p28'!J3+'p29'!J3+'p30'!J3</f>
        <v>0</v>
      </c>
      <c r="K3" s="5">
        <v>2.0499999999999998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>
        <f>'p1'!J4+'p2'!J4+'p3'!J4+'p4'!J4+'p5'!J4+'p6'!J4+'p7'!J4+'p8'!J4+'p9'!J4+'p10'!J4+'p11'!J4+'p12'!J4+'p13'!J4+'p14'!J4+'p15'!J4+'p16'!J4+'p17'!J4+'p18'!J4+'p19'!J4+'p20'!J4+'p21'!J4+'p22'!J4+'p23'!J4+'p24'!J4+'p25'!J4+'p26'!J4+'p27'!J4+'p28'!J4+'p29'!J4+'p30'!J4</f>
        <v>0</v>
      </c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>
        <f>'p1'!D5+'p2'!D5+'p3'!D5+'p4'!D5+'p5'!D5+'p6'!D5+'p7'!D5+'p8'!D5+'p9'!D5+'p10'!D5+'p11'!D5+'p12'!D5+'p13'!D5+'p14'!D5+'p15'!D5+'p16'!D5+'p17'!D5+'p18'!D5+'p19'!D5+'p20'!D5+'p21'!D5+'p22'!D5+'p23'!D5+'p24'!D5+'p25'!D5+'p26'!D5+'p27'!D5+'p28'!D5+'p29'!D5+'p30'!D5</f>
        <v>10</v>
      </c>
      <c r="E5" s="5">
        <v>6.35</v>
      </c>
      <c r="F5" s="20">
        <f>D5*E5</f>
        <v>63.5</v>
      </c>
      <c r="G5" s="2">
        <v>39</v>
      </c>
      <c r="H5" s="4" t="s">
        <v>13</v>
      </c>
      <c r="I5" s="2" t="s">
        <v>9</v>
      </c>
      <c r="J5" s="2">
        <f>'p1'!J5+'p2'!J5+'p3'!J5+'p4'!J5+'p5'!J5+'p6'!J5+'p7'!J5+'p8'!J5+'p9'!J5+'p10'!J5+'p11'!J5+'p12'!J5+'p13'!J5+'p14'!J5+'p15'!J5+'p16'!J5+'p17'!J5+'p18'!J5+'p19'!J5+'p20'!J5+'p21'!J5+'p22'!J5+'p23'!J5+'p24'!J5+'p25'!J5+'p26'!J5+'p27'!J5+'p28'!J5+'p29'!J5+'p30'!J5</f>
        <v>0</v>
      </c>
      <c r="K5" s="5">
        <v>1.9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>
        <f>'p1'!D6+'p2'!D6+'p3'!D6+'p4'!D6+'p5'!D6+'p6'!D6+'p7'!D6+'p8'!D6+'p9'!D6+'p10'!D6+'p11'!D6+'p12'!D6+'p13'!D6+'p14'!D6+'p15'!D6+'p16'!D6+'p17'!D6+'p18'!D6+'p19'!D6+'p20'!D6+'p21'!D6+'p22'!D6+'p23'!D6+'p24'!D6+'p25'!D6+'p26'!D6+'p27'!D6+'p28'!D6+'p29'!D6+'p30'!D6</f>
        <v>0</v>
      </c>
      <c r="E6" s="5">
        <v>4.45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>
        <f>'p1'!J6+'p2'!J6+'p3'!J6+'p4'!J6+'p5'!J6+'p6'!J6+'p7'!J6+'p8'!J6+'p9'!J6+'p10'!J6+'p11'!J6+'p12'!J6+'p13'!J6+'p14'!J6+'p15'!J6+'p16'!J6+'p17'!J6+'p18'!J6+'p19'!J6+'p20'!J6+'p21'!J6+'p22'!J6+'p23'!J6+'p24'!J6+'p25'!J6+'p26'!J6+'p27'!J6+'p28'!J6+'p29'!J6+'p30'!J6</f>
        <v>0</v>
      </c>
      <c r="K6" s="5">
        <v>7.5</v>
      </c>
      <c r="L6" s="5">
        <f t="shared" si="0"/>
        <v>0</v>
      </c>
    </row>
    <row r="7" spans="1:12" ht="13.15" customHeight="1">
      <c r="A7" s="2">
        <v>3</v>
      </c>
      <c r="B7" s="4" t="s">
        <v>264</v>
      </c>
      <c r="C7" s="2" t="s">
        <v>9</v>
      </c>
      <c r="D7" s="2">
        <f>'p1'!D7+'p2'!D7+'p3'!D7+'p4'!D7+'p5'!D7+'p6'!D7+'p7'!D7+'p8'!D7+'p9'!D7+'p10'!D7+'p11'!D7+'p12'!D7+'p13'!D7+'p14'!D7+'p15'!D7+'p16'!D7+'p17'!D7+'p18'!D7+'p19'!D7+'p20'!D7+'p21'!D7+'p22'!D7+'p23'!D7+'p24'!D7+'p25'!D7+'p26'!D7+'p27'!D7+'p28'!D7+'p29'!D7+'p30'!D7</f>
        <v>0</v>
      </c>
      <c r="E7" s="5">
        <v>5.5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>
        <f>'p1'!J7+'p2'!J7+'p3'!J7+'p4'!J7+'p5'!J7+'p6'!J7+'p7'!J7+'p8'!J7+'p9'!J7+'p10'!J7+'p11'!J7+'p12'!J7+'p13'!J7+'p14'!J7+'p15'!J7+'p16'!J7+'p17'!J7+'p18'!J7+'p19'!J7+'p20'!J7+'p21'!J7+'p22'!J7+'p23'!J7+'p24'!J7+'p25'!J7+'p26'!J7+'p27'!J7+'p28'!J7+'p29'!J7+'p30'!J7</f>
        <v>0</v>
      </c>
      <c r="K7" s="5">
        <v>1.9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>
        <f>'p1'!D8+'p2'!D8+'p3'!D8+'p4'!D8+'p5'!D8+'p6'!D8+'p7'!D8+'p8'!D8+'p9'!D8+'p10'!D8+'p11'!D8+'p12'!D8+'p13'!D8+'p14'!D8+'p15'!D8+'p16'!D8+'p17'!D8+'p18'!D8+'p19'!D8+'p20'!D8+'p21'!D8+'p22'!D8+'p23'!D8+'p24'!D8+'p25'!D8+'p26'!D8+'p27'!D8+'p28'!D8+'p29'!D8+'p30'!D8</f>
        <v>0</v>
      </c>
      <c r="E8" s="5">
        <v>6.85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>
        <f>'p1'!J8+'p2'!J8+'p3'!J8+'p4'!J8+'p5'!J8+'p6'!J8+'p7'!J8+'p8'!J8+'p9'!J8+'p10'!J8+'p11'!J8+'p12'!J8+'p13'!J8+'p14'!J8+'p15'!J8+'p16'!J8+'p17'!J8+'p18'!J8+'p19'!J8+'p20'!J8+'p21'!J8+'p22'!J8+'p23'!J8+'p24'!J8+'p25'!J8+'p26'!J8+'p27'!J8+'p28'!J8+'p29'!J8+'p30'!J8</f>
        <v>0</v>
      </c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>
        <f>'p1'!D9+'p2'!D9+'p3'!D9+'p4'!D9+'p5'!D9+'p6'!D9+'p7'!D9+'p8'!D9+'p9'!D9+'p10'!D9+'p11'!D9+'p12'!D9+'p13'!D9+'p14'!D9+'p15'!D9+'p16'!D9+'p17'!D9+'p18'!D9+'p19'!D9+'p20'!D9+'p21'!D9+'p22'!D9+'p23'!D9+'p24'!D9+'p25'!D9+'p26'!D9+'p27'!D9+'p28'!D9+'p29'!D9+'p30'!D9</f>
        <v>0</v>
      </c>
      <c r="E9" s="5">
        <v>4.75</v>
      </c>
      <c r="F9" s="20">
        <f t="shared" si="1"/>
        <v>0</v>
      </c>
      <c r="G9" s="2">
        <v>43</v>
      </c>
      <c r="H9" s="4" t="s">
        <v>265</v>
      </c>
      <c r="I9" s="2" t="s">
        <v>9</v>
      </c>
      <c r="J9" s="2">
        <f>'p1'!J9+'p2'!J9+'p3'!J9+'p4'!J9+'p5'!J9+'p6'!J9+'p7'!J9+'p8'!J9+'p9'!J9+'p10'!J9+'p11'!J9+'p12'!J9+'p13'!J9+'p14'!J9+'p15'!J9+'p16'!J9+'p17'!J9+'p18'!J9+'p19'!J9+'p20'!J9+'p21'!J9+'p22'!J9+'p23'!J9+'p24'!J9+'p25'!J9+'p26'!J9+'p27'!J9+'p28'!J9+'p29'!J9+'p30'!J9</f>
        <v>0</v>
      </c>
      <c r="K9" s="5">
        <v>3.4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>
        <f>'p1'!D10+'p2'!D10+'p3'!D10+'p4'!D10+'p5'!D10+'p6'!D10+'p7'!D10+'p8'!D10+'p9'!D10+'p10'!D10+'p11'!D10+'p12'!D10+'p13'!D10+'p14'!D10+'p15'!D10+'p16'!D10+'p17'!D10+'p18'!D10+'p19'!D10+'p20'!D10+'p21'!D10+'p22'!D10+'p23'!D10+'p24'!D10+'p25'!D10+'p26'!D10+'p27'!D10+'p28'!D10+'p29'!D10+'p30'!D10</f>
        <v>0</v>
      </c>
      <c r="E10" s="5">
        <v>5.5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>
        <f>'p1'!J10+'p2'!J10+'p3'!J10+'p4'!J10+'p5'!J10+'p6'!J10+'p7'!J10+'p8'!J10+'p9'!J10+'p10'!J10+'p11'!J10+'p12'!J10+'p13'!J10+'p14'!J10+'p15'!J10+'p16'!J10+'p17'!J10+'p18'!J10+'p19'!J10+'p20'!J10+'p21'!J10+'p22'!J10+'p23'!J10+'p24'!J10+'p25'!J10+'p26'!J10+'p27'!J10+'p28'!J10+'p29'!J10+'p30'!J10</f>
        <v>0</v>
      </c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266</v>
      </c>
      <c r="C11" s="2" t="s">
        <v>9</v>
      </c>
      <c r="D11" s="2">
        <f>'p1'!D11+'p2'!D11+'p3'!D11+'p4'!D11+'p5'!D11+'p6'!D11+'p7'!D11+'p8'!D11+'p9'!D11+'p10'!D11+'p11'!D11+'p12'!D11+'p13'!D11+'p14'!D11+'p15'!D11+'p16'!D11+'p17'!D11+'p18'!D11+'p19'!D11+'p20'!D11+'p21'!D11+'p22'!D11+'p23'!D11+'p24'!D11+'p25'!D11+'p26'!D11+'p27'!D11+'p28'!D11+'p29'!D11+'p30'!D11</f>
        <v>0</v>
      </c>
      <c r="E11" s="5">
        <v>5.5</v>
      </c>
      <c r="F11" s="20">
        <f t="shared" si="1"/>
        <v>0</v>
      </c>
      <c r="G11" s="2">
        <v>45</v>
      </c>
      <c r="H11" s="4" t="s">
        <v>267</v>
      </c>
      <c r="I11" s="2" t="s">
        <v>9</v>
      </c>
      <c r="J11" s="2">
        <f>'p1'!J11+'p2'!J11+'p3'!J11+'p4'!J11+'p5'!J11+'p6'!J11+'p7'!J11+'p8'!J11+'p9'!J11+'p10'!J11+'p11'!J11+'p12'!J11+'p13'!J11+'p14'!J11+'p15'!J11+'p16'!J11+'p17'!J11+'p18'!J11+'p19'!J11+'p20'!J11+'p21'!J11+'p22'!J11+'p23'!J11+'p24'!J11+'p25'!J11+'p26'!J11+'p27'!J11+'p28'!J11+'p29'!J11+'p30'!J11</f>
        <v>0</v>
      </c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>
        <f>'p1'!D12+'p2'!D12+'p3'!D12+'p4'!D12+'p5'!D12+'p6'!D12+'p7'!D12+'p8'!D12+'p9'!D12+'p10'!D12+'p11'!D12+'p12'!D12+'p13'!D12+'p14'!D12+'p15'!D12+'p16'!D12+'p17'!D12+'p18'!D12+'p19'!D12+'p20'!D12+'p21'!D12+'p22'!D12+'p23'!D12+'p24'!D12+'p25'!D12+'p26'!D12+'p27'!D12+'p28'!D12+'p29'!D12+'p30'!D12</f>
        <v>0</v>
      </c>
      <c r="E12" s="5">
        <v>5.7</v>
      </c>
      <c r="F12" s="20">
        <f t="shared" si="1"/>
        <v>0</v>
      </c>
      <c r="G12" s="2">
        <v>46</v>
      </c>
      <c r="H12" s="4" t="s">
        <v>268</v>
      </c>
      <c r="I12" s="2" t="s">
        <v>9</v>
      </c>
      <c r="J12" s="2">
        <f>'p1'!J12+'p2'!J12+'p3'!J12+'p4'!J12+'p5'!J12+'p6'!J12+'p7'!J12+'p8'!J12+'p9'!J12+'p10'!J12+'p11'!J12+'p12'!J12+'p13'!J12+'p14'!J12+'p15'!J12+'p16'!J12+'p17'!J12+'p18'!J12+'p19'!J12+'p20'!J12+'p21'!J12+'p22'!J12+'p23'!J12+'p24'!J12+'p25'!J12+'p26'!J12+'p27'!J12+'p28'!J12+'p29'!J12+'p30'!J12</f>
        <v>0</v>
      </c>
      <c r="K12" s="5">
        <v>2.35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>
        <f>'p1'!D13+'p2'!D13+'p3'!D13+'p4'!D13+'p5'!D13+'p6'!D13+'p7'!D13+'p8'!D13+'p9'!D13+'p10'!D13+'p11'!D13+'p12'!D13+'p13'!D13+'p14'!D13+'p15'!D13+'p16'!D13+'p17'!D13+'p18'!D13+'p19'!D13+'p20'!D13+'p21'!D13+'p22'!D13+'p23'!D13+'p24'!D13+'p25'!D13+'p26'!D13+'p27'!D13+'p28'!D13+'p29'!D13+'p30'!D13</f>
        <v>0</v>
      </c>
      <c r="E13" s="5">
        <v>5.8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>
        <f>'p1'!J13+'p2'!J13+'p3'!J13+'p4'!J13+'p5'!J13+'p6'!J13+'p7'!J13+'p8'!J13+'p9'!J13+'p10'!J13+'p11'!J13+'p12'!J13+'p13'!J13+'p14'!J13+'p15'!J13+'p16'!J13+'p17'!J13+'p18'!J13+'p19'!J13+'p20'!J13+'p21'!J13+'p22'!J13+'p23'!J13+'p24'!J13+'p25'!J13+'p26'!J13+'p27'!J13+'p28'!J13+'p29'!J13+'p30'!J13</f>
        <v>0</v>
      </c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>
        <f>'p1'!D14+'p2'!D14+'p3'!D14+'p4'!D14+'p5'!D14+'p6'!D14+'p7'!D14+'p8'!D14+'p9'!D14+'p10'!D14+'p11'!D14+'p12'!D14+'p13'!D14+'p14'!D14+'p15'!D14+'p16'!D14+'p17'!D14+'p18'!D14+'p19'!D14+'p20'!D14+'p21'!D14+'p22'!D14+'p23'!D14+'p24'!D14+'p25'!D14+'p26'!D14+'p27'!D14+'p28'!D14+'p29'!D14+'p30'!D14</f>
        <v>0</v>
      </c>
      <c r="E14" s="5">
        <v>5.65</v>
      </c>
      <c r="F14" s="20">
        <f t="shared" si="1"/>
        <v>0</v>
      </c>
      <c r="G14" s="2">
        <v>48</v>
      </c>
      <c r="H14" s="4" t="s">
        <v>269</v>
      </c>
      <c r="I14" s="2" t="s">
        <v>9</v>
      </c>
      <c r="J14" s="2">
        <f>'p1'!J14+'p2'!J14+'p3'!J14+'p4'!J14+'p5'!J14+'p6'!J14+'p7'!J14+'p8'!J14+'p9'!J14+'p10'!J14+'p11'!J14+'p12'!J14+'p13'!J14+'p14'!J14+'p15'!J14+'p16'!J14+'p17'!J14+'p18'!J14+'p19'!J14+'p20'!J14+'p21'!J14+'p22'!J14+'p23'!J14+'p24'!J14+'p25'!J14+'p26'!J14+'p27'!J14+'p28'!J14+'p29'!J14+'p30'!J14</f>
        <v>0</v>
      </c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128</v>
      </c>
      <c r="C15" s="2" t="s">
        <v>9</v>
      </c>
      <c r="D15" s="2">
        <f>'p1'!D15+'p2'!D15+'p3'!D15+'p4'!D15+'p5'!D15+'p6'!D15+'p7'!D15+'p8'!D15+'p9'!D15+'p10'!D15+'p11'!D15+'p12'!D15+'p13'!D15+'p14'!D15+'p15'!D15+'p16'!D15+'p17'!D15+'p18'!D15+'p19'!D15+'p20'!D15+'p21'!D15+'p22'!D15+'p23'!D15+'p24'!D15+'p25'!D15+'p26'!D15+'p27'!D15+'p28'!D15+'p29'!D15+'p30'!D15</f>
        <v>0</v>
      </c>
      <c r="E15" s="5">
        <v>6.3</v>
      </c>
      <c r="F15" s="20">
        <f t="shared" si="1"/>
        <v>0</v>
      </c>
      <c r="G15" s="2">
        <v>49</v>
      </c>
      <c r="H15" s="4" t="s">
        <v>270</v>
      </c>
      <c r="I15" s="2" t="s">
        <v>9</v>
      </c>
      <c r="J15" s="2">
        <f>'p1'!J15+'p2'!J15+'p3'!J15+'p4'!J15+'p5'!J15+'p6'!J15+'p7'!J15+'p8'!J15+'p9'!J15+'p10'!J15+'p11'!J15+'p12'!J15+'p13'!J15+'p14'!J15+'p15'!J15+'p16'!J15+'p17'!J15+'p18'!J15+'p19'!J15+'p20'!J15+'p21'!J15+'p22'!J15+'p23'!J15+'p24'!J15+'p25'!J15+'p26'!J15+'p27'!J15+'p28'!J15+'p29'!J15+'p30'!J15</f>
        <v>0</v>
      </c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271</v>
      </c>
      <c r="C16" s="2" t="s">
        <v>9</v>
      </c>
      <c r="D16" s="2">
        <f>'p1'!D16+'p2'!D16+'p3'!D16+'p4'!D16+'p5'!D16+'p6'!D16+'p7'!D16+'p8'!D16+'p9'!D16+'p10'!D16+'p11'!D16+'p12'!D16+'p13'!D16+'p14'!D16+'p15'!D16+'p16'!D16+'p17'!D16+'p18'!D16+'p19'!D16+'p20'!D16+'p21'!D16+'p22'!D16+'p23'!D16+'p24'!D16+'p25'!D16+'p26'!D16+'p27'!D16+'p28'!D16+'p29'!D16+'p30'!D16</f>
        <v>0</v>
      </c>
      <c r="E16" s="5">
        <v>5.8</v>
      </c>
      <c r="F16" s="20">
        <f t="shared" si="1"/>
        <v>0</v>
      </c>
      <c r="G16" s="2">
        <v>50</v>
      </c>
      <c r="H16" s="4" t="s">
        <v>272</v>
      </c>
      <c r="I16" s="2" t="s">
        <v>9</v>
      </c>
      <c r="J16" s="2">
        <f>'p1'!J16+'p2'!J16+'p3'!J16+'p4'!J16+'p5'!J16+'p6'!J16+'p7'!J16+'p8'!J16+'p9'!J16+'p10'!J16+'p11'!J16+'p12'!J16+'p13'!J16+'p14'!J16+'p15'!J16+'p16'!J16+'p17'!J16+'p18'!J16+'p19'!J16+'p20'!J16+'p21'!J16+'p22'!J16+'p23'!J16+'p24'!J16+'p25'!J16+'p26'!J16+'p27'!J16+'p28'!J16+'p29'!J16+'p30'!J16</f>
        <v>0</v>
      </c>
      <c r="K16" s="5">
        <v>7.75</v>
      </c>
      <c r="L16" s="5">
        <f t="shared" si="0"/>
        <v>0</v>
      </c>
    </row>
    <row r="17" spans="1:12" ht="13.15" customHeight="1">
      <c r="A17" s="2">
        <v>13</v>
      </c>
      <c r="B17" s="4" t="s">
        <v>273</v>
      </c>
      <c r="C17" s="2" t="s">
        <v>9</v>
      </c>
      <c r="D17" s="2">
        <f>'p1'!D17+'p2'!D17+'p3'!D17+'p4'!D17+'p5'!D17+'p6'!D17+'p7'!D17+'p8'!D17+'p9'!D17+'p10'!D17+'p11'!D17+'p12'!D17+'p13'!D17+'p14'!D17+'p15'!D17+'p16'!D17+'p17'!D17+'p18'!D17+'p19'!D17+'p20'!D17+'p21'!D17+'p22'!D17+'p23'!D17+'p24'!D17+'p25'!D17+'p26'!D17+'p27'!D17+'p28'!D17+'p29'!D17+'p30'!D17</f>
        <v>0</v>
      </c>
      <c r="E17" s="5">
        <v>6.3</v>
      </c>
      <c r="F17" s="20">
        <f t="shared" si="1"/>
        <v>0</v>
      </c>
      <c r="G17" s="2">
        <v>51</v>
      </c>
      <c r="H17" s="4" t="s">
        <v>274</v>
      </c>
      <c r="I17" s="2" t="s">
        <v>9</v>
      </c>
      <c r="J17" s="2">
        <f>'p1'!J17+'p2'!J17+'p3'!J17+'p4'!J17+'p5'!J17+'p6'!J17+'p7'!J17+'p8'!J17+'p9'!J17+'p10'!J17+'p11'!J17+'p12'!J17+'p13'!J17+'p14'!J17+'p15'!J17+'p16'!J17+'p17'!J17+'p18'!J17+'p19'!J17+'p20'!J17+'p21'!J17+'p22'!J17+'p23'!J17+'p24'!J17+'p25'!J17+'p26'!J17+'p27'!J17+'p28'!J17+'p29'!J17+'p30'!J17</f>
        <v>0</v>
      </c>
      <c r="K17" s="5">
        <v>6.25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>
        <f>'p1'!D18+'p2'!D18+'p3'!D18+'p4'!D18+'p5'!D18+'p6'!D18+'p7'!D18+'p8'!D18+'p9'!D18+'p10'!D18+'p11'!D18+'p12'!D18+'p13'!D18+'p14'!D18+'p15'!D18+'p16'!D18+'p17'!D18+'p18'!D18+'p19'!D18+'p20'!D18+'p21'!D18+'p22'!D18+'p23'!D18+'p24'!D18+'p25'!D18+'p26'!D18+'p27'!D18+'p28'!D18+'p29'!D18+'p30'!D18</f>
        <v>0</v>
      </c>
      <c r="E18" s="5">
        <v>4.5999999999999996</v>
      </c>
      <c r="F18" s="20">
        <f t="shared" si="1"/>
        <v>0</v>
      </c>
      <c r="G18" s="2">
        <v>52</v>
      </c>
      <c r="H18" s="4" t="s">
        <v>275</v>
      </c>
      <c r="I18" s="2" t="s">
        <v>9</v>
      </c>
      <c r="J18" s="2">
        <f>'p1'!J18+'p2'!J18+'p3'!J18+'p4'!J18+'p5'!J18+'p6'!J18+'p7'!J18+'p8'!J18+'p9'!J18+'p10'!J18+'p11'!J18+'p12'!J18+'p13'!J18+'p14'!J18+'p15'!J18+'p16'!J18+'p17'!J18+'p18'!J18+'p19'!J18+'p20'!J18+'p21'!J18+'p22'!J18+'p23'!J18+'p24'!J18+'p25'!J18+'p26'!J18+'p27'!J18+'p28'!J18+'p29'!J18+'p30'!J18</f>
        <v>0</v>
      </c>
      <c r="K18" s="5">
        <v>6.1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>
        <f>'p1'!D19+'p2'!D19+'p3'!D19+'p4'!D19+'p5'!D19+'p6'!D19+'p7'!D19+'p8'!D19+'p9'!D19+'p10'!D19+'p11'!D19+'p12'!D19+'p13'!D19+'p14'!D19+'p15'!D19+'p16'!D19+'p17'!D19+'p18'!D19+'p19'!D19+'p20'!D19+'p21'!D19+'p22'!D19+'p23'!D19+'p24'!D19+'p25'!D19+'p26'!D19+'p27'!D19+'p28'!D19+'p29'!D19+'p30'!D19</f>
        <v>0</v>
      </c>
      <c r="E19" s="5">
        <v>5.0999999999999996</v>
      </c>
      <c r="F19" s="20">
        <f t="shared" si="1"/>
        <v>0</v>
      </c>
      <c r="G19" s="2">
        <v>53</v>
      </c>
      <c r="H19" s="4" t="s">
        <v>276</v>
      </c>
      <c r="I19" s="2" t="s">
        <v>9</v>
      </c>
      <c r="J19" s="2">
        <f>'p1'!J19+'p2'!J19+'p3'!J19+'p4'!J19+'p5'!J19+'p6'!J19+'p7'!J19+'p8'!J19+'p9'!J19+'p10'!J19+'p11'!J19+'p12'!J19+'p13'!J19+'p14'!J19+'p15'!J19+'p16'!J19+'p17'!J19+'p18'!J19+'p19'!J19+'p20'!J19+'p21'!J19+'p22'!J19+'p23'!J19+'p24'!J19+'p25'!J19+'p26'!J19+'p27'!J19+'p28'!J19+'p29'!J19+'p30'!J19</f>
        <v>0</v>
      </c>
      <c r="K19" s="5">
        <v>7.5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>
        <f>'p1'!D20+'p2'!D20+'p3'!D20+'p4'!D20+'p5'!D20+'p6'!D20+'p7'!D20+'p8'!D20+'p9'!D20+'p10'!D20+'p11'!D20+'p12'!D20+'p13'!D20+'p14'!D20+'p15'!D20+'p16'!D20+'p17'!D20+'p18'!D20+'p19'!D20+'p20'!D20+'p21'!D20+'p22'!D20+'p23'!D20+'p24'!D20+'p25'!D20+'p26'!D20+'p27'!D20+'p28'!D20+'p29'!D20+'p30'!D20</f>
        <v>0</v>
      </c>
      <c r="E20" s="5">
        <v>2.2999999999999998</v>
      </c>
      <c r="F20" s="20">
        <f t="shared" si="1"/>
        <v>0</v>
      </c>
      <c r="G20" s="2">
        <v>54</v>
      </c>
      <c r="H20" s="4" t="s">
        <v>277</v>
      </c>
      <c r="I20" s="2" t="s">
        <v>9</v>
      </c>
      <c r="J20" s="2">
        <f>'p1'!J20+'p2'!J20+'p3'!J20+'p4'!J20+'p5'!J20+'p6'!J20+'p7'!J20+'p8'!J20+'p9'!J20+'p10'!J20+'p11'!J20+'p12'!J20+'p13'!J20+'p14'!J20+'p15'!J20+'p16'!J20+'p17'!J20+'p18'!J20+'p19'!J20+'p20'!J20+'p21'!J20+'p22'!J20+'p23'!J20+'p24'!J20+'p25'!J20+'p26'!J20+'p27'!J20+'p28'!J20+'p29'!J20+'p30'!J20</f>
        <v>0</v>
      </c>
      <c r="K20" s="5">
        <v>8.5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>
        <f>'p1'!D21+'p2'!D21+'p3'!D21+'p4'!D21+'p5'!D21+'p6'!D21+'p7'!D21+'p8'!D21+'p9'!D21+'p10'!D21+'p11'!D21+'p12'!D21+'p13'!D21+'p14'!D21+'p15'!D21+'p16'!D21+'p17'!D21+'p18'!D21+'p19'!D21+'p20'!D21+'p21'!D21+'p22'!D21+'p23'!D21+'p24'!D21+'p25'!D21+'p26'!D21+'p27'!D21+'p28'!D21+'p29'!D21+'p30'!D21</f>
        <v>0</v>
      </c>
      <c r="E21" s="5">
        <v>1.25</v>
      </c>
      <c r="F21" s="20">
        <f t="shared" si="1"/>
        <v>0</v>
      </c>
      <c r="G21" s="2">
        <v>55</v>
      </c>
      <c r="H21" s="4" t="s">
        <v>106</v>
      </c>
      <c r="I21" s="2" t="s">
        <v>9</v>
      </c>
      <c r="J21" s="2">
        <f>'p1'!J21+'p2'!J21+'p3'!J21+'p4'!J21+'p5'!J21+'p6'!J21+'p7'!J21+'p8'!J21+'p9'!J21+'p10'!J21+'p11'!J21+'p12'!J21+'p13'!J21+'p14'!J21+'p15'!J21+'p16'!J21+'p17'!J21+'p18'!J21+'p19'!J21+'p20'!J21+'p21'!J21+'p22'!J21+'p23'!J21+'p24'!J21+'p25'!J21+'p26'!J21+'p27'!J21+'p28'!J21+'p29'!J21+'p30'!J21</f>
        <v>0</v>
      </c>
      <c r="K21" s="5">
        <v>7.5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>
        <f>'p1'!D22+'p2'!D22+'p3'!D22+'p4'!D22+'p5'!D22+'p6'!D22+'p7'!D22+'p8'!D22+'p9'!D22+'p10'!D22+'p11'!D22+'p12'!D22+'p13'!D22+'p14'!D22+'p15'!D22+'p16'!D22+'p17'!D22+'p18'!D22+'p19'!D22+'p20'!D22+'p21'!D22+'p22'!D22+'p23'!D22+'p24'!D22+'p25'!D22+'p26'!D22+'p27'!D22+'p28'!D22+'p29'!D22+'p30'!D22</f>
        <v>0</v>
      </c>
      <c r="E22" s="5">
        <v>5.5</v>
      </c>
      <c r="F22" s="20">
        <f t="shared" si="1"/>
        <v>0</v>
      </c>
      <c r="G22" s="2">
        <v>56</v>
      </c>
      <c r="H22" s="4" t="s">
        <v>278</v>
      </c>
      <c r="I22" s="2" t="s">
        <v>9</v>
      </c>
      <c r="J22" s="2">
        <f>'p1'!J22+'p2'!J22+'p3'!J22+'p4'!J22+'p5'!J22+'p6'!J22+'p7'!J22+'p8'!J22+'p9'!J22+'p10'!J22+'p11'!J22+'p12'!J22+'p13'!J22+'p14'!J22+'p15'!J22+'p16'!J22+'p17'!J22+'p18'!J22+'p19'!J22+'p20'!J22+'p21'!J22+'p22'!J22+'p23'!J22+'p24'!J22+'p25'!J22+'p26'!J22+'p27'!J22+'p28'!J22+'p29'!J22+'p30'!J22</f>
        <v>0</v>
      </c>
      <c r="K22" s="5">
        <v>2.1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>
        <f>'p1'!D23+'p2'!D23+'p3'!D23+'p4'!D23+'p5'!D23+'p6'!D23+'p7'!D23+'p8'!D23+'p9'!D23+'p10'!D23+'p11'!D23+'p12'!D23+'p13'!D23+'p14'!D23+'p15'!D23+'p16'!D23+'p17'!D23+'p18'!D23+'p19'!D23+'p20'!D23+'p21'!D23+'p22'!D23+'p23'!D23+'p24'!D23+'p25'!D23+'p26'!D23+'p27'!D23+'p28'!D23+'p29'!D23+'p30'!D23</f>
        <v>0</v>
      </c>
      <c r="E23" s="5">
        <v>6.25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2">
        <f>'p1'!J23+'p2'!J23+'p3'!J23+'p4'!J23+'p5'!J23+'p6'!J23+'p7'!J23+'p8'!J23+'p9'!J23+'p10'!J23+'p11'!J23+'p12'!J23+'p13'!J23+'p14'!J23+'p15'!J23+'p16'!J23+'p17'!J23+'p18'!J23+'p19'!J23+'p20'!J23+'p21'!J23+'p22'!J23+'p23'!J23+'p24'!J23+'p25'!J23+'p26'!J23+'p27'!J23+'p28'!J23+'p29'!J23+'p30'!J23</f>
        <v>0</v>
      </c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>
        <f>'p1'!D24+'p2'!D24+'p3'!D24+'p4'!D24+'p5'!D24+'p6'!D24+'p7'!D24+'p8'!D24+'p9'!D24+'p10'!D24+'p11'!D24+'p12'!D24+'p13'!D24+'p14'!D24+'p15'!D24+'p16'!D24+'p17'!D24+'p18'!D24+'p19'!D24+'p20'!D24+'p21'!D24+'p22'!D24+'p23'!D24+'p24'!D24+'p25'!D24+'p26'!D24+'p27'!D24+'p28'!D24+'p29'!D24+'p30'!D24</f>
        <v>0</v>
      </c>
      <c r="E24" s="5">
        <v>5.9</v>
      </c>
      <c r="F24" s="20">
        <f t="shared" si="1"/>
        <v>0</v>
      </c>
      <c r="G24" s="2">
        <v>58</v>
      </c>
      <c r="H24" s="4" t="s">
        <v>279</v>
      </c>
      <c r="I24" s="2" t="s">
        <v>9</v>
      </c>
      <c r="J24" s="2">
        <f>'p1'!J24+'p2'!J24+'p3'!J24+'p4'!J24+'p5'!J24+'p6'!J24+'p7'!J24+'p8'!J24+'p9'!J24+'p10'!J24+'p11'!J24+'p12'!J24+'p13'!J24+'p14'!J24+'p15'!J24+'p16'!J24+'p17'!J24+'p18'!J24+'p19'!J24+'p20'!J24+'p21'!J24+'p22'!J24+'p23'!J24+'p24'!J24+'p25'!J24+'p26'!J24+'p27'!J24+'p28'!J24+'p29'!J24+'p30'!J24</f>
        <v>0</v>
      </c>
      <c r="K24" s="2">
        <v>2.1</v>
      </c>
      <c r="L24" s="5">
        <f t="shared" si="0"/>
        <v>0</v>
      </c>
    </row>
    <row r="25" spans="1:12" ht="13.15" customHeight="1">
      <c r="A25" s="2">
        <v>21</v>
      </c>
      <c r="B25" s="4" t="s">
        <v>96</v>
      </c>
      <c r="C25" s="2" t="s">
        <v>9</v>
      </c>
      <c r="D25" s="2">
        <f>'p1'!D25+'p2'!D25+'p3'!D25+'p4'!D25+'p5'!D25+'p6'!D25+'p7'!D25+'p8'!D25+'p9'!D25+'p10'!D25+'p11'!D25+'p12'!D25+'p13'!D25+'p14'!D25+'p15'!D25+'p16'!D25+'p17'!D25+'p18'!D25+'p19'!D25+'p20'!D25+'p21'!D25+'p22'!D25+'p23'!D25+'p24'!D25+'p25'!D25+'p26'!D25+'p27'!D25+'p28'!D25+'p29'!D25+'p30'!D25</f>
        <v>0</v>
      </c>
      <c r="E25" s="5">
        <v>6.6</v>
      </c>
      <c r="F25" s="20">
        <f t="shared" si="1"/>
        <v>0</v>
      </c>
      <c r="G25" s="2">
        <v>59</v>
      </c>
      <c r="H25" s="4" t="s">
        <v>280</v>
      </c>
      <c r="I25" s="2" t="s">
        <v>9</v>
      </c>
      <c r="J25" s="2">
        <f>'p1'!J25+'p2'!J25+'p3'!J25+'p4'!J25+'p5'!J25+'p6'!J25+'p7'!J25+'p8'!J25+'p9'!J25+'p10'!J25+'p11'!J25+'p12'!J25+'p13'!J25+'p14'!J25+'p15'!J25+'p16'!J25+'p17'!J25+'p18'!J25+'p19'!J25+'p20'!J25+'p21'!J25+'p22'!J25+'p23'!J25+'p24'!J25+'p25'!J25+'p26'!J25+'p27'!J25+'p28'!J25+'p29'!J25+'p30'!J25</f>
        <v>0</v>
      </c>
      <c r="K25" s="2">
        <v>8.75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>
        <f>'p1'!D26+'p2'!D26+'p3'!D26+'p4'!D26+'p5'!D26+'p6'!D26+'p7'!D26+'p8'!D26+'p9'!D26+'p10'!D26+'p11'!D26+'p12'!D26+'p13'!D26+'p14'!D26+'p15'!D26+'p16'!D26+'p17'!D26+'p18'!D26+'p19'!D26+'p20'!D26+'p21'!D26+'p22'!D26+'p23'!D26+'p24'!D26+'p25'!D26+'p26'!D26+'p27'!D26+'p28'!D26+'p29'!D26+'p30'!D26</f>
        <v>0</v>
      </c>
      <c r="E26" s="5">
        <v>5.2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2">
        <f>'p1'!J26+'p2'!J26+'p3'!J26+'p4'!J26+'p5'!J26+'p6'!J26+'p7'!J26+'p8'!J26+'p9'!J26+'p10'!J26+'p11'!J26+'p12'!J26+'p13'!J26+'p14'!J26+'p15'!J26+'p16'!J26+'p17'!J26+'p18'!J26+'p19'!J26+'p20'!J26+'p21'!J26+'p22'!J26+'p23'!J26+'p24'!J26+'p25'!J26+'p26'!J26+'p27'!J26+'p28'!J26+'p29'!J26+'p30'!J26</f>
        <v>0</v>
      </c>
      <c r="K26" s="2">
        <v>5.75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>
        <f>'p1'!D27+'p2'!D27+'p3'!D27+'p4'!D27+'p5'!D27+'p6'!D27+'p7'!D27+'p8'!D27+'p9'!D27+'p10'!D27+'p11'!D27+'p12'!D27+'p13'!D27+'p14'!D27+'p15'!D27+'p16'!D27+'p17'!D27+'p18'!D27+'p19'!D27+'p20'!D27+'p21'!D27+'p22'!D27+'p23'!D27+'p24'!D27+'p25'!D27+'p26'!D27+'p27'!D27+'p28'!D27+'p29'!D27+'p30'!D27</f>
        <v>0</v>
      </c>
      <c r="E27" s="5">
        <v>4.25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2">
        <f>'p1'!J27+'p2'!J27+'p3'!J27+'p4'!J27+'p5'!J27+'p6'!J27+'p7'!J27+'p8'!J27+'p9'!J27+'p10'!J27+'p11'!J27+'p12'!J27+'p13'!J27+'p14'!J27+'p15'!J27+'p16'!J27+'p17'!J27+'p18'!J27+'p19'!J27+'p20'!J27+'p21'!J27+'p22'!J27+'p23'!J27+'p24'!J27+'p25'!J27+'p26'!J27+'p27'!J27+'p28'!J27+'p29'!J27+'p30'!J27</f>
        <v>0</v>
      </c>
      <c r="K27" s="2">
        <v>3.35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>
        <f>'p1'!D28+'p2'!D28+'p3'!D28+'p4'!D28+'p5'!D28+'p6'!D28+'p7'!D28+'p8'!D28+'p9'!D28+'p10'!D28+'p11'!D28+'p12'!D28+'p13'!D28+'p14'!D28+'p15'!D28+'p16'!D28+'p17'!D28+'p18'!D28+'p19'!D28+'p20'!D28+'p21'!D28+'p22'!D28+'p23'!D28+'p24'!D28+'p25'!D28+'p26'!D28+'p27'!D28+'p28'!D28+'p29'!D28+'p30'!D28</f>
        <v>0</v>
      </c>
      <c r="E28" s="5">
        <v>4.75</v>
      </c>
      <c r="F28" s="20">
        <f t="shared" si="1"/>
        <v>0</v>
      </c>
      <c r="G28" s="2">
        <v>62</v>
      </c>
      <c r="H28" s="4" t="s">
        <v>281</v>
      </c>
      <c r="I28" s="2" t="s">
        <v>9</v>
      </c>
      <c r="J28" s="2">
        <f>'p1'!J28+'p2'!J28+'p3'!J28+'p4'!J28+'p5'!J28+'p6'!J28+'p7'!J28+'p8'!J28+'p9'!J28+'p10'!J28+'p11'!J28+'p12'!J28+'p13'!J28+'p14'!J28+'p15'!J28+'p16'!J28+'p17'!J28+'p18'!J28+'p19'!J28+'p20'!J28+'p21'!J28+'p22'!J28+'p23'!J28+'p24'!J28+'p25'!J28+'p26'!J28+'p27'!J28+'p28'!J28+'p29'!J28+'p30'!J28</f>
        <v>0</v>
      </c>
      <c r="K28" s="2">
        <v>4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>
        <f>'p1'!D29+'p2'!D29+'p3'!D29+'p4'!D29+'p5'!D29+'p6'!D29+'p7'!D29+'p8'!D29+'p9'!D29+'p10'!D29+'p11'!D29+'p12'!D29+'p13'!D29+'p14'!D29+'p15'!D29+'p16'!D29+'p17'!D29+'p18'!D29+'p19'!D29+'p20'!D29+'p21'!D29+'p22'!D29+'p23'!D29+'p24'!D29+'p25'!D29+'p26'!D29+'p27'!D29+'p28'!D29+'p29'!D29+'p30'!D29</f>
        <v>0</v>
      </c>
      <c r="E29" s="5">
        <v>5.5</v>
      </c>
      <c r="F29" s="20">
        <f t="shared" si="1"/>
        <v>0</v>
      </c>
      <c r="G29" s="2">
        <v>63</v>
      </c>
      <c r="H29" s="4" t="s">
        <v>140</v>
      </c>
      <c r="I29" s="2" t="s">
        <v>9</v>
      </c>
      <c r="J29" s="2">
        <f>'p1'!J29+'p2'!J29+'p3'!J29+'p4'!J29+'p5'!J29+'p6'!J29+'p7'!J29+'p8'!J29+'p9'!J29+'p10'!J29+'p11'!J29+'p12'!J29+'p13'!J29+'p14'!J29+'p15'!J29+'p16'!J29+'p17'!J29+'p18'!J29+'p19'!J29+'p20'!J29+'p21'!J29+'p22'!J29+'p23'!J29+'p24'!J29+'p25'!J29+'p26'!J29+'p27'!J29+'p28'!J29+'p29'!J29+'p30'!J29</f>
        <v>0</v>
      </c>
      <c r="K29" s="2">
        <v>7.5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>
        <f>'p1'!D30+'p2'!D30+'p3'!D30+'p4'!D30+'p5'!D30+'p6'!D30+'p7'!D30+'p8'!D30+'p9'!D30+'p10'!D30+'p11'!D30+'p12'!D30+'p13'!D30+'p14'!D30+'p15'!D30+'p16'!D30+'p17'!D30+'p18'!D30+'p19'!D30+'p20'!D30+'p21'!D30+'p22'!D30+'p23'!D30+'p24'!D30+'p25'!D30+'p26'!D30+'p27'!D30+'p28'!D30+'p29'!D30+'p30'!D30</f>
        <v>45</v>
      </c>
      <c r="E30" s="5">
        <v>4.4000000000000004</v>
      </c>
      <c r="F30" s="5">
        <f t="shared" si="1"/>
        <v>198.00000000000003</v>
      </c>
      <c r="G30" s="2">
        <v>64</v>
      </c>
      <c r="H30" s="4" t="s">
        <v>282</v>
      </c>
      <c r="I30" s="2" t="s">
        <v>9</v>
      </c>
      <c r="J30" s="2">
        <f>'p1'!J30+'p2'!J30+'p3'!J30+'p4'!J30+'p5'!J30+'p6'!J30+'p7'!J30+'p8'!J30+'p9'!J30+'p10'!J30+'p11'!J30+'p12'!J30+'p13'!J30+'p14'!J30+'p15'!J30+'p16'!J30+'p17'!J30+'p18'!J30+'p19'!J30+'p20'!J30+'p21'!J30+'p22'!J30+'p23'!J30+'p24'!J30+'p25'!J30+'p26'!J30+'p27'!J30+'p28'!J30+'p29'!J30+'p30'!J30</f>
        <v>0</v>
      </c>
      <c r="K30" s="2">
        <v>4.25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>
        <f>'p1'!D31+'p2'!D31+'p3'!D31+'p4'!D31+'p5'!D31+'p6'!D31+'p7'!D31+'p8'!D31+'p9'!D31+'p10'!D31+'p11'!D31+'p12'!D31+'p13'!D31+'p14'!D31+'p15'!D31+'p16'!D31+'p17'!D31+'p18'!D31+'p19'!D31+'p20'!D31+'p21'!D31+'p22'!D31+'p23'!D31+'p24'!D31+'p25'!D31+'p26'!D31+'p27'!D31+'p28'!D31+'p29'!D31+'p30'!D31</f>
        <v>0</v>
      </c>
      <c r="E31" s="5">
        <v>5.75</v>
      </c>
      <c r="F31" s="5">
        <f t="shared" si="1"/>
        <v>0</v>
      </c>
      <c r="G31" s="2">
        <v>65</v>
      </c>
      <c r="H31" s="4" t="s">
        <v>283</v>
      </c>
      <c r="I31" s="2" t="s">
        <v>9</v>
      </c>
      <c r="J31" s="2">
        <f>'p1'!J31+'p2'!J31+'p3'!J31+'p4'!J31+'p5'!J31+'p6'!J31+'p7'!J31+'p8'!J31+'p9'!J31+'p10'!J31+'p11'!J31+'p12'!J31+'p13'!J31+'p14'!J31+'p15'!J31+'p16'!J31+'p17'!J31+'p18'!J31+'p19'!J31+'p20'!J31+'p21'!J31+'p22'!J31+'p23'!J31+'p24'!J31+'p25'!J31+'p26'!J31+'p27'!J31+'p28'!J31+'p29'!J31+'p30'!J31</f>
        <v>0</v>
      </c>
      <c r="K31" s="2">
        <v>3.4</v>
      </c>
      <c r="L31" s="5">
        <f t="shared" si="0"/>
        <v>0</v>
      </c>
    </row>
    <row r="32" spans="1:12" ht="13.15" customHeight="1">
      <c r="A32" s="2">
        <v>28</v>
      </c>
      <c r="B32" s="4" t="s">
        <v>104</v>
      </c>
      <c r="C32" s="2" t="s">
        <v>9</v>
      </c>
      <c r="D32" s="2">
        <f>'p1'!D32+'p2'!D32+'p3'!D32+'p4'!D32+'p5'!D32+'p6'!D32+'p7'!D32+'p8'!D32+'p9'!D32+'p10'!D32+'p11'!D32+'p12'!D32+'p13'!D32+'p14'!D32+'p15'!D32+'p16'!D32+'p17'!D32+'p18'!D32+'p19'!D32+'p20'!D32+'p21'!D32+'p22'!D32+'p23'!D32+'p24'!D32+'p25'!D32+'p26'!D32+'p27'!D32+'p28'!D32+'p29'!D32+'p30'!D32</f>
        <v>0</v>
      </c>
      <c r="E32" s="5">
        <v>7.5</v>
      </c>
      <c r="F32" s="20">
        <f t="shared" si="1"/>
        <v>0</v>
      </c>
      <c r="G32" s="2">
        <v>66</v>
      </c>
      <c r="H32" s="4" t="s">
        <v>284</v>
      </c>
      <c r="I32" s="2" t="s">
        <v>9</v>
      </c>
      <c r="J32" s="2">
        <f>'p1'!J32+'p2'!J32+'p3'!J32+'p4'!J32+'p5'!J32+'p6'!J32+'p7'!J32+'p8'!J32+'p9'!J32+'p10'!J32+'p11'!J32+'p12'!J32+'p13'!J32+'p14'!J32+'p15'!J32+'p16'!J32+'p17'!J32+'p18'!J32+'p19'!J32+'p20'!J32+'p21'!J32+'p22'!J32+'p23'!J32+'p24'!J32+'p25'!J32+'p26'!J32+'p27'!J32+'p28'!J32+'p29'!J32+'p30'!J32</f>
        <v>0</v>
      </c>
      <c r="K32" s="2">
        <v>5.75</v>
      </c>
      <c r="L32" s="5">
        <f t="shared" si="0"/>
        <v>0</v>
      </c>
    </row>
    <row r="33" spans="1:12" ht="13.15" customHeight="1">
      <c r="A33" s="2">
        <v>29</v>
      </c>
      <c r="B33" s="4" t="s">
        <v>285</v>
      </c>
      <c r="C33" s="2" t="s">
        <v>9</v>
      </c>
      <c r="D33" s="2">
        <f>'p1'!D33+'p2'!D33+'p3'!D33+'p4'!D33+'p5'!D33+'p6'!D33+'p7'!D33+'p8'!D33+'p9'!D33+'p10'!D33+'p11'!D33+'p12'!D33+'p13'!D33+'p14'!D33+'p15'!D33+'p16'!D33+'p17'!D33+'p18'!D33+'p19'!D33+'p20'!D33+'p21'!D33+'p22'!D33+'p23'!D33+'p24'!D33+'p25'!D33+'p26'!D33+'p27'!D33+'p28'!D33+'p29'!D33+'p30'!D33</f>
        <v>0</v>
      </c>
      <c r="E33" s="5">
        <v>5.3</v>
      </c>
      <c r="F33" s="5">
        <f t="shared" si="1"/>
        <v>0</v>
      </c>
      <c r="G33" s="2">
        <v>67</v>
      </c>
      <c r="H33" s="4" t="s">
        <v>286</v>
      </c>
      <c r="I33" s="2" t="s">
        <v>9</v>
      </c>
      <c r="J33" s="2">
        <f>'p1'!J33+'p2'!J33+'p3'!J33+'p4'!J33+'p5'!J33+'p6'!J33+'p7'!J33+'p8'!J33+'p9'!J33+'p10'!J33+'p11'!J33+'p12'!J33+'p13'!J33+'p14'!J33+'p15'!J33+'p16'!J33+'p17'!J33+'p18'!J33+'p19'!J33+'p20'!J33+'p21'!J33+'p22'!J33+'p23'!J33+'p24'!J33+'p25'!J33+'p26'!J33+'p27'!J33+'p28'!J33+'p29'!J33+'p30'!J33</f>
        <v>0</v>
      </c>
      <c r="K33" s="2">
        <v>2.2000000000000002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>
        <f>'p1'!D34+'p2'!D34+'p3'!D34+'p4'!D34+'p5'!D34+'p6'!D34+'p7'!D34+'p8'!D34+'p9'!D34+'p10'!D34+'p11'!D34+'p12'!D34+'p13'!D34+'p14'!D34+'p15'!D34+'p16'!D34+'p17'!D34+'p18'!D34+'p19'!D34+'p20'!D34+'p21'!D34+'p22'!D34+'p23'!D34+'p24'!D34+'p25'!D34+'p26'!D34+'p27'!D34+'p28'!D34+'p29'!D34+'p30'!D34</f>
        <v>0</v>
      </c>
      <c r="E34" s="5">
        <v>5.75</v>
      </c>
      <c r="F34" s="5">
        <f t="shared" si="1"/>
        <v>0</v>
      </c>
      <c r="G34" s="2">
        <v>68</v>
      </c>
      <c r="H34" s="4" t="s">
        <v>287</v>
      </c>
      <c r="I34" s="2" t="s">
        <v>9</v>
      </c>
      <c r="J34" s="2">
        <f>'p1'!J34+'p2'!J34+'p3'!J34+'p4'!J34+'p5'!J34+'p6'!J34+'p7'!J34+'p8'!J34+'p9'!J34+'p10'!J34+'p11'!J34+'p12'!J34+'p13'!J34+'p14'!J34+'p15'!J34+'p16'!J34+'p17'!J34+'p18'!J34+'p19'!J34+'p20'!J34+'p21'!J34+'p22'!J34+'p23'!J34+'p24'!J34+'p25'!J34+'p26'!J34+'p27'!J34+'p28'!J34+'p29'!J34+'p30'!J34</f>
        <v>0</v>
      </c>
      <c r="K34" s="2">
        <v>3.4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>
        <f>'p1'!D35+'p2'!D35+'p3'!D35+'p4'!D35+'p5'!D35+'p6'!D35+'p7'!D35+'p8'!D35+'p9'!D35+'p10'!D35+'p11'!D35+'p12'!D35+'p13'!D35+'p14'!D35+'p15'!D35+'p16'!D35+'p17'!D35+'p18'!D35+'p19'!D35+'p20'!D35+'p21'!D35+'p22'!D35+'p23'!D35+'p24'!D35+'p25'!D35+'p26'!D35+'p27'!D35+'p28'!D35+'p29'!D35+'p30'!D35</f>
        <v>0</v>
      </c>
      <c r="E35" s="5">
        <v>5.3</v>
      </c>
      <c r="F35" s="20">
        <f t="shared" si="1"/>
        <v>0</v>
      </c>
      <c r="G35" s="2">
        <v>69</v>
      </c>
      <c r="H35" s="4" t="s">
        <v>288</v>
      </c>
      <c r="I35" s="2" t="s">
        <v>9</v>
      </c>
      <c r="J35" s="2">
        <f>'p1'!J35+'p2'!J35+'p3'!J35+'p4'!J35+'p5'!J35+'p6'!J35+'p7'!J35+'p8'!J35+'p9'!J35+'p10'!J35+'p11'!J35+'p12'!J35+'p13'!J35+'p14'!J35+'p15'!J35+'p16'!J35+'p17'!J35+'p18'!J35+'p19'!J35+'p20'!J35+'p21'!J35+'p22'!J35+'p23'!J35+'p24'!J35+'p25'!J35+'p26'!J35+'p27'!J35+'p28'!J35+'p29'!J35+'p30'!J35</f>
        <v>0</v>
      </c>
      <c r="K35" s="2">
        <v>3.4</v>
      </c>
      <c r="L35" s="5">
        <f t="shared" si="0"/>
        <v>0</v>
      </c>
    </row>
    <row r="36" spans="1:12" ht="13.15" customHeight="1">
      <c r="A36" s="2">
        <v>32</v>
      </c>
      <c r="B36" s="4" t="s">
        <v>74</v>
      </c>
      <c r="C36" s="2" t="s">
        <v>9</v>
      </c>
      <c r="D36" s="2">
        <f>'p1'!D36+'p2'!D36+'p3'!D36+'p4'!D36+'p5'!D36+'p6'!D36+'p7'!D36+'p8'!D36+'p9'!D36+'p10'!D36+'p11'!D36+'p12'!D36+'p13'!D36+'p14'!D36+'p15'!D36+'p16'!D36+'p17'!D36+'p18'!D36+'p19'!D36+'p20'!D36+'p21'!D36+'p22'!D36+'p23'!D36+'p24'!D36+'p25'!D36+'p26'!D36+'p27'!D36+'p28'!D36+'p29'!D36+'p30'!D36</f>
        <v>0</v>
      </c>
      <c r="E36" s="2">
        <v>2.2999999999999998</v>
      </c>
      <c r="F36" s="20">
        <f t="shared" si="1"/>
        <v>0</v>
      </c>
      <c r="G36" s="2">
        <v>70</v>
      </c>
      <c r="H36" s="4" t="s">
        <v>289</v>
      </c>
      <c r="I36" s="2" t="s">
        <v>9</v>
      </c>
      <c r="J36" s="2">
        <f>'p1'!J36+'p2'!J36+'p3'!J36+'p4'!J36+'p5'!J36+'p6'!J36+'p7'!J36+'p8'!J36+'p9'!J36+'p10'!J36+'p11'!J36+'p12'!J36+'p13'!J36+'p14'!J36+'p15'!J36+'p16'!J36+'p17'!J36+'p18'!J36+'p19'!J36+'p20'!J36+'p21'!J36+'p22'!J36+'p23'!J36+'p24'!J36+'p25'!J36+'p26'!J36+'p27'!J36+'p28'!J36+'p29'!J36+'p30'!J36</f>
        <v>0</v>
      </c>
      <c r="K36" s="2">
        <v>34.25</v>
      </c>
      <c r="L36" s="5">
        <f t="shared" si="0"/>
        <v>0</v>
      </c>
    </row>
    <row r="37" spans="1:12" ht="13.15" customHeight="1">
      <c r="A37" s="2">
        <v>33</v>
      </c>
      <c r="B37" s="4" t="s">
        <v>76</v>
      </c>
      <c r="C37" s="2" t="s">
        <v>9</v>
      </c>
      <c r="D37" s="2">
        <f>'p1'!D37+'p2'!D37+'p3'!D37+'p4'!D37+'p5'!D37+'p6'!D37+'p7'!D37+'p8'!D37+'p9'!D37+'p10'!D37+'p11'!D37+'p12'!D37+'p13'!D37+'p14'!D37+'p15'!D37+'p16'!D37+'p17'!D37+'p18'!D37+'p19'!D37+'p20'!D37+'p21'!D37+'p22'!D37+'p23'!D37+'p24'!D37+'p25'!D37+'p26'!D37+'p27'!D37+'p28'!D37+'p29'!D37+'p30'!D37</f>
        <v>0</v>
      </c>
      <c r="E37" s="2">
        <v>3.25</v>
      </c>
      <c r="F37" s="20">
        <f t="shared" si="1"/>
        <v>0</v>
      </c>
      <c r="G37" s="2">
        <v>71</v>
      </c>
      <c r="H37" s="4" t="s">
        <v>290</v>
      </c>
      <c r="I37" s="2" t="s">
        <v>9</v>
      </c>
      <c r="J37" s="2">
        <f>'p1'!J37+'p2'!J37+'p3'!J37+'p4'!J37+'p5'!J37+'p6'!J37+'p7'!J37+'p8'!J37+'p9'!J37+'p10'!J37+'p11'!J37+'p12'!J37+'p13'!J37+'p14'!J37+'p15'!J37+'p16'!J37+'p17'!J37+'p18'!J37+'p19'!J37+'p20'!J37+'p21'!J37+'p22'!J37+'p23'!J37+'p24'!J37+'p25'!J37+'p26'!J37+'p27'!J37+'p28'!J37+'p29'!J37+'p30'!J37</f>
        <v>0</v>
      </c>
      <c r="K37" s="2">
        <v>3.75</v>
      </c>
      <c r="L37" s="5">
        <f t="shared" si="0"/>
        <v>0</v>
      </c>
    </row>
    <row r="38" spans="1:12" ht="13.15" customHeight="1">
      <c r="A38" s="2">
        <v>34</v>
      </c>
      <c r="B38" s="4" t="s">
        <v>78</v>
      </c>
      <c r="C38" s="2" t="s">
        <v>9</v>
      </c>
      <c r="D38" s="2">
        <f>'p1'!D38+'p2'!D38+'p3'!D38+'p4'!D38+'p5'!D38+'p6'!D38+'p7'!D38+'p8'!D38+'p9'!D38+'p10'!D38+'p11'!D38+'p12'!D38+'p13'!D38+'p14'!D38+'p15'!D38+'p16'!D38+'p17'!D38+'p18'!D38+'p19'!D38+'p20'!D38+'p21'!D38+'p22'!D38+'p23'!D38+'p24'!D38+'p25'!D38+'p26'!D38+'p27'!D38+'p28'!D38+'p29'!D38+'p30'!D38</f>
        <v>0</v>
      </c>
      <c r="E38" s="2">
        <v>6.25</v>
      </c>
      <c r="F38" s="20">
        <f t="shared" si="1"/>
        <v>0</v>
      </c>
      <c r="G38" s="2">
        <v>72</v>
      </c>
      <c r="H38" s="4" t="s">
        <v>291</v>
      </c>
      <c r="I38" s="2" t="s">
        <v>9</v>
      </c>
      <c r="J38" s="2">
        <f>'p1'!J38+'p2'!J38+'p3'!J38+'p4'!J38+'p5'!J38+'p6'!J38+'p7'!J38+'p8'!J38+'p9'!J38+'p10'!J38+'p11'!J38+'p12'!J38+'p13'!J38+'p14'!J38+'p15'!J38+'p16'!J38+'p17'!J38+'p18'!J38+'p19'!J38+'p20'!J38+'p21'!J38+'p22'!J38+'p23'!J38+'p24'!J38+'p25'!J38+'p26'!J38+'p27'!J38+'p28'!J38+'p29'!J38+'p30'!J38</f>
        <v>0</v>
      </c>
      <c r="K38" s="2">
        <v>6.25</v>
      </c>
      <c r="L38" s="5">
        <f t="shared" si="0"/>
        <v>0</v>
      </c>
    </row>
    <row r="39" spans="1:12" ht="13.15" customHeight="1">
      <c r="A39" s="2">
        <v>35</v>
      </c>
      <c r="B39" s="4" t="s">
        <v>80</v>
      </c>
      <c r="C39" s="2" t="s">
        <v>9</v>
      </c>
      <c r="D39" s="2">
        <f>'p1'!D39+'p2'!D39+'p3'!D39+'p4'!D39+'p5'!D39+'p6'!D39+'p7'!D39+'p8'!D39+'p9'!D39+'p10'!D39+'p11'!D39+'p12'!D39+'p13'!D39+'p14'!D39+'p15'!D39+'p16'!D39+'p17'!D39+'p18'!D39+'p19'!D39+'p20'!D39+'p21'!D39+'p22'!D39+'p23'!D39+'p24'!D39+'p25'!D39+'p26'!D39+'p27'!D39+'p28'!D39+'p29'!D39+'p30'!D39</f>
        <v>0</v>
      </c>
      <c r="E39" s="2">
        <v>3.75</v>
      </c>
      <c r="F39" s="20">
        <f t="shared" si="1"/>
        <v>0</v>
      </c>
      <c r="G39" s="2">
        <v>73</v>
      </c>
      <c r="H39" s="4" t="s">
        <v>111</v>
      </c>
      <c r="I39" s="2" t="s">
        <v>9</v>
      </c>
      <c r="J39" s="2">
        <f>'p1'!J39+'p2'!J39+'p3'!J39+'p4'!J39+'p5'!J39+'p6'!J39+'p7'!J39+'p8'!J39+'p9'!J39+'p10'!J39+'p11'!J39+'p12'!J39+'p13'!J39+'p14'!J39+'p15'!J39+'p16'!J39+'p17'!J39+'p18'!J39+'p19'!J39+'p20'!J39+'p21'!J39+'p22'!J39+'p23'!J39+'p24'!J39+'p25'!J39+'p26'!J39+'p27'!J39+'p28'!J39+'p29'!J39+'p30'!J39</f>
        <v>0</v>
      </c>
      <c r="K39" s="2">
        <v>3.2</v>
      </c>
      <c r="L39" s="5">
        <f t="shared" si="0"/>
        <v>0</v>
      </c>
    </row>
    <row r="40" spans="1:12" ht="13.15" customHeight="1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261.5</v>
      </c>
    </row>
    <row r="42" spans="1:12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>
  <dimension ref="A1:L42"/>
  <sheetViews>
    <sheetView workbookViewId="0">
      <selection activeCell="G25" sqref="G25"/>
    </sheetView>
  </sheetViews>
  <sheetFormatPr defaultRowHeight="13.15" customHeight="1"/>
  <cols>
    <col min="1" max="1" width="4.7109375" style="17" customWidth="1"/>
    <col min="2" max="2" width="23.7109375" customWidth="1"/>
    <col min="3" max="3" width="6.42578125" customWidth="1"/>
    <col min="4" max="4" width="8.140625" customWidth="1"/>
    <col min="5" max="5" width="8.42578125" customWidth="1"/>
    <col min="6" max="6" width="8.85546875" style="17"/>
    <col min="7" max="7" width="5.28515625" style="17" customWidth="1"/>
    <col min="8" max="8" width="24.5703125" customWidth="1"/>
    <col min="9" max="9" width="6.42578125" customWidth="1"/>
    <col min="10" max="10" width="7.42578125" customWidth="1"/>
    <col min="11" max="11" width="8.28515625" customWidth="1"/>
    <col min="12" max="12" width="8.28515625" style="17" customWidth="1"/>
  </cols>
  <sheetData>
    <row r="1" spans="1:12" ht="13.15" customHeight="1">
      <c r="A1" s="30" t="s">
        <v>262</v>
      </c>
      <c r="B1" s="30"/>
      <c r="C1" s="30"/>
      <c r="D1" s="36" t="s">
        <v>263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2.0499999999999998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6.35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1.9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4.45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7.5</v>
      </c>
      <c r="L6" s="5">
        <f t="shared" si="0"/>
        <v>0</v>
      </c>
    </row>
    <row r="7" spans="1:12" ht="13.15" customHeight="1">
      <c r="A7" s="2">
        <v>3</v>
      </c>
      <c r="B7" s="4" t="s">
        <v>264</v>
      </c>
      <c r="C7" s="2" t="s">
        <v>9</v>
      </c>
      <c r="D7" s="2"/>
      <c r="E7" s="5">
        <v>5.5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1.9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6.85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4.75</v>
      </c>
      <c r="F9" s="20">
        <f t="shared" si="1"/>
        <v>0</v>
      </c>
      <c r="G9" s="2">
        <v>43</v>
      </c>
      <c r="H9" s="4" t="s">
        <v>265</v>
      </c>
      <c r="I9" s="2" t="s">
        <v>9</v>
      </c>
      <c r="J9" s="2"/>
      <c r="K9" s="5">
        <v>3.4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5.5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266</v>
      </c>
      <c r="C11" s="2" t="s">
        <v>9</v>
      </c>
      <c r="D11" s="2"/>
      <c r="E11" s="5">
        <v>5.5</v>
      </c>
      <c r="F11" s="20">
        <f t="shared" si="1"/>
        <v>0</v>
      </c>
      <c r="G11" s="2">
        <v>45</v>
      </c>
      <c r="H11" s="4" t="s">
        <v>267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5.7</v>
      </c>
      <c r="F12" s="20">
        <f t="shared" si="1"/>
        <v>0</v>
      </c>
      <c r="G12" s="2">
        <v>46</v>
      </c>
      <c r="H12" s="4" t="s">
        <v>268</v>
      </c>
      <c r="I12" s="2" t="s">
        <v>9</v>
      </c>
      <c r="J12" s="2"/>
      <c r="K12" s="5">
        <v>2.35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5.8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5.65</v>
      </c>
      <c r="F14" s="20">
        <f t="shared" si="1"/>
        <v>0</v>
      </c>
      <c r="G14" s="2">
        <v>48</v>
      </c>
      <c r="H14" s="4" t="s">
        <v>269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128</v>
      </c>
      <c r="C15" s="2" t="s">
        <v>9</v>
      </c>
      <c r="D15" s="2"/>
      <c r="E15" s="5">
        <v>6.3</v>
      </c>
      <c r="F15" s="20">
        <f t="shared" si="1"/>
        <v>0</v>
      </c>
      <c r="G15" s="2">
        <v>49</v>
      </c>
      <c r="H15" s="4" t="s">
        <v>270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271</v>
      </c>
      <c r="C16" s="2" t="s">
        <v>9</v>
      </c>
      <c r="D16" s="2"/>
      <c r="E16" s="5">
        <v>5.8</v>
      </c>
      <c r="F16" s="20">
        <f t="shared" si="1"/>
        <v>0</v>
      </c>
      <c r="G16" s="2">
        <v>50</v>
      </c>
      <c r="H16" s="4" t="s">
        <v>272</v>
      </c>
      <c r="I16" s="2" t="s">
        <v>9</v>
      </c>
      <c r="J16" s="2"/>
      <c r="K16" s="5">
        <v>7.75</v>
      </c>
      <c r="L16" s="5">
        <f t="shared" si="0"/>
        <v>0</v>
      </c>
    </row>
    <row r="17" spans="1:12" ht="13.15" customHeight="1">
      <c r="A17" s="2">
        <v>13</v>
      </c>
      <c r="B17" s="4" t="s">
        <v>273</v>
      </c>
      <c r="C17" s="2" t="s">
        <v>9</v>
      </c>
      <c r="D17" s="2"/>
      <c r="E17" s="5">
        <v>6.3</v>
      </c>
      <c r="F17" s="20">
        <f t="shared" si="1"/>
        <v>0</v>
      </c>
      <c r="G17" s="2">
        <v>51</v>
      </c>
      <c r="H17" s="4" t="s">
        <v>274</v>
      </c>
      <c r="I17" s="2" t="s">
        <v>9</v>
      </c>
      <c r="J17" s="2"/>
      <c r="K17" s="5">
        <v>6.25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4.5999999999999996</v>
      </c>
      <c r="F18" s="20">
        <f t="shared" si="1"/>
        <v>0</v>
      </c>
      <c r="G18" s="2">
        <v>52</v>
      </c>
      <c r="H18" s="4" t="s">
        <v>275</v>
      </c>
      <c r="I18" s="2" t="s">
        <v>9</v>
      </c>
      <c r="J18" s="2"/>
      <c r="K18" s="5">
        <v>6.1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5.0999999999999996</v>
      </c>
      <c r="F19" s="20">
        <f t="shared" si="1"/>
        <v>0</v>
      </c>
      <c r="G19" s="2">
        <v>53</v>
      </c>
      <c r="H19" s="4" t="s">
        <v>276</v>
      </c>
      <c r="I19" s="2" t="s">
        <v>9</v>
      </c>
      <c r="J19" s="2"/>
      <c r="K19" s="5">
        <v>7.5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2.2999999999999998</v>
      </c>
      <c r="F20" s="20">
        <f t="shared" si="1"/>
        <v>0</v>
      </c>
      <c r="G20" s="2">
        <v>54</v>
      </c>
      <c r="H20" s="4" t="s">
        <v>277</v>
      </c>
      <c r="I20" s="2" t="s">
        <v>9</v>
      </c>
      <c r="J20" s="2"/>
      <c r="K20" s="5">
        <v>8.5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1.25</v>
      </c>
      <c r="F21" s="20">
        <f t="shared" si="1"/>
        <v>0</v>
      </c>
      <c r="G21" s="2">
        <v>55</v>
      </c>
      <c r="H21" s="4" t="s">
        <v>106</v>
      </c>
      <c r="I21" s="2" t="s">
        <v>9</v>
      </c>
      <c r="J21" s="2"/>
      <c r="K21" s="5">
        <v>7.5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5.5</v>
      </c>
      <c r="F22" s="20">
        <f t="shared" si="1"/>
        <v>0</v>
      </c>
      <c r="G22" s="2">
        <v>56</v>
      </c>
      <c r="H22" s="4" t="s">
        <v>278</v>
      </c>
      <c r="I22" s="2" t="s">
        <v>9</v>
      </c>
      <c r="J22" s="2"/>
      <c r="K22" s="5">
        <v>2.1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6.25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2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>
        <v>150</v>
      </c>
      <c r="E24" s="5">
        <v>5.9</v>
      </c>
      <c r="F24" s="20">
        <f t="shared" si="1"/>
        <v>885</v>
      </c>
      <c r="G24" s="2">
        <v>58</v>
      </c>
      <c r="H24" s="4" t="s">
        <v>279</v>
      </c>
      <c r="I24" s="2" t="s">
        <v>9</v>
      </c>
      <c r="J24" s="2"/>
      <c r="K24" s="2">
        <v>2.1</v>
      </c>
      <c r="L24" s="5">
        <f t="shared" si="0"/>
        <v>0</v>
      </c>
    </row>
    <row r="25" spans="1:12" ht="13.15" customHeight="1">
      <c r="A25" s="2">
        <v>21</v>
      </c>
      <c r="B25" s="4" t="s">
        <v>96</v>
      </c>
      <c r="C25" s="2" t="s">
        <v>9</v>
      </c>
      <c r="D25" s="2"/>
      <c r="E25" s="5">
        <v>6.6</v>
      </c>
      <c r="F25" s="20">
        <f t="shared" si="1"/>
        <v>0</v>
      </c>
      <c r="G25" s="2">
        <v>59</v>
      </c>
      <c r="H25" s="4" t="s">
        <v>280</v>
      </c>
      <c r="I25" s="2" t="s">
        <v>9</v>
      </c>
      <c r="J25" s="2"/>
      <c r="K25" s="2">
        <v>8.75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5.2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2"/>
      <c r="K26" s="2">
        <v>5.75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4.25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2"/>
      <c r="K27" s="2">
        <v>3.35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4.75</v>
      </c>
      <c r="F28" s="20">
        <f t="shared" si="1"/>
        <v>0</v>
      </c>
      <c r="G28" s="2">
        <v>62</v>
      </c>
      <c r="H28" s="4" t="s">
        <v>281</v>
      </c>
      <c r="I28" s="2" t="s">
        <v>9</v>
      </c>
      <c r="J28" s="2"/>
      <c r="K28" s="2">
        <v>4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5.5</v>
      </c>
      <c r="F29" s="20">
        <f t="shared" si="1"/>
        <v>0</v>
      </c>
      <c r="G29" s="2">
        <v>63</v>
      </c>
      <c r="H29" s="4" t="s">
        <v>140</v>
      </c>
      <c r="I29" s="2" t="s">
        <v>9</v>
      </c>
      <c r="J29" s="2"/>
      <c r="K29" s="2">
        <v>7.5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4.4000000000000004</v>
      </c>
      <c r="F30" s="5">
        <f t="shared" si="1"/>
        <v>0</v>
      </c>
      <c r="G30" s="2">
        <v>64</v>
      </c>
      <c r="H30" s="4" t="s">
        <v>282</v>
      </c>
      <c r="I30" s="2" t="s">
        <v>9</v>
      </c>
      <c r="J30" s="2"/>
      <c r="K30" s="2">
        <v>4.25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5.75</v>
      </c>
      <c r="F31" s="5">
        <f t="shared" si="1"/>
        <v>0</v>
      </c>
      <c r="G31" s="2">
        <v>65</v>
      </c>
      <c r="H31" s="4" t="s">
        <v>283</v>
      </c>
      <c r="I31" s="2" t="s">
        <v>9</v>
      </c>
      <c r="J31" s="2"/>
      <c r="K31" s="2">
        <v>3.4</v>
      </c>
      <c r="L31" s="5">
        <f t="shared" si="0"/>
        <v>0</v>
      </c>
    </row>
    <row r="32" spans="1:12" ht="13.15" customHeight="1">
      <c r="A32" s="2">
        <v>28</v>
      </c>
      <c r="B32" s="4" t="s">
        <v>104</v>
      </c>
      <c r="C32" s="2" t="s">
        <v>9</v>
      </c>
      <c r="D32" s="2"/>
      <c r="E32" s="5">
        <v>7.5</v>
      </c>
      <c r="F32" s="20">
        <f t="shared" si="1"/>
        <v>0</v>
      </c>
      <c r="G32" s="2">
        <v>66</v>
      </c>
      <c r="H32" s="4" t="s">
        <v>284</v>
      </c>
      <c r="I32" s="2" t="s">
        <v>9</v>
      </c>
      <c r="J32" s="2"/>
      <c r="K32" s="2">
        <v>5.75</v>
      </c>
      <c r="L32" s="5">
        <f t="shared" si="0"/>
        <v>0</v>
      </c>
    </row>
    <row r="33" spans="1:12" ht="13.15" customHeight="1">
      <c r="A33" s="2">
        <v>29</v>
      </c>
      <c r="B33" s="4" t="s">
        <v>285</v>
      </c>
      <c r="C33" s="2" t="s">
        <v>9</v>
      </c>
      <c r="D33" s="2"/>
      <c r="E33" s="5">
        <v>5.3</v>
      </c>
      <c r="F33" s="5">
        <f t="shared" si="1"/>
        <v>0</v>
      </c>
      <c r="G33" s="2">
        <v>67</v>
      </c>
      <c r="H33" s="4" t="s">
        <v>286</v>
      </c>
      <c r="I33" s="2" t="s">
        <v>9</v>
      </c>
      <c r="J33" s="2"/>
      <c r="K33" s="2">
        <v>2.2000000000000002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5.75</v>
      </c>
      <c r="F34" s="5">
        <f t="shared" si="1"/>
        <v>0</v>
      </c>
      <c r="G34" s="2">
        <v>68</v>
      </c>
      <c r="H34" s="4" t="s">
        <v>287</v>
      </c>
      <c r="I34" s="2" t="s">
        <v>9</v>
      </c>
      <c r="J34" s="2"/>
      <c r="K34" s="2">
        <v>3.4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5.3</v>
      </c>
      <c r="F35" s="20">
        <f t="shared" si="1"/>
        <v>0</v>
      </c>
      <c r="G35" s="2">
        <v>69</v>
      </c>
      <c r="H35" s="4" t="s">
        <v>288</v>
      </c>
      <c r="I35" s="2" t="s">
        <v>9</v>
      </c>
      <c r="J35" s="2"/>
      <c r="K35" s="2">
        <v>3.4</v>
      </c>
      <c r="L35" s="5">
        <f t="shared" si="0"/>
        <v>0</v>
      </c>
    </row>
    <row r="36" spans="1:12" ht="13.15" customHeight="1">
      <c r="A36" s="2">
        <v>32</v>
      </c>
      <c r="B36" s="4" t="s">
        <v>74</v>
      </c>
      <c r="C36" s="2" t="s">
        <v>9</v>
      </c>
      <c r="D36" s="2"/>
      <c r="E36" s="2">
        <v>2.2999999999999998</v>
      </c>
      <c r="F36" s="20">
        <f t="shared" si="1"/>
        <v>0</v>
      </c>
      <c r="G36" s="2">
        <v>70</v>
      </c>
      <c r="H36" s="4" t="s">
        <v>289</v>
      </c>
      <c r="I36" s="2" t="s">
        <v>9</v>
      </c>
      <c r="J36" s="2"/>
      <c r="K36" s="2">
        <v>34.25</v>
      </c>
      <c r="L36" s="5">
        <f t="shared" si="0"/>
        <v>0</v>
      </c>
    </row>
    <row r="37" spans="1:12" ht="13.15" customHeight="1">
      <c r="A37" s="2">
        <v>33</v>
      </c>
      <c r="B37" s="4" t="s">
        <v>76</v>
      </c>
      <c r="C37" s="2" t="s">
        <v>9</v>
      </c>
      <c r="D37" s="2"/>
      <c r="E37" s="2">
        <v>3.25</v>
      </c>
      <c r="F37" s="20">
        <f t="shared" si="1"/>
        <v>0</v>
      </c>
      <c r="G37" s="2">
        <v>71</v>
      </c>
      <c r="H37" s="4" t="s">
        <v>290</v>
      </c>
      <c r="I37" s="2" t="s">
        <v>9</v>
      </c>
      <c r="J37" s="2"/>
      <c r="K37" s="2">
        <v>3.75</v>
      </c>
      <c r="L37" s="5">
        <f t="shared" si="0"/>
        <v>0</v>
      </c>
    </row>
    <row r="38" spans="1:12" ht="13.15" customHeight="1">
      <c r="A38" s="2">
        <v>34</v>
      </c>
      <c r="B38" s="4" t="s">
        <v>78</v>
      </c>
      <c r="C38" s="2" t="s">
        <v>9</v>
      </c>
      <c r="D38" s="2"/>
      <c r="E38" s="2">
        <v>6.25</v>
      </c>
      <c r="F38" s="20">
        <f t="shared" si="1"/>
        <v>0</v>
      </c>
      <c r="G38" s="2">
        <v>72</v>
      </c>
      <c r="H38" s="4" t="s">
        <v>291</v>
      </c>
      <c r="I38" s="2" t="s">
        <v>9</v>
      </c>
      <c r="J38" s="2"/>
      <c r="K38" s="2">
        <v>6.25</v>
      </c>
      <c r="L38" s="5">
        <f t="shared" si="0"/>
        <v>0</v>
      </c>
    </row>
    <row r="39" spans="1:12" ht="13.15" customHeight="1">
      <c r="A39" s="2">
        <v>35</v>
      </c>
      <c r="B39" s="4" t="s">
        <v>80</v>
      </c>
      <c r="C39" s="2" t="s">
        <v>9</v>
      </c>
      <c r="D39" s="2"/>
      <c r="E39" s="2">
        <v>3.75</v>
      </c>
      <c r="F39" s="20">
        <f t="shared" si="1"/>
        <v>0</v>
      </c>
      <c r="G39" s="2">
        <v>73</v>
      </c>
      <c r="H39" s="4" t="s">
        <v>111</v>
      </c>
      <c r="I39" s="2" t="s">
        <v>9</v>
      </c>
      <c r="J39" s="2"/>
      <c r="K39" s="2">
        <v>3.2</v>
      </c>
      <c r="L39" s="5">
        <f t="shared" si="0"/>
        <v>0</v>
      </c>
    </row>
    <row r="40" spans="1:12" ht="13.15" customHeight="1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885</v>
      </c>
    </row>
    <row r="42" spans="1:12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>
  <dimension ref="A1:L42"/>
  <sheetViews>
    <sheetView workbookViewId="0">
      <selection activeCell="K2" sqref="K2:K39"/>
    </sheetView>
  </sheetViews>
  <sheetFormatPr defaultRowHeight="13.15" customHeight="1"/>
  <cols>
    <col min="1" max="1" width="4.7109375" style="17" customWidth="1"/>
    <col min="2" max="2" width="23.7109375" customWidth="1"/>
    <col min="3" max="3" width="6.42578125" customWidth="1"/>
    <col min="4" max="4" width="8.140625" customWidth="1"/>
    <col min="5" max="5" width="8.42578125" customWidth="1"/>
    <col min="6" max="6" width="8.85546875" style="17"/>
    <col min="7" max="7" width="5.28515625" style="17" customWidth="1"/>
    <col min="8" max="8" width="24.5703125" customWidth="1"/>
    <col min="9" max="9" width="6.42578125" customWidth="1"/>
    <col min="10" max="10" width="7.42578125" customWidth="1"/>
    <col min="11" max="11" width="8.28515625" customWidth="1"/>
    <col min="12" max="12" width="8.28515625" style="17" customWidth="1"/>
  </cols>
  <sheetData>
    <row r="1" spans="1:12" ht="13.15" customHeight="1">
      <c r="A1" s="30" t="s">
        <v>262</v>
      </c>
      <c r="B1" s="30"/>
      <c r="C1" s="30"/>
      <c r="D1" s="36" t="s">
        <v>263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2.0499999999999998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6.35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1.9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4.45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7.5</v>
      </c>
      <c r="L6" s="5">
        <f t="shared" si="0"/>
        <v>0</v>
      </c>
    </row>
    <row r="7" spans="1:12" ht="13.15" customHeight="1">
      <c r="A7" s="2">
        <v>3</v>
      </c>
      <c r="B7" s="4" t="s">
        <v>264</v>
      </c>
      <c r="C7" s="2" t="s">
        <v>9</v>
      </c>
      <c r="D7" s="2"/>
      <c r="E7" s="5">
        <v>5.5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1.9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6.85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4.75</v>
      </c>
      <c r="F9" s="20">
        <f t="shared" si="1"/>
        <v>0</v>
      </c>
      <c r="G9" s="2">
        <v>43</v>
      </c>
      <c r="H9" s="4" t="s">
        <v>265</v>
      </c>
      <c r="I9" s="2" t="s">
        <v>9</v>
      </c>
      <c r="J9" s="2"/>
      <c r="K9" s="5">
        <v>3.4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5.5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266</v>
      </c>
      <c r="C11" s="2" t="s">
        <v>9</v>
      </c>
      <c r="D11" s="2"/>
      <c r="E11" s="5">
        <v>5.5</v>
      </c>
      <c r="F11" s="20">
        <f t="shared" si="1"/>
        <v>0</v>
      </c>
      <c r="G11" s="2">
        <v>45</v>
      </c>
      <c r="H11" s="4" t="s">
        <v>267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5.7</v>
      </c>
      <c r="F12" s="20">
        <f t="shared" si="1"/>
        <v>0</v>
      </c>
      <c r="G12" s="2">
        <v>46</v>
      </c>
      <c r="H12" s="4" t="s">
        <v>268</v>
      </c>
      <c r="I12" s="2" t="s">
        <v>9</v>
      </c>
      <c r="J12" s="2"/>
      <c r="K12" s="5">
        <v>2.35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5.8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5.65</v>
      </c>
      <c r="F14" s="20">
        <f t="shared" si="1"/>
        <v>0</v>
      </c>
      <c r="G14" s="2">
        <v>48</v>
      </c>
      <c r="H14" s="4" t="s">
        <v>269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128</v>
      </c>
      <c r="C15" s="2" t="s">
        <v>9</v>
      </c>
      <c r="D15" s="2"/>
      <c r="E15" s="5">
        <v>6.3</v>
      </c>
      <c r="F15" s="20">
        <f t="shared" si="1"/>
        <v>0</v>
      </c>
      <c r="G15" s="2">
        <v>49</v>
      </c>
      <c r="H15" s="4" t="s">
        <v>270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271</v>
      </c>
      <c r="C16" s="2" t="s">
        <v>9</v>
      </c>
      <c r="D16" s="2"/>
      <c r="E16" s="5">
        <v>5.8</v>
      </c>
      <c r="F16" s="20">
        <f t="shared" si="1"/>
        <v>0</v>
      </c>
      <c r="G16" s="2">
        <v>50</v>
      </c>
      <c r="H16" s="4" t="s">
        <v>272</v>
      </c>
      <c r="I16" s="2" t="s">
        <v>9</v>
      </c>
      <c r="J16" s="2"/>
      <c r="K16" s="5">
        <v>7.75</v>
      </c>
      <c r="L16" s="5">
        <f t="shared" si="0"/>
        <v>0</v>
      </c>
    </row>
    <row r="17" spans="1:12" ht="13.15" customHeight="1">
      <c r="A17" s="2">
        <v>13</v>
      </c>
      <c r="B17" s="4" t="s">
        <v>273</v>
      </c>
      <c r="C17" s="2" t="s">
        <v>9</v>
      </c>
      <c r="D17" s="2"/>
      <c r="E17" s="5">
        <v>6.3</v>
      </c>
      <c r="F17" s="20">
        <f t="shared" si="1"/>
        <v>0</v>
      </c>
      <c r="G17" s="2">
        <v>51</v>
      </c>
      <c r="H17" s="4" t="s">
        <v>274</v>
      </c>
      <c r="I17" s="2" t="s">
        <v>9</v>
      </c>
      <c r="J17" s="2"/>
      <c r="K17" s="5">
        <v>6.25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4.5999999999999996</v>
      </c>
      <c r="F18" s="20">
        <f t="shared" si="1"/>
        <v>0</v>
      </c>
      <c r="G18" s="2">
        <v>52</v>
      </c>
      <c r="H18" s="4" t="s">
        <v>275</v>
      </c>
      <c r="I18" s="2" t="s">
        <v>9</v>
      </c>
      <c r="J18" s="2"/>
      <c r="K18" s="5">
        <v>6.1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5.0999999999999996</v>
      </c>
      <c r="F19" s="20">
        <f t="shared" si="1"/>
        <v>0</v>
      </c>
      <c r="G19" s="2">
        <v>53</v>
      </c>
      <c r="H19" s="4" t="s">
        <v>276</v>
      </c>
      <c r="I19" s="2" t="s">
        <v>9</v>
      </c>
      <c r="J19" s="2"/>
      <c r="K19" s="5">
        <v>7.5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2.2999999999999998</v>
      </c>
      <c r="F20" s="20">
        <f t="shared" si="1"/>
        <v>0</v>
      </c>
      <c r="G20" s="2">
        <v>54</v>
      </c>
      <c r="H20" s="4" t="s">
        <v>277</v>
      </c>
      <c r="I20" s="2" t="s">
        <v>9</v>
      </c>
      <c r="J20" s="2"/>
      <c r="K20" s="5">
        <v>8.5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1.25</v>
      </c>
      <c r="F21" s="20">
        <f t="shared" si="1"/>
        <v>0</v>
      </c>
      <c r="G21" s="2">
        <v>55</v>
      </c>
      <c r="H21" s="4" t="s">
        <v>106</v>
      </c>
      <c r="I21" s="2" t="s">
        <v>9</v>
      </c>
      <c r="J21" s="2"/>
      <c r="K21" s="5">
        <v>7.5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5.5</v>
      </c>
      <c r="F22" s="20">
        <f t="shared" si="1"/>
        <v>0</v>
      </c>
      <c r="G22" s="2">
        <v>56</v>
      </c>
      <c r="H22" s="4" t="s">
        <v>278</v>
      </c>
      <c r="I22" s="2" t="s">
        <v>9</v>
      </c>
      <c r="J22" s="2"/>
      <c r="K22" s="5">
        <v>2.1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6.25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2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5.9</v>
      </c>
      <c r="F24" s="20">
        <f t="shared" si="1"/>
        <v>0</v>
      </c>
      <c r="G24" s="2">
        <v>58</v>
      </c>
      <c r="H24" s="4" t="s">
        <v>279</v>
      </c>
      <c r="I24" s="2" t="s">
        <v>9</v>
      </c>
      <c r="J24" s="2"/>
      <c r="K24" s="2">
        <v>2.1</v>
      </c>
      <c r="L24" s="5">
        <f t="shared" si="0"/>
        <v>0</v>
      </c>
    </row>
    <row r="25" spans="1:12" ht="13.15" customHeight="1">
      <c r="A25" s="2">
        <v>21</v>
      </c>
      <c r="B25" s="4" t="s">
        <v>96</v>
      </c>
      <c r="C25" s="2" t="s">
        <v>9</v>
      </c>
      <c r="D25" s="2"/>
      <c r="E25" s="5">
        <v>6.6</v>
      </c>
      <c r="F25" s="20">
        <f t="shared" si="1"/>
        <v>0</v>
      </c>
      <c r="G25" s="2">
        <v>59</v>
      </c>
      <c r="H25" s="4" t="s">
        <v>280</v>
      </c>
      <c r="I25" s="2" t="s">
        <v>9</v>
      </c>
      <c r="J25" s="2"/>
      <c r="K25" s="2">
        <v>8.75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5.2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2"/>
      <c r="K26" s="2">
        <v>5.75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4.25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2"/>
      <c r="K27" s="2">
        <v>3.35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4.75</v>
      </c>
      <c r="F28" s="20">
        <f t="shared" si="1"/>
        <v>0</v>
      </c>
      <c r="G28" s="2">
        <v>62</v>
      </c>
      <c r="H28" s="4" t="s">
        <v>281</v>
      </c>
      <c r="I28" s="2" t="s">
        <v>9</v>
      </c>
      <c r="J28" s="2"/>
      <c r="K28" s="2">
        <v>4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5.5</v>
      </c>
      <c r="F29" s="20">
        <f t="shared" si="1"/>
        <v>0</v>
      </c>
      <c r="G29" s="2">
        <v>63</v>
      </c>
      <c r="H29" s="4" t="s">
        <v>140</v>
      </c>
      <c r="I29" s="2" t="s">
        <v>9</v>
      </c>
      <c r="J29" s="2"/>
      <c r="K29" s="2">
        <v>7.5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4.4000000000000004</v>
      </c>
      <c r="F30" s="5">
        <f t="shared" si="1"/>
        <v>0</v>
      </c>
      <c r="G30" s="2">
        <v>64</v>
      </c>
      <c r="H30" s="4" t="s">
        <v>282</v>
      </c>
      <c r="I30" s="2" t="s">
        <v>9</v>
      </c>
      <c r="J30" s="2"/>
      <c r="K30" s="2">
        <v>4.25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5.75</v>
      </c>
      <c r="F31" s="5">
        <f t="shared" si="1"/>
        <v>0</v>
      </c>
      <c r="G31" s="2">
        <v>65</v>
      </c>
      <c r="H31" s="4" t="s">
        <v>283</v>
      </c>
      <c r="I31" s="2" t="s">
        <v>9</v>
      </c>
      <c r="J31" s="2"/>
      <c r="K31" s="2">
        <v>3.4</v>
      </c>
      <c r="L31" s="5">
        <f t="shared" si="0"/>
        <v>0</v>
      </c>
    </row>
    <row r="32" spans="1:12" ht="13.15" customHeight="1">
      <c r="A32" s="2">
        <v>28</v>
      </c>
      <c r="B32" s="4" t="s">
        <v>104</v>
      </c>
      <c r="C32" s="2" t="s">
        <v>9</v>
      </c>
      <c r="D32" s="2"/>
      <c r="E32" s="5">
        <v>7.5</v>
      </c>
      <c r="F32" s="20">
        <f t="shared" si="1"/>
        <v>0</v>
      </c>
      <c r="G32" s="2">
        <v>66</v>
      </c>
      <c r="H32" s="4" t="s">
        <v>284</v>
      </c>
      <c r="I32" s="2" t="s">
        <v>9</v>
      </c>
      <c r="J32" s="2"/>
      <c r="K32" s="2">
        <v>5.75</v>
      </c>
      <c r="L32" s="5">
        <f t="shared" si="0"/>
        <v>0</v>
      </c>
    </row>
    <row r="33" spans="1:12" ht="13.15" customHeight="1">
      <c r="A33" s="2">
        <v>29</v>
      </c>
      <c r="B33" s="4" t="s">
        <v>285</v>
      </c>
      <c r="C33" s="2" t="s">
        <v>9</v>
      </c>
      <c r="D33" s="2"/>
      <c r="E33" s="5">
        <v>5.3</v>
      </c>
      <c r="F33" s="5">
        <f t="shared" si="1"/>
        <v>0</v>
      </c>
      <c r="G33" s="2">
        <v>67</v>
      </c>
      <c r="H33" s="4" t="s">
        <v>286</v>
      </c>
      <c r="I33" s="2" t="s">
        <v>9</v>
      </c>
      <c r="J33" s="2"/>
      <c r="K33" s="2">
        <v>2.2000000000000002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5.75</v>
      </c>
      <c r="F34" s="5">
        <f t="shared" si="1"/>
        <v>0</v>
      </c>
      <c r="G34" s="2">
        <v>68</v>
      </c>
      <c r="H34" s="4" t="s">
        <v>287</v>
      </c>
      <c r="I34" s="2" t="s">
        <v>9</v>
      </c>
      <c r="J34" s="2"/>
      <c r="K34" s="2">
        <v>3.4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5.3</v>
      </c>
      <c r="F35" s="20">
        <f t="shared" si="1"/>
        <v>0</v>
      </c>
      <c r="G35" s="2">
        <v>69</v>
      </c>
      <c r="H35" s="4" t="s">
        <v>288</v>
      </c>
      <c r="I35" s="2" t="s">
        <v>9</v>
      </c>
      <c r="J35" s="2"/>
      <c r="K35" s="2">
        <v>3.4</v>
      </c>
      <c r="L35" s="5">
        <f t="shared" si="0"/>
        <v>0</v>
      </c>
    </row>
    <row r="36" spans="1:12" ht="13.15" customHeight="1">
      <c r="A36" s="2">
        <v>32</v>
      </c>
      <c r="B36" s="4" t="s">
        <v>74</v>
      </c>
      <c r="C36" s="2" t="s">
        <v>9</v>
      </c>
      <c r="D36" s="2"/>
      <c r="E36" s="2">
        <v>2.2999999999999998</v>
      </c>
      <c r="F36" s="20">
        <f t="shared" si="1"/>
        <v>0</v>
      </c>
      <c r="G36" s="2">
        <v>70</v>
      </c>
      <c r="H36" s="4" t="s">
        <v>289</v>
      </c>
      <c r="I36" s="2" t="s">
        <v>9</v>
      </c>
      <c r="J36" s="2"/>
      <c r="K36" s="2">
        <v>34.25</v>
      </c>
      <c r="L36" s="5">
        <f t="shared" si="0"/>
        <v>0</v>
      </c>
    </row>
    <row r="37" spans="1:12" ht="13.15" customHeight="1">
      <c r="A37" s="2">
        <v>33</v>
      </c>
      <c r="B37" s="4" t="s">
        <v>76</v>
      </c>
      <c r="C37" s="2" t="s">
        <v>9</v>
      </c>
      <c r="D37" s="2"/>
      <c r="E37" s="2">
        <v>3.25</v>
      </c>
      <c r="F37" s="20">
        <f t="shared" si="1"/>
        <v>0</v>
      </c>
      <c r="G37" s="2">
        <v>71</v>
      </c>
      <c r="H37" s="4" t="s">
        <v>290</v>
      </c>
      <c r="I37" s="2" t="s">
        <v>9</v>
      </c>
      <c r="J37" s="2"/>
      <c r="K37" s="2">
        <v>3.75</v>
      </c>
      <c r="L37" s="5">
        <f t="shared" si="0"/>
        <v>0</v>
      </c>
    </row>
    <row r="38" spans="1:12" ht="13.15" customHeight="1">
      <c r="A38" s="2">
        <v>34</v>
      </c>
      <c r="B38" s="4" t="s">
        <v>78</v>
      </c>
      <c r="C38" s="2" t="s">
        <v>9</v>
      </c>
      <c r="D38" s="2"/>
      <c r="E38" s="2">
        <v>6.25</v>
      </c>
      <c r="F38" s="20">
        <f t="shared" si="1"/>
        <v>0</v>
      </c>
      <c r="G38" s="2">
        <v>72</v>
      </c>
      <c r="H38" s="4" t="s">
        <v>291</v>
      </c>
      <c r="I38" s="2" t="s">
        <v>9</v>
      </c>
      <c r="J38" s="2"/>
      <c r="K38" s="2">
        <v>6.25</v>
      </c>
      <c r="L38" s="5">
        <f t="shared" si="0"/>
        <v>0</v>
      </c>
    </row>
    <row r="39" spans="1:12" ht="13.15" customHeight="1">
      <c r="A39" s="2">
        <v>35</v>
      </c>
      <c r="B39" s="4" t="s">
        <v>80</v>
      </c>
      <c r="C39" s="2" t="s">
        <v>9</v>
      </c>
      <c r="D39" s="2"/>
      <c r="E39" s="2">
        <v>3.75</v>
      </c>
      <c r="F39" s="20">
        <f t="shared" si="1"/>
        <v>0</v>
      </c>
      <c r="G39" s="2">
        <v>73</v>
      </c>
      <c r="H39" s="4" t="s">
        <v>111</v>
      </c>
      <c r="I39" s="2" t="s">
        <v>9</v>
      </c>
      <c r="J39" s="2"/>
      <c r="K39" s="2">
        <v>3.2</v>
      </c>
      <c r="L39" s="5">
        <f t="shared" si="0"/>
        <v>0</v>
      </c>
    </row>
    <row r="40" spans="1:12" ht="13.15" customHeight="1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0</v>
      </c>
    </row>
    <row r="42" spans="1:12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>
  <dimension ref="A1:L42"/>
  <sheetViews>
    <sheetView workbookViewId="0">
      <selection activeCell="K2" sqref="K2:K39"/>
    </sheetView>
  </sheetViews>
  <sheetFormatPr defaultRowHeight="13.15" customHeight="1"/>
  <cols>
    <col min="1" max="1" width="4.7109375" style="17" customWidth="1"/>
    <col min="2" max="2" width="23.7109375" customWidth="1"/>
    <col min="3" max="3" width="6.42578125" customWidth="1"/>
    <col min="4" max="4" width="8.140625" customWidth="1"/>
    <col min="5" max="5" width="8.42578125" customWidth="1"/>
    <col min="6" max="6" width="8.85546875" style="17"/>
    <col min="7" max="7" width="5.28515625" style="17" customWidth="1"/>
    <col min="8" max="8" width="24.5703125" customWidth="1"/>
    <col min="9" max="9" width="6.42578125" customWidth="1"/>
    <col min="10" max="10" width="7.42578125" customWidth="1"/>
    <col min="11" max="11" width="8.28515625" customWidth="1"/>
    <col min="12" max="12" width="8.28515625" style="17" customWidth="1"/>
  </cols>
  <sheetData>
    <row r="1" spans="1:12" ht="13.15" customHeight="1">
      <c r="A1" s="30" t="s">
        <v>262</v>
      </c>
      <c r="B1" s="30"/>
      <c r="C1" s="30"/>
      <c r="D1" s="36" t="s">
        <v>263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2.0499999999999998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6.35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1.9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4.45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7.5</v>
      </c>
      <c r="L6" s="5">
        <f t="shared" si="0"/>
        <v>0</v>
      </c>
    </row>
    <row r="7" spans="1:12" ht="13.15" customHeight="1">
      <c r="A7" s="2">
        <v>3</v>
      </c>
      <c r="B7" s="4" t="s">
        <v>264</v>
      </c>
      <c r="C7" s="2" t="s">
        <v>9</v>
      </c>
      <c r="D7" s="2"/>
      <c r="E7" s="5">
        <v>5.5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1.9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6.85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4.75</v>
      </c>
      <c r="F9" s="20">
        <f t="shared" si="1"/>
        <v>0</v>
      </c>
      <c r="G9" s="2">
        <v>43</v>
      </c>
      <c r="H9" s="4" t="s">
        <v>265</v>
      </c>
      <c r="I9" s="2" t="s">
        <v>9</v>
      </c>
      <c r="J9" s="2"/>
      <c r="K9" s="5">
        <v>3.4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5.5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266</v>
      </c>
      <c r="C11" s="2" t="s">
        <v>9</v>
      </c>
      <c r="D11" s="2"/>
      <c r="E11" s="5">
        <v>5.5</v>
      </c>
      <c r="F11" s="20">
        <f t="shared" si="1"/>
        <v>0</v>
      </c>
      <c r="G11" s="2">
        <v>45</v>
      </c>
      <c r="H11" s="4" t="s">
        <v>267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5.7</v>
      </c>
      <c r="F12" s="20">
        <f t="shared" si="1"/>
        <v>0</v>
      </c>
      <c r="G12" s="2">
        <v>46</v>
      </c>
      <c r="H12" s="4" t="s">
        <v>268</v>
      </c>
      <c r="I12" s="2" t="s">
        <v>9</v>
      </c>
      <c r="J12" s="2"/>
      <c r="K12" s="5">
        <v>2.35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5.8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5.65</v>
      </c>
      <c r="F14" s="20">
        <f t="shared" si="1"/>
        <v>0</v>
      </c>
      <c r="G14" s="2">
        <v>48</v>
      </c>
      <c r="H14" s="4" t="s">
        <v>269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128</v>
      </c>
      <c r="C15" s="2" t="s">
        <v>9</v>
      </c>
      <c r="D15" s="2"/>
      <c r="E15" s="5">
        <v>6.3</v>
      </c>
      <c r="F15" s="20">
        <f t="shared" si="1"/>
        <v>0</v>
      </c>
      <c r="G15" s="2">
        <v>49</v>
      </c>
      <c r="H15" s="4" t="s">
        <v>270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271</v>
      </c>
      <c r="C16" s="2" t="s">
        <v>9</v>
      </c>
      <c r="D16" s="2"/>
      <c r="E16" s="5">
        <v>5.8</v>
      </c>
      <c r="F16" s="20">
        <f t="shared" si="1"/>
        <v>0</v>
      </c>
      <c r="G16" s="2">
        <v>50</v>
      </c>
      <c r="H16" s="4" t="s">
        <v>272</v>
      </c>
      <c r="I16" s="2" t="s">
        <v>9</v>
      </c>
      <c r="J16" s="2"/>
      <c r="K16" s="5">
        <v>7.75</v>
      </c>
      <c r="L16" s="5">
        <f t="shared" si="0"/>
        <v>0</v>
      </c>
    </row>
    <row r="17" spans="1:12" ht="13.15" customHeight="1">
      <c r="A17" s="2">
        <v>13</v>
      </c>
      <c r="B17" s="4" t="s">
        <v>273</v>
      </c>
      <c r="C17" s="2" t="s">
        <v>9</v>
      </c>
      <c r="D17" s="2"/>
      <c r="E17" s="5">
        <v>6.3</v>
      </c>
      <c r="F17" s="20">
        <f t="shared" si="1"/>
        <v>0</v>
      </c>
      <c r="G17" s="2">
        <v>51</v>
      </c>
      <c r="H17" s="4" t="s">
        <v>274</v>
      </c>
      <c r="I17" s="2" t="s">
        <v>9</v>
      </c>
      <c r="J17" s="2"/>
      <c r="K17" s="5">
        <v>6.25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4.5999999999999996</v>
      </c>
      <c r="F18" s="20">
        <f t="shared" si="1"/>
        <v>0</v>
      </c>
      <c r="G18" s="2">
        <v>52</v>
      </c>
      <c r="H18" s="4" t="s">
        <v>275</v>
      </c>
      <c r="I18" s="2" t="s">
        <v>9</v>
      </c>
      <c r="J18" s="2"/>
      <c r="K18" s="5">
        <v>6.1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5.0999999999999996</v>
      </c>
      <c r="F19" s="20">
        <f t="shared" si="1"/>
        <v>0</v>
      </c>
      <c r="G19" s="2">
        <v>53</v>
      </c>
      <c r="H19" s="4" t="s">
        <v>276</v>
      </c>
      <c r="I19" s="2" t="s">
        <v>9</v>
      </c>
      <c r="J19" s="2"/>
      <c r="K19" s="5">
        <v>7.5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2.2999999999999998</v>
      </c>
      <c r="F20" s="20">
        <f t="shared" si="1"/>
        <v>0</v>
      </c>
      <c r="G20" s="2">
        <v>54</v>
      </c>
      <c r="H20" s="4" t="s">
        <v>277</v>
      </c>
      <c r="I20" s="2" t="s">
        <v>9</v>
      </c>
      <c r="J20" s="2"/>
      <c r="K20" s="5">
        <v>8.5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1.25</v>
      </c>
      <c r="F21" s="20">
        <f t="shared" si="1"/>
        <v>0</v>
      </c>
      <c r="G21" s="2">
        <v>55</v>
      </c>
      <c r="H21" s="4" t="s">
        <v>106</v>
      </c>
      <c r="I21" s="2" t="s">
        <v>9</v>
      </c>
      <c r="J21" s="2"/>
      <c r="K21" s="5">
        <v>7.5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5.5</v>
      </c>
      <c r="F22" s="20">
        <f t="shared" si="1"/>
        <v>0</v>
      </c>
      <c r="G22" s="2">
        <v>56</v>
      </c>
      <c r="H22" s="4" t="s">
        <v>278</v>
      </c>
      <c r="I22" s="2" t="s">
        <v>9</v>
      </c>
      <c r="J22" s="2"/>
      <c r="K22" s="5">
        <v>2.1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6.25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2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5.9</v>
      </c>
      <c r="F24" s="20">
        <f t="shared" si="1"/>
        <v>0</v>
      </c>
      <c r="G24" s="2">
        <v>58</v>
      </c>
      <c r="H24" s="4" t="s">
        <v>279</v>
      </c>
      <c r="I24" s="2" t="s">
        <v>9</v>
      </c>
      <c r="J24" s="2"/>
      <c r="K24" s="2">
        <v>2.1</v>
      </c>
      <c r="L24" s="5">
        <f t="shared" si="0"/>
        <v>0</v>
      </c>
    </row>
    <row r="25" spans="1:12" ht="13.15" customHeight="1">
      <c r="A25" s="2">
        <v>21</v>
      </c>
      <c r="B25" s="4" t="s">
        <v>96</v>
      </c>
      <c r="C25" s="2" t="s">
        <v>9</v>
      </c>
      <c r="D25" s="2"/>
      <c r="E25" s="5">
        <v>6.6</v>
      </c>
      <c r="F25" s="20">
        <f t="shared" si="1"/>
        <v>0</v>
      </c>
      <c r="G25" s="2">
        <v>59</v>
      </c>
      <c r="H25" s="4" t="s">
        <v>280</v>
      </c>
      <c r="I25" s="2" t="s">
        <v>9</v>
      </c>
      <c r="J25" s="2"/>
      <c r="K25" s="2">
        <v>8.75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5.2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2"/>
      <c r="K26" s="2">
        <v>5.75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4.25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2"/>
      <c r="K27" s="2">
        <v>3.35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4.75</v>
      </c>
      <c r="F28" s="20">
        <f t="shared" si="1"/>
        <v>0</v>
      </c>
      <c r="G28" s="2">
        <v>62</v>
      </c>
      <c r="H28" s="4" t="s">
        <v>281</v>
      </c>
      <c r="I28" s="2" t="s">
        <v>9</v>
      </c>
      <c r="J28" s="2"/>
      <c r="K28" s="2">
        <v>4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5.5</v>
      </c>
      <c r="F29" s="20">
        <f t="shared" si="1"/>
        <v>0</v>
      </c>
      <c r="G29" s="2">
        <v>63</v>
      </c>
      <c r="H29" s="4" t="s">
        <v>140</v>
      </c>
      <c r="I29" s="2" t="s">
        <v>9</v>
      </c>
      <c r="J29" s="2"/>
      <c r="K29" s="2">
        <v>7.5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4.4000000000000004</v>
      </c>
      <c r="F30" s="5">
        <f t="shared" si="1"/>
        <v>0</v>
      </c>
      <c r="G30" s="2">
        <v>64</v>
      </c>
      <c r="H30" s="4" t="s">
        <v>282</v>
      </c>
      <c r="I30" s="2" t="s">
        <v>9</v>
      </c>
      <c r="J30" s="2"/>
      <c r="K30" s="2">
        <v>4.25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5.75</v>
      </c>
      <c r="F31" s="5">
        <f t="shared" si="1"/>
        <v>0</v>
      </c>
      <c r="G31" s="2">
        <v>65</v>
      </c>
      <c r="H31" s="4" t="s">
        <v>283</v>
      </c>
      <c r="I31" s="2" t="s">
        <v>9</v>
      </c>
      <c r="J31" s="2"/>
      <c r="K31" s="2">
        <v>3.4</v>
      </c>
      <c r="L31" s="5">
        <f t="shared" si="0"/>
        <v>0</v>
      </c>
    </row>
    <row r="32" spans="1:12" ht="13.15" customHeight="1">
      <c r="A32" s="2">
        <v>28</v>
      </c>
      <c r="B32" s="4" t="s">
        <v>104</v>
      </c>
      <c r="C32" s="2" t="s">
        <v>9</v>
      </c>
      <c r="D32" s="2"/>
      <c r="E32" s="5">
        <v>7.5</v>
      </c>
      <c r="F32" s="20">
        <f t="shared" si="1"/>
        <v>0</v>
      </c>
      <c r="G32" s="2">
        <v>66</v>
      </c>
      <c r="H32" s="4" t="s">
        <v>284</v>
      </c>
      <c r="I32" s="2" t="s">
        <v>9</v>
      </c>
      <c r="J32" s="2"/>
      <c r="K32" s="2">
        <v>5.75</v>
      </c>
      <c r="L32" s="5">
        <f t="shared" si="0"/>
        <v>0</v>
      </c>
    </row>
    <row r="33" spans="1:12" ht="13.15" customHeight="1">
      <c r="A33" s="2">
        <v>29</v>
      </c>
      <c r="B33" s="4" t="s">
        <v>285</v>
      </c>
      <c r="C33" s="2" t="s">
        <v>9</v>
      </c>
      <c r="D33" s="2"/>
      <c r="E33" s="5">
        <v>5.3</v>
      </c>
      <c r="F33" s="5">
        <f t="shared" si="1"/>
        <v>0</v>
      </c>
      <c r="G33" s="2">
        <v>67</v>
      </c>
      <c r="H33" s="4" t="s">
        <v>286</v>
      </c>
      <c r="I33" s="2" t="s">
        <v>9</v>
      </c>
      <c r="J33" s="2"/>
      <c r="K33" s="2">
        <v>2.2000000000000002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5.75</v>
      </c>
      <c r="F34" s="5">
        <f t="shared" si="1"/>
        <v>0</v>
      </c>
      <c r="G34" s="2">
        <v>68</v>
      </c>
      <c r="H34" s="4" t="s">
        <v>287</v>
      </c>
      <c r="I34" s="2" t="s">
        <v>9</v>
      </c>
      <c r="J34" s="2"/>
      <c r="K34" s="2">
        <v>3.4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5.3</v>
      </c>
      <c r="F35" s="20">
        <f t="shared" si="1"/>
        <v>0</v>
      </c>
      <c r="G35" s="2">
        <v>69</v>
      </c>
      <c r="H35" s="4" t="s">
        <v>288</v>
      </c>
      <c r="I35" s="2" t="s">
        <v>9</v>
      </c>
      <c r="J35" s="2"/>
      <c r="K35" s="2">
        <v>3.4</v>
      </c>
      <c r="L35" s="5">
        <f t="shared" si="0"/>
        <v>0</v>
      </c>
    </row>
    <row r="36" spans="1:12" ht="13.15" customHeight="1">
      <c r="A36" s="2">
        <v>32</v>
      </c>
      <c r="B36" s="4" t="s">
        <v>74</v>
      </c>
      <c r="C36" s="2" t="s">
        <v>9</v>
      </c>
      <c r="D36" s="2"/>
      <c r="E36" s="2">
        <v>2.2999999999999998</v>
      </c>
      <c r="F36" s="20">
        <f t="shared" si="1"/>
        <v>0</v>
      </c>
      <c r="G36" s="2">
        <v>70</v>
      </c>
      <c r="H36" s="4" t="s">
        <v>289</v>
      </c>
      <c r="I36" s="2" t="s">
        <v>9</v>
      </c>
      <c r="J36" s="2"/>
      <c r="K36" s="2">
        <v>34.25</v>
      </c>
      <c r="L36" s="5">
        <f t="shared" si="0"/>
        <v>0</v>
      </c>
    </row>
    <row r="37" spans="1:12" ht="13.15" customHeight="1">
      <c r="A37" s="2">
        <v>33</v>
      </c>
      <c r="B37" s="4" t="s">
        <v>76</v>
      </c>
      <c r="C37" s="2" t="s">
        <v>9</v>
      </c>
      <c r="D37" s="2"/>
      <c r="E37" s="2">
        <v>3.25</v>
      </c>
      <c r="F37" s="20">
        <f t="shared" si="1"/>
        <v>0</v>
      </c>
      <c r="G37" s="2">
        <v>71</v>
      </c>
      <c r="H37" s="4" t="s">
        <v>290</v>
      </c>
      <c r="I37" s="2" t="s">
        <v>9</v>
      </c>
      <c r="J37" s="2"/>
      <c r="K37" s="2">
        <v>3.75</v>
      </c>
      <c r="L37" s="5">
        <f t="shared" si="0"/>
        <v>0</v>
      </c>
    </row>
    <row r="38" spans="1:12" ht="13.15" customHeight="1">
      <c r="A38" s="2">
        <v>34</v>
      </c>
      <c r="B38" s="4" t="s">
        <v>78</v>
      </c>
      <c r="C38" s="2" t="s">
        <v>9</v>
      </c>
      <c r="D38" s="2"/>
      <c r="E38" s="2">
        <v>6.25</v>
      </c>
      <c r="F38" s="20">
        <f t="shared" si="1"/>
        <v>0</v>
      </c>
      <c r="G38" s="2">
        <v>72</v>
      </c>
      <c r="H38" s="4" t="s">
        <v>291</v>
      </c>
      <c r="I38" s="2" t="s">
        <v>9</v>
      </c>
      <c r="J38" s="2"/>
      <c r="K38" s="2">
        <v>6.25</v>
      </c>
      <c r="L38" s="5">
        <f t="shared" si="0"/>
        <v>0</v>
      </c>
    </row>
    <row r="39" spans="1:12" ht="13.15" customHeight="1">
      <c r="A39" s="2">
        <v>35</v>
      </c>
      <c r="B39" s="4" t="s">
        <v>80</v>
      </c>
      <c r="C39" s="2" t="s">
        <v>9</v>
      </c>
      <c r="D39" s="2"/>
      <c r="E39" s="2">
        <v>3.75</v>
      </c>
      <c r="F39" s="20">
        <f t="shared" si="1"/>
        <v>0</v>
      </c>
      <c r="G39" s="2">
        <v>73</v>
      </c>
      <c r="H39" s="4" t="s">
        <v>111</v>
      </c>
      <c r="I39" s="2" t="s">
        <v>9</v>
      </c>
      <c r="J39" s="2"/>
      <c r="K39" s="2">
        <v>3.2</v>
      </c>
      <c r="L39" s="5">
        <f t="shared" si="0"/>
        <v>0</v>
      </c>
    </row>
    <row r="40" spans="1:12" ht="13.15" customHeight="1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0</v>
      </c>
    </row>
    <row r="42" spans="1:12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>
  <dimension ref="A1:L42"/>
  <sheetViews>
    <sheetView topLeftCell="A13" workbookViewId="0">
      <selection activeCell="K2" sqref="K2:K39"/>
    </sheetView>
  </sheetViews>
  <sheetFormatPr defaultRowHeight="13.15" customHeight="1"/>
  <cols>
    <col min="1" max="1" width="4.7109375" style="17" customWidth="1"/>
    <col min="2" max="2" width="23.7109375" customWidth="1"/>
    <col min="3" max="3" width="6.42578125" customWidth="1"/>
    <col min="4" max="4" width="8.140625" customWidth="1"/>
    <col min="5" max="5" width="8.42578125" customWidth="1"/>
    <col min="6" max="6" width="8.85546875" style="17"/>
    <col min="7" max="7" width="5.28515625" style="17" customWidth="1"/>
    <col min="8" max="8" width="24.5703125" customWidth="1"/>
    <col min="9" max="9" width="6.42578125" customWidth="1"/>
    <col min="10" max="10" width="7.42578125" customWidth="1"/>
    <col min="11" max="11" width="8.28515625" customWidth="1"/>
    <col min="12" max="12" width="8.28515625" style="17" customWidth="1"/>
  </cols>
  <sheetData>
    <row r="1" spans="1:12" ht="13.15" customHeight="1">
      <c r="A1" s="30" t="s">
        <v>262</v>
      </c>
      <c r="B1" s="30"/>
      <c r="C1" s="30"/>
      <c r="D1" s="36" t="s">
        <v>263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2.0499999999999998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6.35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1.9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4.45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7.5</v>
      </c>
      <c r="L6" s="5">
        <f t="shared" si="0"/>
        <v>0</v>
      </c>
    </row>
    <row r="7" spans="1:12" ht="13.15" customHeight="1">
      <c r="A7" s="2">
        <v>3</v>
      </c>
      <c r="B7" s="4" t="s">
        <v>264</v>
      </c>
      <c r="C7" s="2" t="s">
        <v>9</v>
      </c>
      <c r="D7" s="2"/>
      <c r="E7" s="5">
        <v>5.5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1.9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6.85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4.75</v>
      </c>
      <c r="F9" s="20">
        <f t="shared" si="1"/>
        <v>0</v>
      </c>
      <c r="G9" s="2">
        <v>43</v>
      </c>
      <c r="H9" s="4" t="s">
        <v>265</v>
      </c>
      <c r="I9" s="2" t="s">
        <v>9</v>
      </c>
      <c r="J9" s="2"/>
      <c r="K9" s="5">
        <v>3.4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5.5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266</v>
      </c>
      <c r="C11" s="2" t="s">
        <v>9</v>
      </c>
      <c r="D11" s="2"/>
      <c r="E11" s="5">
        <v>5.5</v>
      </c>
      <c r="F11" s="20">
        <f t="shared" si="1"/>
        <v>0</v>
      </c>
      <c r="G11" s="2">
        <v>45</v>
      </c>
      <c r="H11" s="4" t="s">
        <v>267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5.7</v>
      </c>
      <c r="F12" s="20">
        <f t="shared" si="1"/>
        <v>0</v>
      </c>
      <c r="G12" s="2">
        <v>46</v>
      </c>
      <c r="H12" s="4" t="s">
        <v>268</v>
      </c>
      <c r="I12" s="2" t="s">
        <v>9</v>
      </c>
      <c r="J12" s="2"/>
      <c r="K12" s="5">
        <v>2.35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5.8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5.65</v>
      </c>
      <c r="F14" s="20">
        <f t="shared" si="1"/>
        <v>0</v>
      </c>
      <c r="G14" s="2">
        <v>48</v>
      </c>
      <c r="H14" s="4" t="s">
        <v>269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128</v>
      </c>
      <c r="C15" s="2" t="s">
        <v>9</v>
      </c>
      <c r="D15" s="2"/>
      <c r="E15" s="5">
        <v>6.3</v>
      </c>
      <c r="F15" s="20">
        <f t="shared" si="1"/>
        <v>0</v>
      </c>
      <c r="G15" s="2">
        <v>49</v>
      </c>
      <c r="H15" s="4" t="s">
        <v>270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271</v>
      </c>
      <c r="C16" s="2" t="s">
        <v>9</v>
      </c>
      <c r="D16" s="2"/>
      <c r="E16" s="5">
        <v>5.8</v>
      </c>
      <c r="F16" s="20">
        <f t="shared" si="1"/>
        <v>0</v>
      </c>
      <c r="G16" s="2">
        <v>50</v>
      </c>
      <c r="H16" s="4" t="s">
        <v>272</v>
      </c>
      <c r="I16" s="2" t="s">
        <v>9</v>
      </c>
      <c r="J16" s="2"/>
      <c r="K16" s="5">
        <v>7.75</v>
      </c>
      <c r="L16" s="5">
        <f t="shared" si="0"/>
        <v>0</v>
      </c>
    </row>
    <row r="17" spans="1:12" ht="13.15" customHeight="1">
      <c r="A17" s="2">
        <v>13</v>
      </c>
      <c r="B17" s="4" t="s">
        <v>273</v>
      </c>
      <c r="C17" s="2" t="s">
        <v>9</v>
      </c>
      <c r="D17" s="2"/>
      <c r="E17" s="5">
        <v>6.3</v>
      </c>
      <c r="F17" s="20">
        <f t="shared" si="1"/>
        <v>0</v>
      </c>
      <c r="G17" s="2">
        <v>51</v>
      </c>
      <c r="H17" s="4" t="s">
        <v>274</v>
      </c>
      <c r="I17" s="2" t="s">
        <v>9</v>
      </c>
      <c r="J17" s="2"/>
      <c r="K17" s="5">
        <v>6.25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4.5999999999999996</v>
      </c>
      <c r="F18" s="20">
        <f t="shared" si="1"/>
        <v>0</v>
      </c>
      <c r="G18" s="2">
        <v>52</v>
      </c>
      <c r="H18" s="4" t="s">
        <v>275</v>
      </c>
      <c r="I18" s="2" t="s">
        <v>9</v>
      </c>
      <c r="J18" s="2"/>
      <c r="K18" s="5">
        <v>6.1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5.0999999999999996</v>
      </c>
      <c r="F19" s="20">
        <f t="shared" si="1"/>
        <v>0</v>
      </c>
      <c r="G19" s="2">
        <v>53</v>
      </c>
      <c r="H19" s="4" t="s">
        <v>276</v>
      </c>
      <c r="I19" s="2" t="s">
        <v>9</v>
      </c>
      <c r="J19" s="2"/>
      <c r="K19" s="5">
        <v>7.5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2.2999999999999998</v>
      </c>
      <c r="F20" s="20">
        <f t="shared" si="1"/>
        <v>0</v>
      </c>
      <c r="G20" s="2">
        <v>54</v>
      </c>
      <c r="H20" s="4" t="s">
        <v>277</v>
      </c>
      <c r="I20" s="2" t="s">
        <v>9</v>
      </c>
      <c r="J20" s="2"/>
      <c r="K20" s="5">
        <v>8.5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1.25</v>
      </c>
      <c r="F21" s="20">
        <f t="shared" si="1"/>
        <v>0</v>
      </c>
      <c r="G21" s="2">
        <v>55</v>
      </c>
      <c r="H21" s="4" t="s">
        <v>106</v>
      </c>
      <c r="I21" s="2" t="s">
        <v>9</v>
      </c>
      <c r="J21" s="2"/>
      <c r="K21" s="5">
        <v>7.5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5.5</v>
      </c>
      <c r="F22" s="20">
        <f t="shared" si="1"/>
        <v>0</v>
      </c>
      <c r="G22" s="2">
        <v>56</v>
      </c>
      <c r="H22" s="4" t="s">
        <v>278</v>
      </c>
      <c r="I22" s="2" t="s">
        <v>9</v>
      </c>
      <c r="J22" s="2"/>
      <c r="K22" s="5">
        <v>2.1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6.25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2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5.9</v>
      </c>
      <c r="F24" s="20">
        <f t="shared" si="1"/>
        <v>0</v>
      </c>
      <c r="G24" s="2">
        <v>58</v>
      </c>
      <c r="H24" s="4" t="s">
        <v>279</v>
      </c>
      <c r="I24" s="2" t="s">
        <v>9</v>
      </c>
      <c r="J24" s="2"/>
      <c r="K24" s="2">
        <v>2.1</v>
      </c>
      <c r="L24" s="5">
        <f t="shared" si="0"/>
        <v>0</v>
      </c>
    </row>
    <row r="25" spans="1:12" ht="13.15" customHeight="1">
      <c r="A25" s="2">
        <v>21</v>
      </c>
      <c r="B25" s="4" t="s">
        <v>96</v>
      </c>
      <c r="C25" s="2" t="s">
        <v>9</v>
      </c>
      <c r="D25" s="2"/>
      <c r="E25" s="5">
        <v>6.6</v>
      </c>
      <c r="F25" s="20">
        <f t="shared" si="1"/>
        <v>0</v>
      </c>
      <c r="G25" s="2">
        <v>59</v>
      </c>
      <c r="H25" s="4" t="s">
        <v>280</v>
      </c>
      <c r="I25" s="2" t="s">
        <v>9</v>
      </c>
      <c r="J25" s="2"/>
      <c r="K25" s="2">
        <v>8.75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5.2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2"/>
      <c r="K26" s="2">
        <v>5.75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4.25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2"/>
      <c r="K27" s="2">
        <v>3.35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4.75</v>
      </c>
      <c r="F28" s="20">
        <f t="shared" si="1"/>
        <v>0</v>
      </c>
      <c r="G28" s="2">
        <v>62</v>
      </c>
      <c r="H28" s="4" t="s">
        <v>281</v>
      </c>
      <c r="I28" s="2" t="s">
        <v>9</v>
      </c>
      <c r="J28" s="2"/>
      <c r="K28" s="2">
        <v>4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5.5</v>
      </c>
      <c r="F29" s="20">
        <f t="shared" si="1"/>
        <v>0</v>
      </c>
      <c r="G29" s="2">
        <v>63</v>
      </c>
      <c r="H29" s="4" t="s">
        <v>140</v>
      </c>
      <c r="I29" s="2" t="s">
        <v>9</v>
      </c>
      <c r="J29" s="2"/>
      <c r="K29" s="2">
        <v>7.5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4.4000000000000004</v>
      </c>
      <c r="F30" s="5">
        <f t="shared" si="1"/>
        <v>0</v>
      </c>
      <c r="G30" s="2">
        <v>64</v>
      </c>
      <c r="H30" s="4" t="s">
        <v>282</v>
      </c>
      <c r="I30" s="2" t="s">
        <v>9</v>
      </c>
      <c r="J30" s="2"/>
      <c r="K30" s="2">
        <v>4.25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5.75</v>
      </c>
      <c r="F31" s="5">
        <f t="shared" si="1"/>
        <v>0</v>
      </c>
      <c r="G31" s="2">
        <v>65</v>
      </c>
      <c r="H31" s="4" t="s">
        <v>283</v>
      </c>
      <c r="I31" s="2" t="s">
        <v>9</v>
      </c>
      <c r="J31" s="2"/>
      <c r="K31" s="2">
        <v>3.4</v>
      </c>
      <c r="L31" s="5">
        <f t="shared" si="0"/>
        <v>0</v>
      </c>
    </row>
    <row r="32" spans="1:12" ht="13.15" customHeight="1">
      <c r="A32" s="2">
        <v>28</v>
      </c>
      <c r="B32" s="4" t="s">
        <v>104</v>
      </c>
      <c r="C32" s="2" t="s">
        <v>9</v>
      </c>
      <c r="D32" s="2"/>
      <c r="E32" s="5">
        <v>7.5</v>
      </c>
      <c r="F32" s="20">
        <f t="shared" si="1"/>
        <v>0</v>
      </c>
      <c r="G32" s="2">
        <v>66</v>
      </c>
      <c r="H32" s="4" t="s">
        <v>284</v>
      </c>
      <c r="I32" s="2" t="s">
        <v>9</v>
      </c>
      <c r="J32" s="2"/>
      <c r="K32" s="2">
        <v>5.75</v>
      </c>
      <c r="L32" s="5">
        <f t="shared" si="0"/>
        <v>0</v>
      </c>
    </row>
    <row r="33" spans="1:12" ht="13.15" customHeight="1">
      <c r="A33" s="2">
        <v>29</v>
      </c>
      <c r="B33" s="4" t="s">
        <v>285</v>
      </c>
      <c r="C33" s="2" t="s">
        <v>9</v>
      </c>
      <c r="D33" s="2"/>
      <c r="E33" s="5">
        <v>5.3</v>
      </c>
      <c r="F33" s="5">
        <f t="shared" si="1"/>
        <v>0</v>
      </c>
      <c r="G33" s="2">
        <v>67</v>
      </c>
      <c r="H33" s="4" t="s">
        <v>286</v>
      </c>
      <c r="I33" s="2" t="s">
        <v>9</v>
      </c>
      <c r="J33" s="2"/>
      <c r="K33" s="2">
        <v>2.2000000000000002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5.75</v>
      </c>
      <c r="F34" s="5">
        <f t="shared" si="1"/>
        <v>0</v>
      </c>
      <c r="G34" s="2">
        <v>68</v>
      </c>
      <c r="H34" s="4" t="s">
        <v>287</v>
      </c>
      <c r="I34" s="2" t="s">
        <v>9</v>
      </c>
      <c r="J34" s="2"/>
      <c r="K34" s="2">
        <v>3.4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5.3</v>
      </c>
      <c r="F35" s="20">
        <f t="shared" si="1"/>
        <v>0</v>
      </c>
      <c r="G35" s="2">
        <v>69</v>
      </c>
      <c r="H35" s="4" t="s">
        <v>288</v>
      </c>
      <c r="I35" s="2" t="s">
        <v>9</v>
      </c>
      <c r="J35" s="2"/>
      <c r="K35" s="2">
        <v>3.4</v>
      </c>
      <c r="L35" s="5">
        <f t="shared" si="0"/>
        <v>0</v>
      </c>
    </row>
    <row r="36" spans="1:12" ht="13.15" customHeight="1">
      <c r="A36" s="2">
        <v>32</v>
      </c>
      <c r="B36" s="4" t="s">
        <v>74</v>
      </c>
      <c r="C36" s="2" t="s">
        <v>9</v>
      </c>
      <c r="D36" s="2"/>
      <c r="E36" s="2">
        <v>2.2999999999999998</v>
      </c>
      <c r="F36" s="20">
        <f t="shared" si="1"/>
        <v>0</v>
      </c>
      <c r="G36" s="2">
        <v>70</v>
      </c>
      <c r="H36" s="4" t="s">
        <v>289</v>
      </c>
      <c r="I36" s="2" t="s">
        <v>9</v>
      </c>
      <c r="J36" s="2"/>
      <c r="K36" s="2">
        <v>34.25</v>
      </c>
      <c r="L36" s="5">
        <f t="shared" si="0"/>
        <v>0</v>
      </c>
    </row>
    <row r="37" spans="1:12" ht="13.15" customHeight="1">
      <c r="A37" s="2">
        <v>33</v>
      </c>
      <c r="B37" s="4" t="s">
        <v>76</v>
      </c>
      <c r="C37" s="2" t="s">
        <v>9</v>
      </c>
      <c r="D37" s="2"/>
      <c r="E37" s="2">
        <v>3.25</v>
      </c>
      <c r="F37" s="20">
        <f t="shared" si="1"/>
        <v>0</v>
      </c>
      <c r="G37" s="2">
        <v>71</v>
      </c>
      <c r="H37" s="4" t="s">
        <v>290</v>
      </c>
      <c r="I37" s="2" t="s">
        <v>9</v>
      </c>
      <c r="J37" s="2"/>
      <c r="K37" s="2">
        <v>3.75</v>
      </c>
      <c r="L37" s="5">
        <f t="shared" si="0"/>
        <v>0</v>
      </c>
    </row>
    <row r="38" spans="1:12" ht="13.15" customHeight="1">
      <c r="A38" s="2">
        <v>34</v>
      </c>
      <c r="B38" s="4" t="s">
        <v>78</v>
      </c>
      <c r="C38" s="2" t="s">
        <v>9</v>
      </c>
      <c r="D38" s="2"/>
      <c r="E38" s="2">
        <v>6.25</v>
      </c>
      <c r="F38" s="20">
        <f t="shared" si="1"/>
        <v>0</v>
      </c>
      <c r="G38" s="2">
        <v>72</v>
      </c>
      <c r="H38" s="4" t="s">
        <v>291</v>
      </c>
      <c r="I38" s="2" t="s">
        <v>9</v>
      </c>
      <c r="J38" s="2"/>
      <c r="K38" s="2">
        <v>6.25</v>
      </c>
      <c r="L38" s="5">
        <f t="shared" si="0"/>
        <v>0</v>
      </c>
    </row>
    <row r="39" spans="1:12" ht="13.15" customHeight="1">
      <c r="A39" s="2">
        <v>35</v>
      </c>
      <c r="B39" s="4" t="s">
        <v>80</v>
      </c>
      <c r="C39" s="2" t="s">
        <v>9</v>
      </c>
      <c r="D39" s="2"/>
      <c r="E39" s="2">
        <v>3.75</v>
      </c>
      <c r="F39" s="20">
        <f t="shared" si="1"/>
        <v>0</v>
      </c>
      <c r="G39" s="2">
        <v>73</v>
      </c>
      <c r="H39" s="4" t="s">
        <v>111</v>
      </c>
      <c r="I39" s="2" t="s">
        <v>9</v>
      </c>
      <c r="J39" s="2"/>
      <c r="K39" s="2">
        <v>3.2</v>
      </c>
      <c r="L39" s="5">
        <f t="shared" si="0"/>
        <v>0</v>
      </c>
    </row>
    <row r="40" spans="1:12" ht="13.15" customHeight="1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0</v>
      </c>
    </row>
    <row r="42" spans="1:12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>
  <dimension ref="A1:L42"/>
  <sheetViews>
    <sheetView workbookViewId="0">
      <selection activeCell="K2" sqref="K2:K39"/>
    </sheetView>
  </sheetViews>
  <sheetFormatPr defaultRowHeight="13.15" customHeight="1"/>
  <cols>
    <col min="1" max="1" width="4.7109375" style="17" customWidth="1"/>
    <col min="2" max="2" width="23.7109375" customWidth="1"/>
    <col min="3" max="3" width="6.42578125" customWidth="1"/>
    <col min="4" max="4" width="8.140625" customWidth="1"/>
    <col min="5" max="5" width="8.42578125" customWidth="1"/>
    <col min="6" max="6" width="8.85546875" style="17"/>
    <col min="7" max="7" width="5.28515625" style="17" customWidth="1"/>
    <col min="8" max="8" width="24.5703125" customWidth="1"/>
    <col min="9" max="9" width="6.42578125" customWidth="1"/>
    <col min="10" max="10" width="7.42578125" customWidth="1"/>
    <col min="11" max="11" width="8.28515625" customWidth="1"/>
    <col min="12" max="12" width="8.28515625" style="17" customWidth="1"/>
  </cols>
  <sheetData>
    <row r="1" spans="1:12" ht="13.15" customHeight="1">
      <c r="A1" s="30" t="s">
        <v>262</v>
      </c>
      <c r="B1" s="30"/>
      <c r="C1" s="30"/>
      <c r="D1" s="36" t="s">
        <v>263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/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/>
      <c r="K3" s="5">
        <v>2.0499999999999998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/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/>
      <c r="E5" s="5">
        <v>6.35</v>
      </c>
      <c r="F5" s="20">
        <f>D5*E5</f>
        <v>0</v>
      </c>
      <c r="G5" s="2">
        <v>39</v>
      </c>
      <c r="H5" s="4" t="s">
        <v>13</v>
      </c>
      <c r="I5" s="2" t="s">
        <v>9</v>
      </c>
      <c r="J5" s="2"/>
      <c r="K5" s="5">
        <v>1.9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/>
      <c r="E6" s="5">
        <v>4.45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/>
      <c r="K6" s="5">
        <v>7.5</v>
      </c>
      <c r="L6" s="5">
        <f t="shared" si="0"/>
        <v>0</v>
      </c>
    </row>
    <row r="7" spans="1:12" ht="13.15" customHeight="1">
      <c r="A7" s="2">
        <v>3</v>
      </c>
      <c r="B7" s="4" t="s">
        <v>264</v>
      </c>
      <c r="C7" s="2" t="s">
        <v>9</v>
      </c>
      <c r="D7" s="2"/>
      <c r="E7" s="5">
        <v>5.5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/>
      <c r="K7" s="5">
        <v>1.9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/>
      <c r="E8" s="5">
        <v>6.85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/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/>
      <c r="E9" s="5">
        <v>4.75</v>
      </c>
      <c r="F9" s="20">
        <f t="shared" si="1"/>
        <v>0</v>
      </c>
      <c r="G9" s="2">
        <v>43</v>
      </c>
      <c r="H9" s="4" t="s">
        <v>265</v>
      </c>
      <c r="I9" s="2" t="s">
        <v>9</v>
      </c>
      <c r="J9" s="2"/>
      <c r="K9" s="5">
        <v>3.4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/>
      <c r="E10" s="5">
        <v>5.5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/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266</v>
      </c>
      <c r="C11" s="2" t="s">
        <v>9</v>
      </c>
      <c r="D11" s="2"/>
      <c r="E11" s="5">
        <v>5.5</v>
      </c>
      <c r="F11" s="20">
        <f t="shared" si="1"/>
        <v>0</v>
      </c>
      <c r="G11" s="2">
        <v>45</v>
      </c>
      <c r="H11" s="4" t="s">
        <v>267</v>
      </c>
      <c r="I11" s="2" t="s">
        <v>9</v>
      </c>
      <c r="J11" s="2"/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/>
      <c r="E12" s="5">
        <v>5.7</v>
      </c>
      <c r="F12" s="20">
        <f t="shared" si="1"/>
        <v>0</v>
      </c>
      <c r="G12" s="2">
        <v>46</v>
      </c>
      <c r="H12" s="4" t="s">
        <v>268</v>
      </c>
      <c r="I12" s="2" t="s">
        <v>9</v>
      </c>
      <c r="J12" s="2"/>
      <c r="K12" s="5">
        <v>2.35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/>
      <c r="E13" s="5">
        <v>5.8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/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/>
      <c r="E14" s="5">
        <v>5.65</v>
      </c>
      <c r="F14" s="20">
        <f t="shared" si="1"/>
        <v>0</v>
      </c>
      <c r="G14" s="2">
        <v>48</v>
      </c>
      <c r="H14" s="4" t="s">
        <v>269</v>
      </c>
      <c r="I14" s="2" t="s">
        <v>9</v>
      </c>
      <c r="J14" s="2"/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128</v>
      </c>
      <c r="C15" s="2" t="s">
        <v>9</v>
      </c>
      <c r="D15" s="2"/>
      <c r="E15" s="5">
        <v>6.3</v>
      </c>
      <c r="F15" s="20">
        <f t="shared" si="1"/>
        <v>0</v>
      </c>
      <c r="G15" s="2">
        <v>49</v>
      </c>
      <c r="H15" s="4" t="s">
        <v>270</v>
      </c>
      <c r="I15" s="2" t="s">
        <v>9</v>
      </c>
      <c r="J15" s="2"/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271</v>
      </c>
      <c r="C16" s="2" t="s">
        <v>9</v>
      </c>
      <c r="D16" s="2"/>
      <c r="E16" s="5">
        <v>5.8</v>
      </c>
      <c r="F16" s="20">
        <f t="shared" si="1"/>
        <v>0</v>
      </c>
      <c r="G16" s="2">
        <v>50</v>
      </c>
      <c r="H16" s="4" t="s">
        <v>272</v>
      </c>
      <c r="I16" s="2" t="s">
        <v>9</v>
      </c>
      <c r="J16" s="2"/>
      <c r="K16" s="5">
        <v>7.75</v>
      </c>
      <c r="L16" s="5">
        <f t="shared" si="0"/>
        <v>0</v>
      </c>
    </row>
    <row r="17" spans="1:12" ht="13.15" customHeight="1">
      <c r="A17" s="2">
        <v>13</v>
      </c>
      <c r="B17" s="4" t="s">
        <v>273</v>
      </c>
      <c r="C17" s="2" t="s">
        <v>9</v>
      </c>
      <c r="D17" s="2"/>
      <c r="E17" s="5">
        <v>6.3</v>
      </c>
      <c r="F17" s="20">
        <f t="shared" si="1"/>
        <v>0</v>
      </c>
      <c r="G17" s="2">
        <v>51</v>
      </c>
      <c r="H17" s="4" t="s">
        <v>274</v>
      </c>
      <c r="I17" s="2" t="s">
        <v>9</v>
      </c>
      <c r="J17" s="2"/>
      <c r="K17" s="5">
        <v>6.25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/>
      <c r="E18" s="5">
        <v>4.5999999999999996</v>
      </c>
      <c r="F18" s="20">
        <f t="shared" si="1"/>
        <v>0</v>
      </c>
      <c r="G18" s="2">
        <v>52</v>
      </c>
      <c r="H18" s="4" t="s">
        <v>275</v>
      </c>
      <c r="I18" s="2" t="s">
        <v>9</v>
      </c>
      <c r="J18" s="2"/>
      <c r="K18" s="5">
        <v>6.1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/>
      <c r="E19" s="5">
        <v>5.0999999999999996</v>
      </c>
      <c r="F19" s="20">
        <f t="shared" si="1"/>
        <v>0</v>
      </c>
      <c r="G19" s="2">
        <v>53</v>
      </c>
      <c r="H19" s="4" t="s">
        <v>276</v>
      </c>
      <c r="I19" s="2" t="s">
        <v>9</v>
      </c>
      <c r="J19" s="2"/>
      <c r="K19" s="5">
        <v>7.5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/>
      <c r="E20" s="5">
        <v>2.2999999999999998</v>
      </c>
      <c r="F20" s="20">
        <f t="shared" si="1"/>
        <v>0</v>
      </c>
      <c r="G20" s="2">
        <v>54</v>
      </c>
      <c r="H20" s="4" t="s">
        <v>277</v>
      </c>
      <c r="I20" s="2" t="s">
        <v>9</v>
      </c>
      <c r="J20" s="2"/>
      <c r="K20" s="5">
        <v>8.5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/>
      <c r="E21" s="5">
        <v>1.25</v>
      </c>
      <c r="F21" s="20">
        <f t="shared" si="1"/>
        <v>0</v>
      </c>
      <c r="G21" s="2">
        <v>55</v>
      </c>
      <c r="H21" s="4" t="s">
        <v>106</v>
      </c>
      <c r="I21" s="2" t="s">
        <v>9</v>
      </c>
      <c r="J21" s="2"/>
      <c r="K21" s="5">
        <v>7.5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/>
      <c r="E22" s="5">
        <v>5.5</v>
      </c>
      <c r="F22" s="20">
        <f t="shared" si="1"/>
        <v>0</v>
      </c>
      <c r="G22" s="2">
        <v>56</v>
      </c>
      <c r="H22" s="4" t="s">
        <v>278</v>
      </c>
      <c r="I22" s="2" t="s">
        <v>9</v>
      </c>
      <c r="J22" s="2"/>
      <c r="K22" s="5">
        <v>2.1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/>
      <c r="E23" s="5">
        <v>6.25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2"/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/>
      <c r="E24" s="5">
        <v>5.9</v>
      </c>
      <c r="F24" s="20">
        <f t="shared" si="1"/>
        <v>0</v>
      </c>
      <c r="G24" s="2">
        <v>58</v>
      </c>
      <c r="H24" s="4" t="s">
        <v>279</v>
      </c>
      <c r="I24" s="2" t="s">
        <v>9</v>
      </c>
      <c r="J24" s="2"/>
      <c r="K24" s="2">
        <v>2.1</v>
      </c>
      <c r="L24" s="5">
        <f t="shared" si="0"/>
        <v>0</v>
      </c>
    </row>
    <row r="25" spans="1:12" ht="13.15" customHeight="1">
      <c r="A25" s="2">
        <v>21</v>
      </c>
      <c r="B25" s="4" t="s">
        <v>96</v>
      </c>
      <c r="C25" s="2" t="s">
        <v>9</v>
      </c>
      <c r="D25" s="2"/>
      <c r="E25" s="5">
        <v>6.6</v>
      </c>
      <c r="F25" s="20">
        <f t="shared" si="1"/>
        <v>0</v>
      </c>
      <c r="G25" s="2">
        <v>59</v>
      </c>
      <c r="H25" s="4" t="s">
        <v>280</v>
      </c>
      <c r="I25" s="2" t="s">
        <v>9</v>
      </c>
      <c r="J25" s="2"/>
      <c r="K25" s="2">
        <v>8.75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/>
      <c r="E26" s="5">
        <v>5.2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2"/>
      <c r="K26" s="2">
        <v>5.75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/>
      <c r="E27" s="5">
        <v>4.25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2"/>
      <c r="K27" s="2">
        <v>3.35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/>
      <c r="E28" s="5">
        <v>4.75</v>
      </c>
      <c r="F28" s="20">
        <f t="shared" si="1"/>
        <v>0</v>
      </c>
      <c r="G28" s="2">
        <v>62</v>
      </c>
      <c r="H28" s="4" t="s">
        <v>281</v>
      </c>
      <c r="I28" s="2" t="s">
        <v>9</v>
      </c>
      <c r="J28" s="2"/>
      <c r="K28" s="2">
        <v>4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/>
      <c r="E29" s="5">
        <v>5.5</v>
      </c>
      <c r="F29" s="20">
        <f t="shared" si="1"/>
        <v>0</v>
      </c>
      <c r="G29" s="2">
        <v>63</v>
      </c>
      <c r="H29" s="4" t="s">
        <v>140</v>
      </c>
      <c r="I29" s="2" t="s">
        <v>9</v>
      </c>
      <c r="J29" s="2"/>
      <c r="K29" s="2">
        <v>7.5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/>
      <c r="E30" s="5">
        <v>4.4000000000000004</v>
      </c>
      <c r="F30" s="5">
        <f t="shared" si="1"/>
        <v>0</v>
      </c>
      <c r="G30" s="2">
        <v>64</v>
      </c>
      <c r="H30" s="4" t="s">
        <v>282</v>
      </c>
      <c r="I30" s="2" t="s">
        <v>9</v>
      </c>
      <c r="J30" s="2"/>
      <c r="K30" s="2">
        <v>4.25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/>
      <c r="E31" s="5">
        <v>5.75</v>
      </c>
      <c r="F31" s="5">
        <f t="shared" si="1"/>
        <v>0</v>
      </c>
      <c r="G31" s="2">
        <v>65</v>
      </c>
      <c r="H31" s="4" t="s">
        <v>283</v>
      </c>
      <c r="I31" s="2" t="s">
        <v>9</v>
      </c>
      <c r="J31" s="2"/>
      <c r="K31" s="2">
        <v>3.4</v>
      </c>
      <c r="L31" s="5">
        <f t="shared" si="0"/>
        <v>0</v>
      </c>
    </row>
    <row r="32" spans="1:12" ht="13.15" customHeight="1">
      <c r="A32" s="2">
        <v>28</v>
      </c>
      <c r="B32" s="4" t="s">
        <v>104</v>
      </c>
      <c r="C32" s="2" t="s">
        <v>9</v>
      </c>
      <c r="D32" s="2"/>
      <c r="E32" s="5">
        <v>7.5</v>
      </c>
      <c r="F32" s="20">
        <f t="shared" si="1"/>
        <v>0</v>
      </c>
      <c r="G32" s="2">
        <v>66</v>
      </c>
      <c r="H32" s="4" t="s">
        <v>284</v>
      </c>
      <c r="I32" s="2" t="s">
        <v>9</v>
      </c>
      <c r="J32" s="2"/>
      <c r="K32" s="2">
        <v>5.75</v>
      </c>
      <c r="L32" s="5">
        <f t="shared" si="0"/>
        <v>0</v>
      </c>
    </row>
    <row r="33" spans="1:12" ht="13.15" customHeight="1">
      <c r="A33" s="2">
        <v>29</v>
      </c>
      <c r="B33" s="4" t="s">
        <v>285</v>
      </c>
      <c r="C33" s="2" t="s">
        <v>9</v>
      </c>
      <c r="D33" s="2"/>
      <c r="E33" s="5">
        <v>5.3</v>
      </c>
      <c r="F33" s="5">
        <f t="shared" si="1"/>
        <v>0</v>
      </c>
      <c r="G33" s="2">
        <v>67</v>
      </c>
      <c r="H33" s="4" t="s">
        <v>286</v>
      </c>
      <c r="I33" s="2" t="s">
        <v>9</v>
      </c>
      <c r="J33" s="2"/>
      <c r="K33" s="2">
        <v>2.2000000000000002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/>
      <c r="E34" s="5">
        <v>5.75</v>
      </c>
      <c r="F34" s="5">
        <f t="shared" si="1"/>
        <v>0</v>
      </c>
      <c r="G34" s="2">
        <v>68</v>
      </c>
      <c r="H34" s="4" t="s">
        <v>287</v>
      </c>
      <c r="I34" s="2" t="s">
        <v>9</v>
      </c>
      <c r="J34" s="2"/>
      <c r="K34" s="2">
        <v>3.4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/>
      <c r="E35" s="5">
        <v>5.3</v>
      </c>
      <c r="F35" s="20">
        <f t="shared" si="1"/>
        <v>0</v>
      </c>
      <c r="G35" s="2">
        <v>69</v>
      </c>
      <c r="H35" s="4" t="s">
        <v>288</v>
      </c>
      <c r="I35" s="2" t="s">
        <v>9</v>
      </c>
      <c r="J35" s="2"/>
      <c r="K35" s="2">
        <v>3.4</v>
      </c>
      <c r="L35" s="5">
        <f t="shared" si="0"/>
        <v>0</v>
      </c>
    </row>
    <row r="36" spans="1:12" ht="13.15" customHeight="1">
      <c r="A36" s="2">
        <v>32</v>
      </c>
      <c r="B36" s="4" t="s">
        <v>74</v>
      </c>
      <c r="C36" s="2" t="s">
        <v>9</v>
      </c>
      <c r="D36" s="2"/>
      <c r="E36" s="2">
        <v>2.2999999999999998</v>
      </c>
      <c r="F36" s="20">
        <f t="shared" si="1"/>
        <v>0</v>
      </c>
      <c r="G36" s="2">
        <v>70</v>
      </c>
      <c r="H36" s="4" t="s">
        <v>289</v>
      </c>
      <c r="I36" s="2" t="s">
        <v>9</v>
      </c>
      <c r="J36" s="2"/>
      <c r="K36" s="2">
        <v>34.25</v>
      </c>
      <c r="L36" s="5">
        <f t="shared" si="0"/>
        <v>0</v>
      </c>
    </row>
    <row r="37" spans="1:12" ht="13.15" customHeight="1">
      <c r="A37" s="2">
        <v>33</v>
      </c>
      <c r="B37" s="4" t="s">
        <v>76</v>
      </c>
      <c r="C37" s="2" t="s">
        <v>9</v>
      </c>
      <c r="D37" s="2"/>
      <c r="E37" s="2">
        <v>3.25</v>
      </c>
      <c r="F37" s="20">
        <f t="shared" si="1"/>
        <v>0</v>
      </c>
      <c r="G37" s="2">
        <v>71</v>
      </c>
      <c r="H37" s="4" t="s">
        <v>290</v>
      </c>
      <c r="I37" s="2" t="s">
        <v>9</v>
      </c>
      <c r="J37" s="2"/>
      <c r="K37" s="2">
        <v>3.75</v>
      </c>
      <c r="L37" s="5">
        <f t="shared" si="0"/>
        <v>0</v>
      </c>
    </row>
    <row r="38" spans="1:12" ht="13.15" customHeight="1">
      <c r="A38" s="2">
        <v>34</v>
      </c>
      <c r="B38" s="4" t="s">
        <v>78</v>
      </c>
      <c r="C38" s="2" t="s">
        <v>9</v>
      </c>
      <c r="D38" s="2"/>
      <c r="E38" s="2">
        <v>6.25</v>
      </c>
      <c r="F38" s="20">
        <f t="shared" si="1"/>
        <v>0</v>
      </c>
      <c r="G38" s="2">
        <v>72</v>
      </c>
      <c r="H38" s="4" t="s">
        <v>291</v>
      </c>
      <c r="I38" s="2" t="s">
        <v>9</v>
      </c>
      <c r="J38" s="2"/>
      <c r="K38" s="2">
        <v>6.25</v>
      </c>
      <c r="L38" s="5">
        <f t="shared" si="0"/>
        <v>0</v>
      </c>
    </row>
    <row r="39" spans="1:12" ht="13.15" customHeight="1">
      <c r="A39" s="2">
        <v>35</v>
      </c>
      <c r="B39" s="4" t="s">
        <v>80</v>
      </c>
      <c r="C39" s="2" t="s">
        <v>9</v>
      </c>
      <c r="D39" s="2"/>
      <c r="E39" s="2">
        <v>3.75</v>
      </c>
      <c r="F39" s="20">
        <f t="shared" si="1"/>
        <v>0</v>
      </c>
      <c r="G39" s="2">
        <v>73</v>
      </c>
      <c r="H39" s="4" t="s">
        <v>111</v>
      </c>
      <c r="I39" s="2" t="s">
        <v>9</v>
      </c>
      <c r="J39" s="2"/>
      <c r="K39" s="2">
        <v>3.2</v>
      </c>
      <c r="L39" s="5">
        <f t="shared" si="0"/>
        <v>0</v>
      </c>
    </row>
    <row r="40" spans="1:12" ht="13.15" customHeight="1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0</v>
      </c>
    </row>
    <row r="42" spans="1:12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>
  <sheetPr>
    <tabColor rgb="FFFF0000"/>
  </sheetPr>
  <dimension ref="A1:L42"/>
  <sheetViews>
    <sheetView topLeftCell="A16" workbookViewId="0">
      <selection activeCell="N30" sqref="N30"/>
    </sheetView>
  </sheetViews>
  <sheetFormatPr defaultRowHeight="13.15" customHeight="1"/>
  <cols>
    <col min="1" max="1" width="4.7109375" style="17" customWidth="1"/>
    <col min="2" max="2" width="23.7109375" customWidth="1"/>
    <col min="3" max="3" width="6.42578125" customWidth="1"/>
    <col min="4" max="4" width="8.140625" customWidth="1"/>
    <col min="5" max="5" width="8.42578125" customWidth="1"/>
    <col min="6" max="6" width="8.85546875" style="17"/>
    <col min="7" max="7" width="5.28515625" style="17" customWidth="1"/>
    <col min="8" max="8" width="24.5703125" customWidth="1"/>
    <col min="9" max="9" width="6.42578125" customWidth="1"/>
    <col min="10" max="10" width="7.42578125" customWidth="1"/>
    <col min="11" max="11" width="8.28515625" customWidth="1"/>
    <col min="12" max="12" width="8.28515625" style="17" customWidth="1"/>
  </cols>
  <sheetData>
    <row r="1" spans="1:12" ht="13.15" customHeight="1">
      <c r="A1" s="30" t="s">
        <v>262</v>
      </c>
      <c r="B1" s="30"/>
      <c r="C1" s="30"/>
      <c r="D1" s="36" t="s">
        <v>263</v>
      </c>
      <c r="E1" s="30"/>
      <c r="F1" s="30"/>
      <c r="G1" s="16" t="s">
        <v>1</v>
      </c>
      <c r="H1" s="2" t="s">
        <v>2</v>
      </c>
      <c r="I1" s="1" t="s">
        <v>3</v>
      </c>
      <c r="J1" s="2" t="s">
        <v>4</v>
      </c>
      <c r="K1" s="2" t="s">
        <v>5</v>
      </c>
      <c r="L1" s="3" t="s">
        <v>6</v>
      </c>
    </row>
    <row r="2" spans="1:12" ht="13.15" customHeight="1">
      <c r="A2" s="32"/>
      <c r="B2" s="32"/>
      <c r="C2" s="32"/>
      <c r="D2" s="32"/>
      <c r="E2" s="32"/>
      <c r="F2" s="32"/>
      <c r="G2" s="2">
        <v>36</v>
      </c>
      <c r="H2" s="4" t="s">
        <v>8</v>
      </c>
      <c r="I2" s="2" t="s">
        <v>9</v>
      </c>
      <c r="J2" s="2">
        <f>'sp1'!J2+'sp2'!J2+'sp3'!J2+'sp4'!J2+'sp5'!J2</f>
        <v>0</v>
      </c>
      <c r="K2" s="5">
        <v>1.35</v>
      </c>
      <c r="L2" s="5">
        <f>J2*K2</f>
        <v>0</v>
      </c>
    </row>
    <row r="3" spans="1:12" ht="13.15" customHeight="1">
      <c r="A3" s="32"/>
      <c r="B3" s="32"/>
      <c r="C3" s="32"/>
      <c r="D3" s="32"/>
      <c r="E3" s="32"/>
      <c r="F3" s="32"/>
      <c r="G3" s="2">
        <v>37</v>
      </c>
      <c r="H3" s="4" t="s">
        <v>10</v>
      </c>
      <c r="I3" s="2" t="s">
        <v>9</v>
      </c>
      <c r="J3" s="2">
        <f>'sp1'!J3+'sp2'!J3+'sp3'!J3+'sp4'!J3+'sp5'!J3</f>
        <v>0</v>
      </c>
      <c r="K3" s="5">
        <v>2.0499999999999998</v>
      </c>
      <c r="L3" s="5">
        <f t="shared" ref="L3:L39" si="0">J3*K3</f>
        <v>0</v>
      </c>
    </row>
    <row r="4" spans="1:12" ht="13.15" customHeight="1">
      <c r="A4" s="16" t="s">
        <v>1</v>
      </c>
      <c r="B4" s="2" t="s">
        <v>2</v>
      </c>
      <c r="C4" s="1" t="s">
        <v>3</v>
      </c>
      <c r="D4" s="2" t="s">
        <v>4</v>
      </c>
      <c r="E4" s="2" t="s">
        <v>5</v>
      </c>
      <c r="F4" s="3" t="s">
        <v>6</v>
      </c>
      <c r="G4" s="2">
        <v>38</v>
      </c>
      <c r="H4" s="4" t="s">
        <v>11</v>
      </c>
      <c r="I4" s="2" t="s">
        <v>9</v>
      </c>
      <c r="J4" s="2">
        <f>'sp1'!J4+'sp2'!J4+'sp3'!J4+'sp4'!J4+'sp5'!J4</f>
        <v>0</v>
      </c>
      <c r="K4" s="5">
        <v>2.2000000000000002</v>
      </c>
      <c r="L4" s="5">
        <f t="shared" si="0"/>
        <v>0</v>
      </c>
    </row>
    <row r="5" spans="1:12" ht="13.15" customHeight="1">
      <c r="A5" s="2">
        <v>1</v>
      </c>
      <c r="B5" s="4" t="s">
        <v>120</v>
      </c>
      <c r="C5" s="2" t="s">
        <v>9</v>
      </c>
      <c r="D5" s="2">
        <f>'sp1'!D5+'sp2'!D5+'sp3'!D5+'sp4'!D5+'sp5'!D5</f>
        <v>0</v>
      </c>
      <c r="E5" s="5">
        <v>6.35</v>
      </c>
      <c r="F5" s="20">
        <f>D5*E5</f>
        <v>0</v>
      </c>
      <c r="G5" s="2">
        <v>39</v>
      </c>
      <c r="H5" s="4" t="s">
        <v>13</v>
      </c>
      <c r="I5" s="2" t="s">
        <v>9</v>
      </c>
      <c r="J5" s="2">
        <f>'sp1'!J5+'sp2'!J5+'sp3'!J5+'sp4'!J5+'sp5'!J5</f>
        <v>0</v>
      </c>
      <c r="K5" s="5">
        <v>1.9</v>
      </c>
      <c r="L5" s="5">
        <f t="shared" si="0"/>
        <v>0</v>
      </c>
    </row>
    <row r="6" spans="1:12" ht="13.15" customHeight="1">
      <c r="A6" s="2">
        <v>2</v>
      </c>
      <c r="B6" s="4" t="s">
        <v>14</v>
      </c>
      <c r="C6" s="2" t="s">
        <v>9</v>
      </c>
      <c r="D6" s="2">
        <f>'sp1'!D6+'sp2'!D6+'sp3'!D6+'sp4'!D6+'sp5'!D6</f>
        <v>0</v>
      </c>
      <c r="E6" s="5">
        <v>4.45</v>
      </c>
      <c r="F6" s="20">
        <f t="shared" ref="F6:F39" si="1">D6*E6</f>
        <v>0</v>
      </c>
      <c r="G6" s="2">
        <v>40</v>
      </c>
      <c r="H6" s="4" t="s">
        <v>15</v>
      </c>
      <c r="I6" s="2" t="s">
        <v>9</v>
      </c>
      <c r="J6" s="2">
        <f>'sp1'!J6+'sp2'!J6+'sp3'!J6+'sp4'!J6+'sp5'!J6</f>
        <v>0</v>
      </c>
      <c r="K6" s="5">
        <v>7.5</v>
      </c>
      <c r="L6" s="5">
        <f t="shared" si="0"/>
        <v>0</v>
      </c>
    </row>
    <row r="7" spans="1:12" ht="13.15" customHeight="1">
      <c r="A7" s="2">
        <v>3</v>
      </c>
      <c r="B7" s="4" t="s">
        <v>264</v>
      </c>
      <c r="C7" s="2" t="s">
        <v>9</v>
      </c>
      <c r="D7" s="2">
        <f>'sp1'!D7+'sp2'!D7+'sp3'!D7+'sp4'!D7+'sp5'!D7</f>
        <v>0</v>
      </c>
      <c r="E7" s="5">
        <v>5.5</v>
      </c>
      <c r="F7" s="20">
        <f t="shared" si="1"/>
        <v>0</v>
      </c>
      <c r="G7" s="2">
        <v>41</v>
      </c>
      <c r="H7" s="4" t="s">
        <v>17</v>
      </c>
      <c r="I7" s="2" t="s">
        <v>9</v>
      </c>
      <c r="J7" s="2">
        <f>'sp1'!J7+'sp2'!J7+'sp3'!J7+'sp4'!J7+'sp5'!J7</f>
        <v>0</v>
      </c>
      <c r="K7" s="5">
        <v>1.9</v>
      </c>
      <c r="L7" s="5">
        <f t="shared" si="0"/>
        <v>0</v>
      </c>
    </row>
    <row r="8" spans="1:12" ht="13.15" customHeight="1">
      <c r="A8" s="2">
        <v>4</v>
      </c>
      <c r="B8" s="4" t="s">
        <v>18</v>
      </c>
      <c r="C8" s="2" t="s">
        <v>9</v>
      </c>
      <c r="D8" s="2">
        <f>'sp1'!D8+'sp2'!D8+'sp3'!D8+'sp4'!D8+'sp5'!D8</f>
        <v>0</v>
      </c>
      <c r="E8" s="5">
        <v>6.85</v>
      </c>
      <c r="F8" s="20">
        <f t="shared" si="1"/>
        <v>0</v>
      </c>
      <c r="G8" s="2">
        <v>42</v>
      </c>
      <c r="H8" s="4" t="s">
        <v>19</v>
      </c>
      <c r="I8" s="2" t="s">
        <v>9</v>
      </c>
      <c r="J8" s="2">
        <f>'sp1'!J8+'sp2'!J8+'sp3'!J8+'sp4'!J8+'sp5'!J8</f>
        <v>0</v>
      </c>
      <c r="K8" s="5">
        <v>2.2000000000000002</v>
      </c>
      <c r="L8" s="5">
        <f t="shared" si="0"/>
        <v>0</v>
      </c>
    </row>
    <row r="9" spans="1:12" ht="13.15" customHeight="1">
      <c r="A9" s="2">
        <v>5</v>
      </c>
      <c r="B9" s="4" t="s">
        <v>20</v>
      </c>
      <c r="C9" s="2" t="s">
        <v>9</v>
      </c>
      <c r="D9" s="2">
        <f>'sp1'!D9+'sp2'!D9+'sp3'!D9+'sp4'!D9+'sp5'!D9</f>
        <v>0</v>
      </c>
      <c r="E9" s="5">
        <v>4.75</v>
      </c>
      <c r="F9" s="20">
        <f t="shared" si="1"/>
        <v>0</v>
      </c>
      <c r="G9" s="2">
        <v>43</v>
      </c>
      <c r="H9" s="4" t="s">
        <v>265</v>
      </c>
      <c r="I9" s="2" t="s">
        <v>9</v>
      </c>
      <c r="J9" s="2">
        <f>'sp1'!J9+'sp2'!J9+'sp3'!J9+'sp4'!J9+'sp5'!J9</f>
        <v>0</v>
      </c>
      <c r="K9" s="5">
        <v>3.4</v>
      </c>
      <c r="L9" s="5">
        <f t="shared" si="0"/>
        <v>0</v>
      </c>
    </row>
    <row r="10" spans="1:12" ht="13.15" customHeight="1">
      <c r="A10" s="2">
        <v>6</v>
      </c>
      <c r="B10" s="4" t="s">
        <v>22</v>
      </c>
      <c r="C10" s="2" t="s">
        <v>9</v>
      </c>
      <c r="D10" s="2">
        <f>'sp1'!D10+'sp2'!D10+'sp3'!D10+'sp4'!D10+'sp5'!D10</f>
        <v>0</v>
      </c>
      <c r="E10" s="5">
        <v>5.5</v>
      </c>
      <c r="F10" s="20">
        <f t="shared" si="1"/>
        <v>0</v>
      </c>
      <c r="G10" s="2">
        <v>44</v>
      </c>
      <c r="H10" s="4" t="s">
        <v>23</v>
      </c>
      <c r="I10" s="2" t="s">
        <v>9</v>
      </c>
      <c r="J10" s="2">
        <f>'sp1'!J10+'sp2'!J10+'sp3'!J10+'sp4'!J10+'sp5'!J10</f>
        <v>0</v>
      </c>
      <c r="K10" s="5">
        <v>1.05</v>
      </c>
      <c r="L10" s="5">
        <f t="shared" si="0"/>
        <v>0</v>
      </c>
    </row>
    <row r="11" spans="1:12" ht="13.15" customHeight="1">
      <c r="A11" s="2">
        <v>7</v>
      </c>
      <c r="B11" s="4" t="s">
        <v>266</v>
      </c>
      <c r="C11" s="2" t="s">
        <v>9</v>
      </c>
      <c r="D11" s="2">
        <f>'sp1'!D11+'sp2'!D11+'sp3'!D11+'sp4'!D11+'sp5'!D11</f>
        <v>0</v>
      </c>
      <c r="E11" s="5">
        <v>5.5</v>
      </c>
      <c r="F11" s="20">
        <f t="shared" si="1"/>
        <v>0</v>
      </c>
      <c r="G11" s="2">
        <v>45</v>
      </c>
      <c r="H11" s="4" t="s">
        <v>267</v>
      </c>
      <c r="I11" s="2" t="s">
        <v>9</v>
      </c>
      <c r="J11" s="2">
        <f>'sp1'!J11+'sp2'!J11+'sp3'!J11+'sp4'!J11+'sp5'!J11</f>
        <v>0</v>
      </c>
      <c r="K11" s="5">
        <v>3.4</v>
      </c>
      <c r="L11" s="5">
        <f t="shared" si="0"/>
        <v>0</v>
      </c>
    </row>
    <row r="12" spans="1:12" ht="13.15" customHeight="1">
      <c r="A12" s="2">
        <v>8</v>
      </c>
      <c r="B12" s="4" t="s">
        <v>26</v>
      </c>
      <c r="C12" s="2" t="s">
        <v>9</v>
      </c>
      <c r="D12" s="2">
        <f>'sp1'!D12+'sp2'!D12+'sp3'!D12+'sp4'!D12+'sp5'!D12</f>
        <v>0</v>
      </c>
      <c r="E12" s="5">
        <v>5.7</v>
      </c>
      <c r="F12" s="20">
        <f t="shared" si="1"/>
        <v>0</v>
      </c>
      <c r="G12" s="2">
        <v>46</v>
      </c>
      <c r="H12" s="4" t="s">
        <v>268</v>
      </c>
      <c r="I12" s="2" t="s">
        <v>9</v>
      </c>
      <c r="J12" s="2">
        <f>'sp1'!J12+'sp2'!J12+'sp3'!J12+'sp4'!J12+'sp5'!J12</f>
        <v>0</v>
      </c>
      <c r="K12" s="5">
        <v>2.35</v>
      </c>
      <c r="L12" s="5">
        <f t="shared" si="0"/>
        <v>0</v>
      </c>
    </row>
    <row r="13" spans="1:12" ht="13.15" customHeight="1">
      <c r="A13" s="2">
        <v>9</v>
      </c>
      <c r="B13" s="4" t="s">
        <v>28</v>
      </c>
      <c r="C13" s="2" t="s">
        <v>9</v>
      </c>
      <c r="D13" s="2">
        <f>'sp1'!D13+'sp2'!D13+'sp3'!D13+'sp4'!D13+'sp5'!D13</f>
        <v>0</v>
      </c>
      <c r="E13" s="5">
        <v>5.8</v>
      </c>
      <c r="F13" s="20">
        <f t="shared" si="1"/>
        <v>0</v>
      </c>
      <c r="G13" s="2">
        <v>47</v>
      </c>
      <c r="H13" s="4" t="s">
        <v>29</v>
      </c>
      <c r="I13" s="2" t="s">
        <v>9</v>
      </c>
      <c r="J13" s="2">
        <f>'sp1'!J13+'sp2'!J13+'sp3'!J13+'sp4'!J13+'sp5'!J13</f>
        <v>0</v>
      </c>
      <c r="K13" s="5">
        <v>2</v>
      </c>
      <c r="L13" s="5">
        <f t="shared" si="0"/>
        <v>0</v>
      </c>
    </row>
    <row r="14" spans="1:12" ht="13.15" customHeight="1">
      <c r="A14" s="2">
        <v>10</v>
      </c>
      <c r="B14" s="4" t="s">
        <v>30</v>
      </c>
      <c r="C14" s="2" t="s">
        <v>9</v>
      </c>
      <c r="D14" s="2">
        <f>'sp1'!D14+'sp2'!D14+'sp3'!D14+'sp4'!D14+'sp5'!D14</f>
        <v>0</v>
      </c>
      <c r="E14" s="5">
        <v>5.65</v>
      </c>
      <c r="F14" s="20">
        <f t="shared" si="1"/>
        <v>0</v>
      </c>
      <c r="G14" s="2">
        <v>48</v>
      </c>
      <c r="H14" s="4" t="s">
        <v>269</v>
      </c>
      <c r="I14" s="2" t="s">
        <v>9</v>
      </c>
      <c r="J14" s="2">
        <f>'sp1'!J14+'sp2'!J14+'sp3'!J14+'sp4'!J14+'sp5'!J14</f>
        <v>0</v>
      </c>
      <c r="K14" s="5">
        <v>2</v>
      </c>
      <c r="L14" s="5">
        <f t="shared" si="0"/>
        <v>0</v>
      </c>
    </row>
    <row r="15" spans="1:12" ht="13.15" customHeight="1">
      <c r="A15" s="2">
        <v>11</v>
      </c>
      <c r="B15" s="4" t="s">
        <v>128</v>
      </c>
      <c r="C15" s="2" t="s">
        <v>9</v>
      </c>
      <c r="D15" s="2">
        <f>'sp1'!D15+'sp2'!D15+'sp3'!D15+'sp4'!D15+'sp5'!D15</f>
        <v>0</v>
      </c>
      <c r="E15" s="5">
        <v>6.3</v>
      </c>
      <c r="F15" s="20">
        <f t="shared" si="1"/>
        <v>0</v>
      </c>
      <c r="G15" s="2">
        <v>49</v>
      </c>
      <c r="H15" s="4" t="s">
        <v>270</v>
      </c>
      <c r="I15" s="2" t="s">
        <v>9</v>
      </c>
      <c r="J15" s="2">
        <f>'sp1'!J15+'sp2'!J15+'sp3'!J15+'sp4'!J15+'sp5'!J15</f>
        <v>0</v>
      </c>
      <c r="K15" s="5">
        <v>2</v>
      </c>
      <c r="L15" s="5">
        <f t="shared" si="0"/>
        <v>0</v>
      </c>
    </row>
    <row r="16" spans="1:12" ht="13.15" customHeight="1">
      <c r="A16" s="2">
        <v>12</v>
      </c>
      <c r="B16" s="4" t="s">
        <v>271</v>
      </c>
      <c r="C16" s="2" t="s">
        <v>9</v>
      </c>
      <c r="D16" s="2">
        <f>'sp1'!D16+'sp2'!D16+'sp3'!D16+'sp4'!D16+'sp5'!D16</f>
        <v>0</v>
      </c>
      <c r="E16" s="5">
        <v>5.8</v>
      </c>
      <c r="F16" s="20">
        <f t="shared" si="1"/>
        <v>0</v>
      </c>
      <c r="G16" s="2">
        <v>50</v>
      </c>
      <c r="H16" s="4" t="s">
        <v>272</v>
      </c>
      <c r="I16" s="2" t="s">
        <v>9</v>
      </c>
      <c r="J16" s="2">
        <f>'sp1'!J16+'sp2'!J16+'sp3'!J16+'sp4'!J16+'sp5'!J16</f>
        <v>0</v>
      </c>
      <c r="K16" s="5">
        <v>7.75</v>
      </c>
      <c r="L16" s="5">
        <f t="shared" si="0"/>
        <v>0</v>
      </c>
    </row>
    <row r="17" spans="1:12" ht="13.15" customHeight="1">
      <c r="A17" s="2">
        <v>13</v>
      </c>
      <c r="B17" s="4" t="s">
        <v>273</v>
      </c>
      <c r="C17" s="2" t="s">
        <v>9</v>
      </c>
      <c r="D17" s="2">
        <f>'sp1'!D17+'sp2'!D17+'sp3'!D17+'sp4'!D17+'sp5'!D17</f>
        <v>0</v>
      </c>
      <c r="E17" s="5">
        <v>6.3</v>
      </c>
      <c r="F17" s="20">
        <f t="shared" si="1"/>
        <v>0</v>
      </c>
      <c r="G17" s="2">
        <v>51</v>
      </c>
      <c r="H17" s="4" t="s">
        <v>274</v>
      </c>
      <c r="I17" s="2" t="s">
        <v>9</v>
      </c>
      <c r="J17" s="2">
        <f>'sp1'!J17+'sp2'!J17+'sp3'!J17+'sp4'!J17+'sp5'!J17</f>
        <v>0</v>
      </c>
      <c r="K17" s="5">
        <v>6.25</v>
      </c>
      <c r="L17" s="5">
        <f t="shared" si="0"/>
        <v>0</v>
      </c>
    </row>
    <row r="18" spans="1:12" ht="13.15" customHeight="1">
      <c r="A18" s="2">
        <v>14</v>
      </c>
      <c r="B18" s="4" t="s">
        <v>38</v>
      </c>
      <c r="C18" s="2" t="s">
        <v>9</v>
      </c>
      <c r="D18" s="2">
        <f>'sp1'!D18+'sp2'!D18+'sp3'!D18+'sp4'!D18+'sp5'!D18</f>
        <v>0</v>
      </c>
      <c r="E18" s="5">
        <v>4.5999999999999996</v>
      </c>
      <c r="F18" s="20">
        <f t="shared" si="1"/>
        <v>0</v>
      </c>
      <c r="G18" s="2">
        <v>52</v>
      </c>
      <c r="H18" s="4" t="s">
        <v>275</v>
      </c>
      <c r="I18" s="2" t="s">
        <v>9</v>
      </c>
      <c r="J18" s="2">
        <f>'sp1'!J18+'sp2'!J18+'sp3'!J18+'sp4'!J18+'sp5'!J18</f>
        <v>0</v>
      </c>
      <c r="K18" s="5">
        <v>6.1</v>
      </c>
      <c r="L18" s="5">
        <f t="shared" si="0"/>
        <v>0</v>
      </c>
    </row>
    <row r="19" spans="1:12" ht="13.15" customHeight="1">
      <c r="A19" s="2">
        <v>15</v>
      </c>
      <c r="B19" s="4" t="s">
        <v>40</v>
      </c>
      <c r="C19" s="2" t="s">
        <v>9</v>
      </c>
      <c r="D19" s="2">
        <f>'sp1'!D19+'sp2'!D19+'sp3'!D19+'sp4'!D19+'sp5'!D19</f>
        <v>0</v>
      </c>
      <c r="E19" s="5">
        <v>5.0999999999999996</v>
      </c>
      <c r="F19" s="20">
        <f t="shared" si="1"/>
        <v>0</v>
      </c>
      <c r="G19" s="2">
        <v>53</v>
      </c>
      <c r="H19" s="4" t="s">
        <v>276</v>
      </c>
      <c r="I19" s="2" t="s">
        <v>9</v>
      </c>
      <c r="J19" s="2">
        <f>'sp1'!J19+'sp2'!J19+'sp3'!J19+'sp4'!J19+'sp5'!J19</f>
        <v>0</v>
      </c>
      <c r="K19" s="5">
        <v>7.5</v>
      </c>
      <c r="L19" s="5">
        <f t="shared" si="0"/>
        <v>0</v>
      </c>
    </row>
    <row r="20" spans="1:12" ht="13.15" customHeight="1">
      <c r="A20" s="2">
        <v>16</v>
      </c>
      <c r="B20" s="4" t="s">
        <v>42</v>
      </c>
      <c r="C20" s="2" t="s">
        <v>9</v>
      </c>
      <c r="D20" s="2">
        <f>'sp1'!D20+'sp2'!D20+'sp3'!D20+'sp4'!D20+'sp5'!D20</f>
        <v>0</v>
      </c>
      <c r="E20" s="5">
        <v>2.2999999999999998</v>
      </c>
      <c r="F20" s="20">
        <f t="shared" si="1"/>
        <v>0</v>
      </c>
      <c r="G20" s="2">
        <v>54</v>
      </c>
      <c r="H20" s="4" t="s">
        <v>277</v>
      </c>
      <c r="I20" s="2" t="s">
        <v>9</v>
      </c>
      <c r="J20" s="2">
        <f>'sp1'!J20+'sp2'!J20+'sp3'!J20+'sp4'!J20+'sp5'!J20</f>
        <v>0</v>
      </c>
      <c r="K20" s="5">
        <v>8.5</v>
      </c>
      <c r="L20" s="5">
        <f t="shared" si="0"/>
        <v>0</v>
      </c>
    </row>
    <row r="21" spans="1:12" ht="13.15" customHeight="1">
      <c r="A21" s="2">
        <v>17</v>
      </c>
      <c r="B21" s="4" t="s">
        <v>44</v>
      </c>
      <c r="C21" s="2" t="s">
        <v>9</v>
      </c>
      <c r="D21" s="2">
        <f>'sp1'!D21+'sp2'!D21+'sp3'!D21+'sp4'!D21+'sp5'!D21</f>
        <v>0</v>
      </c>
      <c r="E21" s="5">
        <v>1.25</v>
      </c>
      <c r="F21" s="20">
        <f t="shared" si="1"/>
        <v>0</v>
      </c>
      <c r="G21" s="2">
        <v>55</v>
      </c>
      <c r="H21" s="4" t="s">
        <v>106</v>
      </c>
      <c r="I21" s="2" t="s">
        <v>9</v>
      </c>
      <c r="J21" s="2">
        <f>'sp1'!J21+'sp2'!J21+'sp3'!J21+'sp4'!J21+'sp5'!J21</f>
        <v>0</v>
      </c>
      <c r="K21" s="5">
        <v>7.5</v>
      </c>
      <c r="L21" s="5">
        <f t="shared" si="0"/>
        <v>0</v>
      </c>
    </row>
    <row r="22" spans="1:12" ht="13.15" customHeight="1">
      <c r="A22" s="2">
        <v>18</v>
      </c>
      <c r="B22" s="4" t="s">
        <v>46</v>
      </c>
      <c r="C22" s="2" t="s">
        <v>9</v>
      </c>
      <c r="D22" s="2">
        <f>'sp1'!D22+'sp2'!D22+'sp3'!D22+'sp4'!D22+'sp5'!D22</f>
        <v>0</v>
      </c>
      <c r="E22" s="5">
        <v>5.5</v>
      </c>
      <c r="F22" s="20">
        <f t="shared" si="1"/>
        <v>0</v>
      </c>
      <c r="G22" s="2">
        <v>56</v>
      </c>
      <c r="H22" s="4" t="s">
        <v>278</v>
      </c>
      <c r="I22" s="2" t="s">
        <v>9</v>
      </c>
      <c r="J22" s="2">
        <f>'sp1'!J22+'sp2'!J22+'sp3'!J22+'sp4'!J22+'sp5'!J22</f>
        <v>0</v>
      </c>
      <c r="K22" s="5">
        <v>2.1</v>
      </c>
      <c r="L22" s="5">
        <f t="shared" si="0"/>
        <v>0</v>
      </c>
    </row>
    <row r="23" spans="1:12" ht="13.15" customHeight="1">
      <c r="A23" s="2">
        <v>19</v>
      </c>
      <c r="B23" s="4" t="s">
        <v>48</v>
      </c>
      <c r="C23" s="2" t="s">
        <v>9</v>
      </c>
      <c r="D23" s="2">
        <f>'sp1'!D23+'sp2'!D23+'sp3'!D23+'sp4'!D23+'sp5'!D23</f>
        <v>0</v>
      </c>
      <c r="E23" s="5">
        <v>6.25</v>
      </c>
      <c r="F23" s="20">
        <f t="shared" si="1"/>
        <v>0</v>
      </c>
      <c r="G23" s="2">
        <v>57</v>
      </c>
      <c r="H23" s="4" t="s">
        <v>49</v>
      </c>
      <c r="I23" s="2" t="s">
        <v>9</v>
      </c>
      <c r="J23" s="2">
        <f>'sp1'!J23+'sp2'!J23+'sp3'!J23+'sp4'!J23+'sp5'!J23</f>
        <v>0</v>
      </c>
      <c r="K23" s="2">
        <v>2.85</v>
      </c>
      <c r="L23" s="5">
        <f t="shared" si="0"/>
        <v>0</v>
      </c>
    </row>
    <row r="24" spans="1:12" ht="13.15" customHeight="1">
      <c r="A24" s="2">
        <v>20</v>
      </c>
      <c r="B24" s="4" t="s">
        <v>50</v>
      </c>
      <c r="C24" s="2" t="s">
        <v>9</v>
      </c>
      <c r="D24" s="2">
        <f>'sp1'!D24+'sp2'!D24+'sp3'!D24+'sp4'!D24+'sp5'!D24</f>
        <v>150</v>
      </c>
      <c r="E24" s="5">
        <v>5.9</v>
      </c>
      <c r="F24" s="20">
        <f t="shared" si="1"/>
        <v>885</v>
      </c>
      <c r="G24" s="2">
        <v>58</v>
      </c>
      <c r="H24" s="4" t="s">
        <v>279</v>
      </c>
      <c r="I24" s="2" t="s">
        <v>9</v>
      </c>
      <c r="J24" s="2">
        <f>'sp1'!J24+'sp2'!J24+'sp3'!J24+'sp4'!J24+'sp5'!J24</f>
        <v>0</v>
      </c>
      <c r="K24" s="2">
        <v>2.1</v>
      </c>
      <c r="L24" s="5">
        <f t="shared" si="0"/>
        <v>0</v>
      </c>
    </row>
    <row r="25" spans="1:12" ht="13.15" customHeight="1">
      <c r="A25" s="2">
        <v>21</v>
      </c>
      <c r="B25" s="4" t="s">
        <v>96</v>
      </c>
      <c r="C25" s="2" t="s">
        <v>9</v>
      </c>
      <c r="D25" s="2">
        <f>'sp1'!D25+'sp2'!D25+'sp3'!D25+'sp4'!D25+'sp5'!D25</f>
        <v>0</v>
      </c>
      <c r="E25" s="5">
        <v>6.6</v>
      </c>
      <c r="F25" s="20">
        <f t="shared" si="1"/>
        <v>0</v>
      </c>
      <c r="G25" s="2">
        <v>59</v>
      </c>
      <c r="H25" s="4" t="s">
        <v>280</v>
      </c>
      <c r="I25" s="2" t="s">
        <v>9</v>
      </c>
      <c r="J25" s="2">
        <f>'sp1'!J25+'sp2'!J25+'sp3'!J25+'sp4'!J25+'sp5'!J25</f>
        <v>0</v>
      </c>
      <c r="K25" s="2">
        <v>8.75</v>
      </c>
      <c r="L25" s="5">
        <f t="shared" si="0"/>
        <v>0</v>
      </c>
    </row>
    <row r="26" spans="1:12" ht="13.15" customHeight="1">
      <c r="A26" s="2">
        <v>22</v>
      </c>
      <c r="B26" s="4" t="s">
        <v>54</v>
      </c>
      <c r="C26" s="2" t="s">
        <v>9</v>
      </c>
      <c r="D26" s="2">
        <f>'sp1'!D26+'sp2'!D26+'sp3'!D26+'sp4'!D26+'sp5'!D26</f>
        <v>0</v>
      </c>
      <c r="E26" s="5">
        <v>5.2</v>
      </c>
      <c r="F26" s="20">
        <f t="shared" si="1"/>
        <v>0</v>
      </c>
      <c r="G26" s="2">
        <v>60</v>
      </c>
      <c r="H26" s="4" t="s">
        <v>55</v>
      </c>
      <c r="I26" s="2" t="s">
        <v>9</v>
      </c>
      <c r="J26" s="2">
        <f>'sp1'!J26+'sp2'!J26+'sp3'!J26+'sp4'!J26+'sp5'!J26</f>
        <v>0</v>
      </c>
      <c r="K26" s="2">
        <v>5.75</v>
      </c>
      <c r="L26" s="5">
        <f t="shared" si="0"/>
        <v>0</v>
      </c>
    </row>
    <row r="27" spans="1:12" ht="13.15" customHeight="1">
      <c r="A27" s="2">
        <v>23</v>
      </c>
      <c r="B27" s="4" t="s">
        <v>56</v>
      </c>
      <c r="C27" s="2" t="s">
        <v>9</v>
      </c>
      <c r="D27" s="2">
        <f>'sp1'!D27+'sp2'!D27+'sp3'!D27+'sp4'!D27+'sp5'!D27</f>
        <v>0</v>
      </c>
      <c r="E27" s="5">
        <v>4.25</v>
      </c>
      <c r="F27" s="20">
        <f t="shared" si="1"/>
        <v>0</v>
      </c>
      <c r="G27" s="2">
        <v>61</v>
      </c>
      <c r="H27" s="4" t="s">
        <v>57</v>
      </c>
      <c r="I27" s="2" t="s">
        <v>9</v>
      </c>
      <c r="J27" s="2">
        <f>'sp1'!J27+'sp2'!J27+'sp3'!J27+'sp4'!J27+'sp5'!J27</f>
        <v>0</v>
      </c>
      <c r="K27" s="2">
        <v>3.35</v>
      </c>
      <c r="L27" s="5">
        <f t="shared" si="0"/>
        <v>0</v>
      </c>
    </row>
    <row r="28" spans="1:12" ht="13.15" customHeight="1">
      <c r="A28" s="2">
        <v>24</v>
      </c>
      <c r="B28" s="4" t="s">
        <v>58</v>
      </c>
      <c r="C28" s="2" t="s">
        <v>9</v>
      </c>
      <c r="D28" s="2">
        <f>'sp1'!D28+'sp2'!D28+'sp3'!D28+'sp4'!D28+'sp5'!D28</f>
        <v>0</v>
      </c>
      <c r="E28" s="5">
        <v>4.75</v>
      </c>
      <c r="F28" s="20">
        <f t="shared" si="1"/>
        <v>0</v>
      </c>
      <c r="G28" s="2">
        <v>62</v>
      </c>
      <c r="H28" s="4" t="s">
        <v>281</v>
      </c>
      <c r="I28" s="2" t="s">
        <v>9</v>
      </c>
      <c r="J28" s="2">
        <f>'sp1'!J28+'sp2'!J28+'sp3'!J28+'sp4'!J28+'sp5'!J28</f>
        <v>0</v>
      </c>
      <c r="K28" s="2">
        <v>4</v>
      </c>
      <c r="L28" s="5">
        <f t="shared" si="0"/>
        <v>0</v>
      </c>
    </row>
    <row r="29" spans="1:12" ht="13.15" customHeight="1">
      <c r="A29" s="2">
        <v>25</v>
      </c>
      <c r="B29" s="4" t="s">
        <v>60</v>
      </c>
      <c r="C29" s="2" t="s">
        <v>9</v>
      </c>
      <c r="D29" s="2">
        <f>'sp1'!D29+'sp2'!D29+'sp3'!D29+'sp4'!D29+'sp5'!D29</f>
        <v>0</v>
      </c>
      <c r="E29" s="5">
        <v>5.5</v>
      </c>
      <c r="F29" s="20">
        <f t="shared" si="1"/>
        <v>0</v>
      </c>
      <c r="G29" s="2">
        <v>63</v>
      </c>
      <c r="H29" s="4" t="s">
        <v>140</v>
      </c>
      <c r="I29" s="2" t="s">
        <v>9</v>
      </c>
      <c r="J29" s="2">
        <f>'sp1'!J29+'sp2'!J29+'sp3'!J29+'sp4'!J29+'sp5'!J29</f>
        <v>0</v>
      </c>
      <c r="K29" s="2">
        <v>7.5</v>
      </c>
      <c r="L29" s="5">
        <f t="shared" si="0"/>
        <v>0</v>
      </c>
    </row>
    <row r="30" spans="1:12" ht="13.15" customHeight="1">
      <c r="A30" s="2">
        <v>26</v>
      </c>
      <c r="B30" s="4" t="s">
        <v>62</v>
      </c>
      <c r="C30" s="2" t="s">
        <v>9</v>
      </c>
      <c r="D30" s="2">
        <f>'sp1'!D30+'sp2'!D30+'sp3'!D30+'sp4'!D30+'sp5'!D30</f>
        <v>0</v>
      </c>
      <c r="E30" s="5">
        <v>4.4000000000000004</v>
      </c>
      <c r="F30" s="5">
        <f t="shared" si="1"/>
        <v>0</v>
      </c>
      <c r="G30" s="2">
        <v>64</v>
      </c>
      <c r="H30" s="4" t="s">
        <v>282</v>
      </c>
      <c r="I30" s="2" t="s">
        <v>9</v>
      </c>
      <c r="J30" s="2">
        <f>'sp1'!J30+'sp2'!J30+'sp3'!J30+'sp4'!J30+'sp5'!J30</f>
        <v>0</v>
      </c>
      <c r="K30" s="2">
        <v>4.25</v>
      </c>
      <c r="L30" s="5">
        <f t="shared" si="0"/>
        <v>0</v>
      </c>
    </row>
    <row r="31" spans="1:12" ht="13.15" customHeight="1">
      <c r="A31" s="2">
        <v>27</v>
      </c>
      <c r="B31" s="4" t="s">
        <v>102</v>
      </c>
      <c r="C31" s="2" t="s">
        <v>9</v>
      </c>
      <c r="D31" s="2">
        <f>'sp1'!D31+'sp2'!D31+'sp3'!D31+'sp4'!D31+'sp5'!D31</f>
        <v>0</v>
      </c>
      <c r="E31" s="5">
        <v>5.75</v>
      </c>
      <c r="F31" s="5">
        <f t="shared" si="1"/>
        <v>0</v>
      </c>
      <c r="G31" s="2">
        <v>65</v>
      </c>
      <c r="H31" s="4" t="s">
        <v>283</v>
      </c>
      <c r="I31" s="2" t="s">
        <v>9</v>
      </c>
      <c r="J31" s="2">
        <f>'sp1'!J31+'sp2'!J31+'sp3'!J31+'sp4'!J31+'sp5'!J31</f>
        <v>0</v>
      </c>
      <c r="K31" s="2">
        <v>3.4</v>
      </c>
      <c r="L31" s="5">
        <f t="shared" si="0"/>
        <v>0</v>
      </c>
    </row>
    <row r="32" spans="1:12" ht="13.15" customHeight="1">
      <c r="A32" s="2">
        <v>28</v>
      </c>
      <c r="B32" s="4" t="s">
        <v>104</v>
      </c>
      <c r="C32" s="2" t="s">
        <v>9</v>
      </c>
      <c r="D32" s="2">
        <f>'sp1'!D32+'sp2'!D32+'sp3'!D32+'sp4'!D32+'sp5'!D32</f>
        <v>0</v>
      </c>
      <c r="E32" s="5">
        <v>7.5</v>
      </c>
      <c r="F32" s="20">
        <f t="shared" si="1"/>
        <v>0</v>
      </c>
      <c r="G32" s="2">
        <v>66</v>
      </c>
      <c r="H32" s="4" t="s">
        <v>284</v>
      </c>
      <c r="I32" s="2" t="s">
        <v>9</v>
      </c>
      <c r="J32" s="2">
        <f>'sp1'!J32+'sp2'!J32+'sp3'!J32+'sp4'!J32+'sp5'!J32</f>
        <v>0</v>
      </c>
      <c r="K32" s="2">
        <v>5.75</v>
      </c>
      <c r="L32" s="5">
        <f t="shared" si="0"/>
        <v>0</v>
      </c>
    </row>
    <row r="33" spans="1:12" ht="13.15" customHeight="1">
      <c r="A33" s="2">
        <v>29</v>
      </c>
      <c r="B33" s="4" t="s">
        <v>285</v>
      </c>
      <c r="C33" s="2" t="s">
        <v>9</v>
      </c>
      <c r="D33" s="2">
        <f>'sp1'!D33+'sp2'!D33+'sp3'!D33+'sp4'!D33+'sp5'!D33</f>
        <v>0</v>
      </c>
      <c r="E33" s="5">
        <v>5.3</v>
      </c>
      <c r="F33" s="5">
        <f t="shared" si="1"/>
        <v>0</v>
      </c>
      <c r="G33" s="2">
        <v>67</v>
      </c>
      <c r="H33" s="4" t="s">
        <v>286</v>
      </c>
      <c r="I33" s="2" t="s">
        <v>9</v>
      </c>
      <c r="J33" s="2">
        <f>'sp1'!J33+'sp2'!J33+'sp3'!J33+'sp4'!J33+'sp5'!J33</f>
        <v>0</v>
      </c>
      <c r="K33" s="2">
        <v>2.2000000000000002</v>
      </c>
      <c r="L33" s="5">
        <f t="shared" si="0"/>
        <v>0</v>
      </c>
    </row>
    <row r="34" spans="1:12" ht="13.15" customHeight="1">
      <c r="A34" s="2">
        <v>30</v>
      </c>
      <c r="B34" s="4" t="s">
        <v>70</v>
      </c>
      <c r="C34" s="2" t="s">
        <v>9</v>
      </c>
      <c r="D34" s="2">
        <f>'sp1'!D34+'sp2'!D34+'sp3'!D34+'sp4'!D34+'sp5'!D34</f>
        <v>0</v>
      </c>
      <c r="E34" s="5">
        <v>5.75</v>
      </c>
      <c r="F34" s="5">
        <f t="shared" si="1"/>
        <v>0</v>
      </c>
      <c r="G34" s="2">
        <v>68</v>
      </c>
      <c r="H34" s="4" t="s">
        <v>287</v>
      </c>
      <c r="I34" s="2" t="s">
        <v>9</v>
      </c>
      <c r="J34" s="2">
        <f>'sp1'!J34+'sp2'!J34+'sp3'!J34+'sp4'!J34+'sp5'!J34</f>
        <v>0</v>
      </c>
      <c r="K34" s="2">
        <v>3.4</v>
      </c>
      <c r="L34" s="5">
        <f t="shared" si="0"/>
        <v>0</v>
      </c>
    </row>
    <row r="35" spans="1:12" ht="13.15" customHeight="1">
      <c r="A35" s="2">
        <v>31</v>
      </c>
      <c r="B35" s="4" t="s">
        <v>72</v>
      </c>
      <c r="C35" s="2" t="s">
        <v>9</v>
      </c>
      <c r="D35" s="2">
        <f>'sp1'!D35+'sp2'!D35+'sp3'!D35+'sp4'!D35+'sp5'!D35</f>
        <v>0</v>
      </c>
      <c r="E35" s="5">
        <v>5.3</v>
      </c>
      <c r="F35" s="20">
        <f t="shared" si="1"/>
        <v>0</v>
      </c>
      <c r="G35" s="2">
        <v>69</v>
      </c>
      <c r="H35" s="4" t="s">
        <v>288</v>
      </c>
      <c r="I35" s="2" t="s">
        <v>9</v>
      </c>
      <c r="J35" s="2">
        <f>'sp1'!J35+'sp2'!J35+'sp3'!J35+'sp4'!J35+'sp5'!J35</f>
        <v>0</v>
      </c>
      <c r="K35" s="2">
        <v>3.4</v>
      </c>
      <c r="L35" s="5">
        <f t="shared" si="0"/>
        <v>0</v>
      </c>
    </row>
    <row r="36" spans="1:12" ht="13.15" customHeight="1">
      <c r="A36" s="2">
        <v>32</v>
      </c>
      <c r="B36" s="4" t="s">
        <v>74</v>
      </c>
      <c r="C36" s="2" t="s">
        <v>9</v>
      </c>
      <c r="D36" s="2">
        <f>'sp1'!D36+'sp2'!D36+'sp3'!D36+'sp4'!D36+'sp5'!D36</f>
        <v>0</v>
      </c>
      <c r="E36" s="2">
        <v>2.2999999999999998</v>
      </c>
      <c r="F36" s="20">
        <f t="shared" si="1"/>
        <v>0</v>
      </c>
      <c r="G36" s="2">
        <v>70</v>
      </c>
      <c r="H36" s="4" t="s">
        <v>289</v>
      </c>
      <c r="I36" s="2" t="s">
        <v>9</v>
      </c>
      <c r="J36" s="2">
        <f>'sp1'!J36+'sp2'!J36+'sp3'!J36+'sp4'!J36+'sp5'!J36</f>
        <v>0</v>
      </c>
      <c r="K36" s="2">
        <v>34.25</v>
      </c>
      <c r="L36" s="5">
        <f t="shared" si="0"/>
        <v>0</v>
      </c>
    </row>
    <row r="37" spans="1:12" ht="13.15" customHeight="1">
      <c r="A37" s="2">
        <v>33</v>
      </c>
      <c r="B37" s="4" t="s">
        <v>76</v>
      </c>
      <c r="C37" s="2" t="s">
        <v>9</v>
      </c>
      <c r="D37" s="2">
        <f>'sp1'!D37+'sp2'!D37+'sp3'!D37+'sp4'!D37+'sp5'!D37</f>
        <v>0</v>
      </c>
      <c r="E37" s="2">
        <v>3.25</v>
      </c>
      <c r="F37" s="20">
        <f t="shared" si="1"/>
        <v>0</v>
      </c>
      <c r="G37" s="2">
        <v>71</v>
      </c>
      <c r="H37" s="4" t="s">
        <v>290</v>
      </c>
      <c r="I37" s="2" t="s">
        <v>9</v>
      </c>
      <c r="J37" s="2">
        <f>'sp1'!J37+'sp2'!J37+'sp3'!J37+'sp4'!J37+'sp5'!J37</f>
        <v>0</v>
      </c>
      <c r="K37" s="2">
        <v>3.75</v>
      </c>
      <c r="L37" s="5">
        <f t="shared" si="0"/>
        <v>0</v>
      </c>
    </row>
    <row r="38" spans="1:12" ht="13.15" customHeight="1">
      <c r="A38" s="2">
        <v>34</v>
      </c>
      <c r="B38" s="4" t="s">
        <v>78</v>
      </c>
      <c r="C38" s="2" t="s">
        <v>9</v>
      </c>
      <c r="D38" s="2">
        <f>'sp1'!D38+'sp2'!D38+'sp3'!D38+'sp4'!D38+'sp5'!D38</f>
        <v>0</v>
      </c>
      <c r="E38" s="2">
        <v>6.25</v>
      </c>
      <c r="F38" s="20">
        <f t="shared" si="1"/>
        <v>0</v>
      </c>
      <c r="G38" s="2">
        <v>72</v>
      </c>
      <c r="H38" s="4" t="s">
        <v>291</v>
      </c>
      <c r="I38" s="2" t="s">
        <v>9</v>
      </c>
      <c r="J38" s="2">
        <f>'sp1'!J38+'sp2'!J38+'sp3'!J38+'sp4'!J38+'sp5'!J38</f>
        <v>0</v>
      </c>
      <c r="K38" s="2">
        <v>6.25</v>
      </c>
      <c r="L38" s="5">
        <f t="shared" si="0"/>
        <v>0</v>
      </c>
    </row>
    <row r="39" spans="1:12" ht="13.15" customHeight="1">
      <c r="A39" s="2">
        <v>35</v>
      </c>
      <c r="B39" s="4" t="s">
        <v>80</v>
      </c>
      <c r="C39" s="2" t="s">
        <v>9</v>
      </c>
      <c r="D39" s="2">
        <f>'sp1'!D39+'sp2'!D39+'sp3'!D39+'sp4'!D39+'sp5'!D39</f>
        <v>0</v>
      </c>
      <c r="E39" s="2">
        <v>3.75</v>
      </c>
      <c r="F39" s="20">
        <f t="shared" si="1"/>
        <v>0</v>
      </c>
      <c r="G39" s="2">
        <v>73</v>
      </c>
      <c r="H39" s="4" t="s">
        <v>111</v>
      </c>
      <c r="I39" s="2" t="s">
        <v>9</v>
      </c>
      <c r="J39" s="2">
        <f>'sp1'!J39+'sp2'!J39+'sp3'!J39+'sp4'!J39+'sp5'!J39</f>
        <v>0</v>
      </c>
      <c r="K39" s="2">
        <v>3.2</v>
      </c>
      <c r="L39" s="5">
        <f t="shared" si="0"/>
        <v>0</v>
      </c>
    </row>
    <row r="40" spans="1:12" ht="13.15" customHeight="1">
      <c r="I40" s="33" t="s">
        <v>82</v>
      </c>
      <c r="J40" s="34"/>
      <c r="K40" s="34"/>
      <c r="L40" s="24">
        <f>F13+F14+F15+F16+F17+F18+F19+F20+F21+F22+F23+F24+F25+F26+F27+F28+F29+F30+F31+F32+F33+F34+F35+F36+F37+F38+F39+L10+L11+L12+L13+L14+L15+L16+L17+L18+L19+L20+L21+L22+L23+L24+L25+L26+L27+L28+L29+L30+L31+Q32+Q33+Q34+Q35+Q36+Q37+Q38+Q39+L32+L33+L34+L35+L36+L37+L38+L39+F12+F11+F10+F9+F8+F7+F6+F5+L2+L3+L4+L5+L6+L7+L8+L9</f>
        <v>885</v>
      </c>
    </row>
    <row r="42" spans="1:12" ht="13.15" customHeight="1">
      <c r="H42" t="s">
        <v>83</v>
      </c>
      <c r="I42" s="13" t="s">
        <v>84</v>
      </c>
      <c r="J42" t="s">
        <v>85</v>
      </c>
    </row>
  </sheetData>
  <mergeCells count="5">
    <mergeCell ref="A1:C1"/>
    <mergeCell ref="D1:F1"/>
    <mergeCell ref="A2:F2"/>
    <mergeCell ref="A3:F3"/>
    <mergeCell ref="I40:K4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183</vt:i4>
      </vt:variant>
    </vt:vector>
  </HeadingPairs>
  <TitlesOfParts>
    <vt:vector size="183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Доставка ЦЕНТР РОКИТ з хліб БЦ</vt:lpstr>
      <vt:lpstr>1.1</vt:lpstr>
      <vt:lpstr>1.2</vt:lpstr>
      <vt:lpstr>1.3</vt:lpstr>
      <vt:lpstr>1.4</vt:lpstr>
      <vt:lpstr>1.5</vt:lpstr>
      <vt:lpstr>1.6</vt:lpstr>
      <vt:lpstr>1.7</vt:lpstr>
      <vt:lpstr>1.8</vt:lpstr>
      <vt:lpstr>1.9</vt:lpstr>
      <vt:lpstr>1.10</vt:lpstr>
      <vt:lpstr>1.11</vt:lpstr>
      <vt:lpstr>1.12</vt:lpstr>
      <vt:lpstr>1.13</vt:lpstr>
      <vt:lpstr>1.14</vt:lpstr>
      <vt:lpstr>1.15</vt:lpstr>
      <vt:lpstr>ДОСТАВКА СЕЛО З ХЛІБОМ Б.Ц</vt:lpstr>
      <vt:lpstr>bcd1</vt:lpstr>
      <vt:lpstr>bcd2</vt:lpstr>
      <vt:lpstr>bcd3</vt:lpstr>
      <vt:lpstr>bcd4</vt:lpstr>
      <vt:lpstr>bcd5</vt:lpstr>
      <vt:lpstr>bcd6</vt:lpstr>
      <vt:lpstr>bcd7</vt:lpstr>
      <vt:lpstr>bcd8</vt:lpstr>
      <vt:lpstr>bcd9</vt:lpstr>
      <vt:lpstr>bcd10</vt:lpstr>
      <vt:lpstr>bcd11</vt:lpstr>
      <vt:lpstr>bcd12</vt:lpstr>
      <vt:lpstr>bcd13</vt:lpstr>
      <vt:lpstr>bcd14</vt:lpstr>
      <vt:lpstr>bcd15</vt:lpstr>
      <vt:lpstr>bcd16</vt:lpstr>
      <vt:lpstr>bcd17</vt:lpstr>
      <vt:lpstr>bcd18</vt:lpstr>
      <vt:lpstr>bcd19</vt:lpstr>
      <vt:lpstr>bcd20</vt:lpstr>
      <vt:lpstr>bcd21</vt:lpstr>
      <vt:lpstr>bcd22</vt:lpstr>
      <vt:lpstr>bcd23</vt:lpstr>
      <vt:lpstr>bcd24</vt:lpstr>
      <vt:lpstr>Б.Ц. ДОСТАВКА</vt:lpstr>
      <vt:lpstr>d1</vt:lpstr>
      <vt:lpstr>d2</vt:lpstr>
      <vt:lpstr>d3</vt:lpstr>
      <vt:lpstr>d4</vt:lpstr>
      <vt:lpstr>d5</vt:lpstr>
      <vt:lpstr>d6</vt:lpstr>
      <vt:lpstr>d7</vt:lpstr>
      <vt:lpstr>d8</vt:lpstr>
      <vt:lpstr>d9</vt:lpstr>
      <vt:lpstr>d10</vt:lpstr>
      <vt:lpstr>d11</vt:lpstr>
      <vt:lpstr>d12</vt:lpstr>
      <vt:lpstr>d13</vt:lpstr>
      <vt:lpstr>d14</vt:lpstr>
      <vt:lpstr>d15</vt:lpstr>
      <vt:lpstr>ДОСТАВКА</vt:lpstr>
      <vt:lpstr>КАГАРЛИК РИНОК</vt:lpstr>
      <vt:lpstr>k1</vt:lpstr>
      <vt:lpstr>k2</vt:lpstr>
      <vt:lpstr>k3</vt:lpstr>
      <vt:lpstr>k4</vt:lpstr>
      <vt:lpstr>k5</vt:lpstr>
      <vt:lpstr>k6</vt:lpstr>
      <vt:lpstr>k7</vt:lpstr>
      <vt:lpstr>k8</vt:lpstr>
      <vt:lpstr>k9</vt:lpstr>
      <vt:lpstr>k10</vt:lpstr>
      <vt:lpstr>k11</vt:lpstr>
      <vt:lpstr>k12</vt:lpstr>
      <vt:lpstr>k13</vt:lpstr>
      <vt:lpstr>k14</vt:lpstr>
      <vt:lpstr>k15</vt:lpstr>
      <vt:lpstr>k16</vt:lpstr>
      <vt:lpstr>k17</vt:lpstr>
      <vt:lpstr>k18</vt:lpstr>
      <vt:lpstr>k19</vt:lpstr>
      <vt:lpstr>k20</vt:lpstr>
      <vt:lpstr>k21</vt:lpstr>
      <vt:lpstr>k22</vt:lpstr>
      <vt:lpstr>k23</vt:lpstr>
      <vt:lpstr>k24</vt:lpstr>
      <vt:lpstr>k25</vt:lpstr>
      <vt:lpstr>КИЇВ</vt:lpstr>
      <vt:lpstr>маг.Пекарня</vt:lpstr>
      <vt:lpstr>маг. Центр</vt:lpstr>
      <vt:lpstr>МАГАЗИНИ</vt:lpstr>
      <vt:lpstr>ptu1</vt:lpstr>
      <vt:lpstr>ptu2</vt:lpstr>
      <vt:lpstr>ptu3</vt:lpstr>
      <vt:lpstr>Проф. Ліцей</vt:lpstr>
      <vt:lpstr>f1</vt:lpstr>
      <vt:lpstr>f2</vt:lpstr>
      <vt:lpstr>f3</vt:lpstr>
      <vt:lpstr>f4</vt:lpstr>
      <vt:lpstr>f5</vt:lpstr>
      <vt:lpstr>f6</vt:lpstr>
      <vt:lpstr>f7</vt:lpstr>
      <vt:lpstr>f8</vt:lpstr>
      <vt:lpstr>f9</vt:lpstr>
      <vt:lpstr>f10</vt:lpstr>
      <vt:lpstr>f11</vt:lpstr>
      <vt:lpstr>f12</vt:lpstr>
      <vt:lpstr>f13</vt:lpstr>
      <vt:lpstr>f14</vt:lpstr>
      <vt:lpstr>f15</vt:lpstr>
      <vt:lpstr>f16</vt:lpstr>
      <vt:lpstr>f17</vt:lpstr>
      <vt:lpstr>f18</vt:lpstr>
      <vt:lpstr>Фастов Кагарлик Б.Ц. Ніч</vt:lpstr>
      <vt:lpstr>s1</vt:lpstr>
      <vt:lpstr>s2</vt:lpstr>
      <vt:lpstr>s3</vt:lpstr>
      <vt:lpstr>s4</vt:lpstr>
      <vt:lpstr>s5</vt:lpstr>
      <vt:lpstr>s6</vt:lpstr>
      <vt:lpstr>s7</vt:lpstr>
      <vt:lpstr>s8</vt:lpstr>
      <vt:lpstr>ШКОЛА</vt:lpstr>
      <vt:lpstr>q1</vt:lpstr>
      <vt:lpstr>q2</vt:lpstr>
      <vt:lpstr>q3</vt:lpstr>
      <vt:lpstr>q4</vt:lpstr>
      <vt:lpstr>q5</vt:lpstr>
      <vt:lpstr>q6</vt:lpstr>
      <vt:lpstr>q7</vt:lpstr>
      <vt:lpstr>q8</vt:lpstr>
      <vt:lpstr>q9</vt:lpstr>
      <vt:lpstr>q10</vt:lpstr>
      <vt:lpstr>q11</vt:lpstr>
      <vt:lpstr>q12</vt:lpstr>
      <vt:lpstr>q13</vt:lpstr>
      <vt:lpstr>q14</vt:lpstr>
      <vt:lpstr>q15</vt:lpstr>
      <vt:lpstr>КОЛГОСПИ</vt:lpstr>
      <vt:lpstr>p1</vt:lpstr>
      <vt:lpstr>p2</vt:lpstr>
      <vt:lpstr>p3</vt:lpstr>
      <vt:lpstr>p4</vt:lpstr>
      <vt:lpstr>p5</vt:lpstr>
      <vt:lpstr>p6</vt:lpstr>
      <vt:lpstr>p7</vt:lpstr>
      <vt:lpstr>p8</vt:lpstr>
      <vt:lpstr>p9</vt:lpstr>
      <vt:lpstr>p10</vt:lpstr>
      <vt:lpstr>p11</vt:lpstr>
      <vt:lpstr>p12</vt:lpstr>
      <vt:lpstr>p13</vt:lpstr>
      <vt:lpstr>p16</vt:lpstr>
      <vt:lpstr>p14</vt:lpstr>
      <vt:lpstr>p15</vt:lpstr>
      <vt:lpstr>p17</vt:lpstr>
      <vt:lpstr>p18</vt:lpstr>
      <vt:lpstr>p19</vt:lpstr>
      <vt:lpstr>p20</vt:lpstr>
      <vt:lpstr>p21</vt:lpstr>
      <vt:lpstr>p22</vt:lpstr>
      <vt:lpstr>p23</vt:lpstr>
      <vt:lpstr>p24</vt:lpstr>
      <vt:lpstr>p25</vt:lpstr>
      <vt:lpstr>p26</vt:lpstr>
      <vt:lpstr>p27</vt:lpstr>
      <vt:lpstr>p28</vt:lpstr>
      <vt:lpstr>p29</vt:lpstr>
      <vt:lpstr>p30</vt:lpstr>
      <vt:lpstr>З ПЕКАРНІ </vt:lpstr>
      <vt:lpstr>sp1</vt:lpstr>
      <vt:lpstr>sp2</vt:lpstr>
      <vt:lpstr>sp3</vt:lpstr>
      <vt:lpstr>sp4</vt:lpstr>
      <vt:lpstr>sp5</vt:lpstr>
      <vt:lpstr>СПИСАНО НА ЗП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2016-07-19T07:26:46Z</dcterms:modified>
</cp:coreProperties>
</file>